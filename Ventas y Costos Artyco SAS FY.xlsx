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aul\Downloads\"/>
    </mc:Choice>
  </mc:AlternateContent>
  <xr:revisionPtr revIDLastSave="0" documentId="13_ncr:1_{9E9524A6-B6FE-4FDC-93DA-D416B16DE9E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2" sheetId="4" r:id="rId1"/>
    <sheet name="BD" sheetId="1" r:id="rId2"/>
    <sheet name="RESUMEN" sheetId="2" r:id="rId3"/>
    <sheet name="Hoja1" sheetId="3" r:id="rId4"/>
  </sheets>
  <calcPr calcId="191028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4" l="1"/>
  <c r="J5" i="4"/>
  <c r="J4" i="4"/>
  <c r="H39" i="4"/>
  <c r="H38" i="4"/>
  <c r="H37" i="4"/>
  <c r="H36" i="4"/>
  <c r="H35" i="4"/>
  <c r="H34" i="4"/>
  <c r="H33" i="4"/>
  <c r="H32" i="4"/>
  <c r="H31" i="4"/>
  <c r="H29" i="4"/>
  <c r="H28" i="4"/>
  <c r="H27" i="4"/>
  <c r="H26" i="4"/>
  <c r="H25" i="4"/>
  <c r="H24" i="4"/>
  <c r="H23" i="4"/>
  <c r="H22" i="4"/>
  <c r="H21" i="4"/>
  <c r="H20" i="4"/>
  <c r="H19" i="4"/>
  <c r="H18" i="4"/>
  <c r="H16" i="4"/>
  <c r="H15" i="4"/>
  <c r="H14" i="4"/>
  <c r="H13" i="4"/>
  <c r="H12" i="4"/>
  <c r="H11" i="4"/>
  <c r="H10" i="4"/>
  <c r="H9" i="4"/>
  <c r="H8" i="4"/>
  <c r="H7" i="4"/>
  <c r="H6" i="4"/>
  <c r="H5" i="4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10" i="1"/>
  <c r="I311" i="1"/>
  <c r="I309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2" i="1"/>
  <c r="I331" i="1"/>
  <c r="I330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10" i="1"/>
  <c r="I408" i="1"/>
  <c r="I409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4" i="1"/>
  <c r="I483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5" i="1"/>
  <c r="I504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1" i="1"/>
  <c r="I600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8" i="1"/>
  <c r="I637" i="1"/>
  <c r="I636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1" i="1"/>
  <c r="I662" i="1"/>
  <c r="I660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9" i="1"/>
  <c r="I862" i="1"/>
  <c r="I858" i="1"/>
  <c r="I863" i="1"/>
  <c r="I860" i="1"/>
  <c r="I861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6" i="1"/>
  <c r="I1117" i="1"/>
  <c r="I1115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5" i="1"/>
  <c r="I1324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G39" i="4"/>
  <c r="G38" i="4"/>
  <c r="G37" i="4"/>
  <c r="G36" i="4"/>
  <c r="G35" i="4"/>
  <c r="G34" i="4"/>
  <c r="G33" i="4"/>
  <c r="G32" i="4"/>
  <c r="G31" i="4"/>
  <c r="G29" i="4"/>
  <c r="G28" i="4"/>
  <c r="G27" i="4"/>
  <c r="G26" i="4"/>
  <c r="G25" i="4"/>
  <c r="G24" i="4"/>
  <c r="G23" i="4"/>
  <c r="G22" i="4"/>
  <c r="G21" i="4"/>
  <c r="G20" i="4"/>
  <c r="G19" i="4"/>
  <c r="G18" i="4"/>
  <c r="G16" i="4"/>
  <c r="G15" i="4"/>
  <c r="G14" i="4"/>
  <c r="G13" i="4"/>
  <c r="G12" i="4"/>
  <c r="G11" i="4"/>
  <c r="G10" i="4"/>
  <c r="G9" i="4"/>
  <c r="G8" i="4"/>
  <c r="G7" i="4"/>
  <c r="G6" i="4"/>
  <c r="G5" i="4"/>
  <c r="Q155" i="2" l="1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10" i="1"/>
  <c r="P311" i="1"/>
  <c r="P309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2" i="1"/>
  <c r="P331" i="1"/>
  <c r="P330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10" i="1"/>
  <c r="P408" i="1"/>
  <c r="P409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4" i="1"/>
  <c r="P483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5" i="1"/>
  <c r="P504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1" i="1"/>
  <c r="P600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8" i="1"/>
  <c r="P637" i="1"/>
  <c r="P636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1" i="1"/>
  <c r="P662" i="1"/>
  <c r="P660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9" i="1"/>
  <c r="P862" i="1"/>
  <c r="P858" i="1"/>
  <c r="P863" i="1"/>
  <c r="P860" i="1"/>
  <c r="P861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6" i="1"/>
  <c r="P1117" i="1"/>
  <c r="P1115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5" i="1"/>
  <c r="P1324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L1388" i="1"/>
  <c r="J1388" i="1" l="1"/>
  <c r="K1388" i="1"/>
  <c r="O4" i="2" l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N45" i="3"/>
  <c r="L45" i="3"/>
  <c r="N44" i="3"/>
  <c r="L44" i="3"/>
  <c r="N43" i="3"/>
  <c r="L43" i="3"/>
  <c r="N42" i="3"/>
  <c r="L42" i="3"/>
  <c r="N41" i="3"/>
  <c r="L41" i="3"/>
  <c r="N40" i="3"/>
  <c r="L40" i="3"/>
  <c r="N39" i="3"/>
  <c r="L39" i="3"/>
  <c r="N38" i="3"/>
  <c r="L38" i="3"/>
  <c r="N37" i="3"/>
  <c r="L37" i="3"/>
  <c r="N36" i="3"/>
  <c r="L36" i="3"/>
  <c r="N35" i="3"/>
  <c r="L35" i="3"/>
  <c r="N34" i="3"/>
  <c r="L34" i="3"/>
  <c r="N33" i="3"/>
  <c r="L33" i="3"/>
  <c r="N32" i="3"/>
  <c r="L32" i="3"/>
  <c r="N31" i="3"/>
  <c r="L31" i="3"/>
  <c r="N30" i="3"/>
  <c r="L30" i="3"/>
  <c r="N29" i="3"/>
  <c r="L29" i="3"/>
  <c r="N28" i="3"/>
  <c r="L28" i="3"/>
  <c r="N27" i="3"/>
  <c r="L27" i="3"/>
  <c r="N26" i="3"/>
  <c r="L26" i="3"/>
  <c r="N25" i="3"/>
  <c r="L25" i="3"/>
  <c r="N24" i="3"/>
  <c r="L24" i="3"/>
  <c r="N23" i="3"/>
  <c r="L23" i="3"/>
  <c r="N22" i="3"/>
  <c r="L22" i="3"/>
  <c r="N21" i="3"/>
  <c r="L21" i="3"/>
  <c r="N20" i="3"/>
  <c r="L20" i="3"/>
  <c r="N19" i="3"/>
  <c r="L19" i="3"/>
  <c r="N18" i="3"/>
  <c r="L18" i="3"/>
  <c r="N17" i="3"/>
  <c r="L17" i="3"/>
  <c r="N16" i="3"/>
  <c r="L16" i="3"/>
  <c r="N15" i="3"/>
  <c r="L15" i="3"/>
  <c r="N14" i="3"/>
  <c r="L14" i="3"/>
  <c r="N13" i="3"/>
  <c r="L13" i="3"/>
  <c r="N12" i="3"/>
  <c r="L12" i="3"/>
  <c r="N11" i="3"/>
  <c r="L11" i="3"/>
  <c r="N10" i="3"/>
  <c r="L10" i="3"/>
  <c r="N9" i="3"/>
  <c r="L9" i="3"/>
  <c r="N8" i="3"/>
  <c r="L8" i="3"/>
  <c r="N7" i="3"/>
  <c r="L7" i="3"/>
  <c r="N6" i="3"/>
  <c r="L6" i="3"/>
  <c r="N5" i="3"/>
  <c r="L5" i="3"/>
  <c r="N4" i="3"/>
  <c r="L4" i="3"/>
  <c r="N3" i="3"/>
  <c r="L3" i="3"/>
  <c r="N2" i="3"/>
  <c r="L2" i="3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2" i="1"/>
  <c r="M661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1" i="1"/>
  <c r="M860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O520" i="1"/>
  <c r="O697" i="1"/>
  <c r="O538" i="1"/>
  <c r="O539" i="1"/>
  <c r="O1351" i="1"/>
  <c r="O786" i="1"/>
  <c r="O37" i="1"/>
  <c r="O736" i="1"/>
  <c r="O38" i="1"/>
  <c r="O973" i="1"/>
  <c r="O1054" i="1"/>
  <c r="O345" i="1"/>
  <c r="O434" i="1"/>
  <c r="O39" i="1"/>
  <c r="O864" i="1"/>
  <c r="O540" i="1"/>
  <c r="O787" i="1"/>
  <c r="O40" i="1"/>
  <c r="O890" i="1"/>
  <c r="O883" i="1"/>
  <c r="O541" i="1"/>
  <c r="O41" i="1"/>
  <c r="O1314" i="1"/>
  <c r="O930" i="1"/>
  <c r="O1018" i="1"/>
  <c r="O1126" i="1"/>
  <c r="O1013" i="1"/>
  <c r="O1299" i="1"/>
  <c r="O1374" i="1"/>
  <c r="O42" i="1"/>
  <c r="O1055" i="1"/>
  <c r="O346" i="1"/>
  <c r="O435" i="1"/>
  <c r="O421" i="1"/>
  <c r="O236" i="1"/>
  <c r="O1127" i="1"/>
  <c r="O1014" i="1"/>
  <c r="O43" i="1"/>
  <c r="O1193" i="1"/>
  <c r="O237" i="1"/>
  <c r="O436" i="1"/>
  <c r="O347" i="1"/>
  <c r="O44" i="1"/>
  <c r="O788" i="1"/>
  <c r="O45" i="1"/>
  <c r="O789" i="1"/>
  <c r="O1364" i="1"/>
  <c r="O1103" i="1"/>
  <c r="O46" i="1"/>
  <c r="O338" i="1"/>
  <c r="O1032" i="1"/>
  <c r="O1036" i="1"/>
  <c r="O639" i="1"/>
  <c r="O896" i="1"/>
  <c r="O664" i="1"/>
  <c r="O542" i="1"/>
  <c r="O47" i="1"/>
  <c r="O261" i="1"/>
  <c r="O48" i="1"/>
  <c r="O1365" i="1"/>
  <c r="O1352" i="1"/>
  <c r="O321" i="1"/>
  <c r="O1128" i="1"/>
  <c r="O1015" i="1"/>
  <c r="O776" i="1"/>
  <c r="O2" i="1"/>
  <c r="O3" i="1"/>
  <c r="O411" i="1"/>
  <c r="O748" i="1"/>
  <c r="O770" i="1"/>
  <c r="O49" i="1"/>
  <c r="O1274" i="1"/>
  <c r="O50" i="1"/>
  <c r="O486" i="1"/>
  <c r="O1315" i="1"/>
  <c r="O610" i="1"/>
  <c r="O678" i="1"/>
  <c r="O958" i="1"/>
  <c r="O1332" i="1"/>
  <c r="O1019" i="1"/>
  <c r="O1176" i="1"/>
  <c r="O1165" i="1"/>
  <c r="O51" i="1"/>
  <c r="O235" i="1"/>
  <c r="O1240" i="1"/>
  <c r="O52" i="1"/>
  <c r="O1155" i="1"/>
  <c r="O1056" i="1"/>
  <c r="O768" i="1"/>
  <c r="O1301" i="1"/>
  <c r="O53" i="1"/>
  <c r="O1024" i="1"/>
  <c r="O54" i="1"/>
  <c r="O4" i="1"/>
  <c r="O5" i="1"/>
  <c r="O1375" i="1"/>
  <c r="O1275" i="1"/>
  <c r="O1216" i="1"/>
  <c r="O1217" i="1"/>
  <c r="O1218" i="1"/>
  <c r="O55" i="1"/>
  <c r="O56" i="1"/>
  <c r="O1376" i="1"/>
  <c r="O1129" i="1"/>
  <c r="O1016" i="1"/>
  <c r="O57" i="1"/>
  <c r="O1215" i="1"/>
  <c r="O1017" i="1"/>
  <c r="O1220" i="1"/>
  <c r="O790" i="1"/>
  <c r="O382" i="1"/>
  <c r="O460" i="1"/>
  <c r="O1107" i="1"/>
  <c r="O58" i="1"/>
  <c r="O1353" i="1"/>
  <c r="O1377" i="1"/>
  <c r="O1219" i="1"/>
  <c r="O493" i="1"/>
  <c r="O1086" i="1"/>
  <c r="O59" i="1"/>
  <c r="O974" i="1"/>
  <c r="O60" i="1"/>
  <c r="O1333" i="1"/>
  <c r="O61" i="1"/>
  <c r="O6" i="1"/>
  <c r="O7" i="1"/>
  <c r="O373" i="1"/>
  <c r="O454" i="1"/>
  <c r="O975" i="1"/>
  <c r="O902" i="1"/>
  <c r="O543" i="1"/>
  <c r="O544" i="1"/>
  <c r="O437" i="1"/>
  <c r="O348" i="1"/>
  <c r="O349" i="1"/>
  <c r="O438" i="1"/>
  <c r="O1104" i="1"/>
  <c r="O1221" i="1"/>
  <c r="O749" i="1"/>
  <c r="O737" i="1"/>
  <c r="O1099" i="1"/>
  <c r="O336" i="1"/>
  <c r="O1037" i="1"/>
  <c r="O238" i="1"/>
  <c r="O1057" i="1"/>
  <c r="O1087" i="1"/>
  <c r="O239" i="1"/>
  <c r="O791" i="1"/>
  <c r="O720" i="1"/>
  <c r="O312" i="1"/>
  <c r="O1020" i="1"/>
  <c r="O792" i="1"/>
  <c r="O793" i="1"/>
  <c r="O976" i="1"/>
  <c r="O1058" i="1"/>
  <c r="O350" i="1"/>
  <c r="O1177" i="1"/>
  <c r="O240" i="1"/>
  <c r="O907" i="1"/>
  <c r="O1059" i="1"/>
  <c r="O769" i="1"/>
  <c r="O611" i="1"/>
  <c r="O721" i="1"/>
  <c r="O62" i="1"/>
  <c r="O1088" i="1"/>
  <c r="O1386" i="1"/>
  <c r="O612" i="1"/>
  <c r="O873" i="1"/>
  <c r="O545" i="1"/>
  <c r="O63" i="1"/>
  <c r="O794" i="1"/>
  <c r="O874" i="1"/>
  <c r="O884" i="1"/>
  <c r="O546" i="1"/>
  <c r="O64" i="1"/>
  <c r="O795" i="1"/>
  <c r="O1202" i="1"/>
  <c r="O1203" i="1"/>
  <c r="O1204" i="1"/>
  <c r="O487" i="1"/>
  <c r="O962" i="1"/>
  <c r="O547" i="1"/>
  <c r="O1133" i="1"/>
  <c r="O65" i="1"/>
  <c r="O8" i="1"/>
  <c r="O9" i="1"/>
  <c r="O885" i="1"/>
  <c r="O548" i="1"/>
  <c r="O66" i="1"/>
  <c r="O241" i="1"/>
  <c r="O971" i="1"/>
  <c r="O934" i="1"/>
  <c r="O761" i="1"/>
  <c r="O796" i="1"/>
  <c r="O351" i="1"/>
  <c r="O439" i="1"/>
  <c r="O67" i="1"/>
  <c r="O1060" i="1"/>
  <c r="O771" i="1"/>
  <c r="O1079" i="1"/>
  <c r="O625" i="1"/>
  <c r="O68" i="1"/>
  <c r="O667" i="1"/>
  <c r="O69" i="1"/>
  <c r="O640" i="1"/>
  <c r="O762" i="1"/>
  <c r="O70" i="1"/>
  <c r="O977" i="1"/>
  <c r="O71" i="1"/>
  <c r="O1366" i="1"/>
  <c r="O1222" i="1"/>
  <c r="O1223" i="1"/>
  <c r="O779" i="1"/>
  <c r="O797" i="1"/>
  <c r="O1310" i="1"/>
  <c r="O1224" i="1"/>
  <c r="O1156" i="1"/>
  <c r="O1302" i="1"/>
  <c r="O1378" i="1"/>
  <c r="O352" i="1"/>
  <c r="O440" i="1"/>
  <c r="O978" i="1"/>
  <c r="O549" i="1"/>
  <c r="O963" i="1"/>
  <c r="O798" i="1"/>
  <c r="O906" i="1"/>
  <c r="O488" i="1"/>
  <c r="O441" i="1"/>
  <c r="O698" i="1"/>
  <c r="O706" i="1"/>
  <c r="O72" i="1"/>
  <c r="O799" i="1"/>
  <c r="O262" i="1"/>
  <c r="O73" i="1"/>
  <c r="O763" i="1"/>
  <c r="O341" i="1"/>
  <c r="O431" i="1"/>
  <c r="O420" i="1"/>
  <c r="O1043" i="1"/>
  <c r="O780" i="1"/>
  <c r="O414" i="1"/>
  <c r="O1201" i="1"/>
  <c r="O1316" i="1"/>
  <c r="O74" i="1"/>
  <c r="O10" i="1"/>
  <c r="O11" i="1"/>
  <c r="O1334" i="1"/>
  <c r="O246" i="1"/>
  <c r="O313" i="1"/>
  <c r="O75" i="1"/>
  <c r="O897" i="1"/>
  <c r="O550" i="1"/>
  <c r="O898" i="1"/>
  <c r="O551" i="1"/>
  <c r="O679" i="1"/>
  <c r="O1077" i="1"/>
  <c r="O76" i="1"/>
  <c r="O917" i="1"/>
  <c r="O865" i="1"/>
  <c r="O12" i="1"/>
  <c r="O77" i="1"/>
  <c r="O967" i="1"/>
  <c r="O78" i="1"/>
  <c r="O353" i="1"/>
  <c r="O442" i="1"/>
  <c r="O1061" i="1"/>
  <c r="O79" i="1"/>
  <c r="O1100" i="1"/>
  <c r="O337" i="1"/>
  <c r="O1038" i="1"/>
  <c r="O1033" i="1"/>
  <c r="O1042" i="1"/>
  <c r="O263" i="1"/>
  <c r="O80" i="1"/>
  <c r="O1387" i="1"/>
  <c r="O383" i="1"/>
  <c r="O1108" i="1"/>
  <c r="O415" i="1"/>
  <c r="O968" i="1"/>
  <c r="O800" i="1"/>
  <c r="O81" i="1"/>
  <c r="O738" i="1"/>
  <c r="O82" i="1"/>
  <c r="O1247" i="1"/>
  <c r="O1335" i="1"/>
  <c r="O1062" i="1"/>
  <c r="O1248" i="1"/>
  <c r="O1249" i="1"/>
  <c r="O801" i="1"/>
  <c r="O918" i="1"/>
  <c r="O908" i="1"/>
  <c r="O489" i="1"/>
  <c r="O1336" i="1"/>
  <c r="O83" i="1"/>
  <c r="O314" i="1"/>
  <c r="O244" i="1"/>
  <c r="O247" i="1"/>
  <c r="O84" i="1"/>
  <c r="O1083" i="1"/>
  <c r="O739" i="1"/>
  <c r="O1089" i="1"/>
  <c r="O1093" i="1"/>
  <c r="O1149" i="1"/>
  <c r="O1150" i="1"/>
  <c r="O680" i="1"/>
  <c r="O13" i="1"/>
  <c r="O14" i="1"/>
  <c r="O1250" i="1"/>
  <c r="O85" i="1"/>
  <c r="O1251" i="1"/>
  <c r="O665" i="1"/>
  <c r="O354" i="1"/>
  <c r="O355" i="1"/>
  <c r="O443" i="1"/>
  <c r="O1063" i="1"/>
  <c r="O979" i="1"/>
  <c r="O342" i="1"/>
  <c r="O432" i="1"/>
  <c r="O1153" i="1"/>
  <c r="O1050" i="1"/>
  <c r="O412" i="1"/>
  <c r="O418" i="1"/>
  <c r="O587" i="1"/>
  <c r="O980" i="1"/>
  <c r="O86" i="1"/>
  <c r="O681" i="1"/>
  <c r="O909" i="1"/>
  <c r="O981" i="1"/>
  <c r="O781" i="1"/>
  <c r="O1252" i="1"/>
  <c r="O419" i="1"/>
  <c r="O872" i="1"/>
  <c r="O1143" i="1"/>
  <c r="O1148" i="1"/>
  <c r="O1152" i="1"/>
  <c r="O1140" i="1"/>
  <c r="O1145" i="1"/>
  <c r="O1146" i="1"/>
  <c r="O579" i="1"/>
  <c r="O578" i="1"/>
  <c r="O1154" i="1"/>
  <c r="O1151" i="1"/>
  <c r="O1101" i="1"/>
  <c r="O334" i="1"/>
  <c r="O1030" i="1"/>
  <c r="O1041" i="1"/>
  <c r="O1028" i="1"/>
  <c r="O663" i="1"/>
  <c r="O1102" i="1"/>
  <c r="O335" i="1"/>
  <c r="O1031" i="1"/>
  <c r="O356" i="1"/>
  <c r="O444" i="1"/>
  <c r="O1194" i="1"/>
  <c r="O1064" i="1"/>
  <c r="O445" i="1"/>
  <c r="O357" i="1"/>
  <c r="O1051" i="1"/>
  <c r="O1253" i="1"/>
  <c r="O722" i="1"/>
  <c r="O87" i="1"/>
  <c r="O802" i="1"/>
  <c r="O88" i="1"/>
  <c r="O358" i="1"/>
  <c r="O446" i="1"/>
  <c r="O1065" i="1"/>
  <c r="O89" i="1"/>
  <c r="O1141" i="1"/>
  <c r="O1144" i="1"/>
  <c r="O1300" i="1"/>
  <c r="O90" i="1"/>
  <c r="O552" i="1"/>
  <c r="O803" i="1"/>
  <c r="O91" i="1"/>
  <c r="O1195" i="1"/>
  <c r="O495" i="1"/>
  <c r="O1066" i="1"/>
  <c r="O1225" i="1"/>
  <c r="O1078" i="1"/>
  <c r="O92" i="1"/>
  <c r="O982" i="1"/>
  <c r="O641" i="1"/>
  <c r="O93" i="1"/>
  <c r="O919" i="1"/>
  <c r="O94" i="1"/>
  <c r="O15" i="1"/>
  <c r="O16" i="1"/>
  <c r="O804" i="1"/>
  <c r="O1094" i="1"/>
  <c r="O95" i="1"/>
  <c r="O598" i="1"/>
  <c r="O96" i="1"/>
  <c r="O588" i="1"/>
  <c r="O521" i="1"/>
  <c r="O97" i="1"/>
  <c r="O626" i="1"/>
  <c r="O764" i="1"/>
  <c r="O98" i="1"/>
  <c r="O765" i="1"/>
  <c r="O99" i="1"/>
  <c r="O447" i="1"/>
  <c r="O422" i="1"/>
  <c r="O359" i="1"/>
  <c r="O1067" i="1"/>
  <c r="O360" i="1"/>
  <c r="O448" i="1"/>
  <c r="O1190" i="1"/>
  <c r="O522" i="1"/>
  <c r="O100" i="1"/>
  <c r="O699" i="1"/>
  <c r="O707" i="1"/>
  <c r="O866" i="1"/>
  <c r="O523" i="1"/>
  <c r="O101" i="1"/>
  <c r="O1384" i="1"/>
  <c r="O983" i="1"/>
  <c r="O1254" i="1"/>
  <c r="O1157" i="1"/>
  <c r="O102" i="1"/>
  <c r="O920" i="1"/>
  <c r="O315" i="1"/>
  <c r="O245" i="1"/>
  <c r="O248" i="1"/>
  <c r="O805" i="1"/>
  <c r="O1095" i="1"/>
  <c r="O1068" i="1"/>
  <c r="O969" i="1"/>
  <c r="O17" i="1"/>
  <c r="O18" i="1"/>
  <c r="O264" i="1"/>
  <c r="O669" i="1"/>
  <c r="O1255" i="1"/>
  <c r="O1158" i="1"/>
  <c r="O1096" i="1"/>
  <c r="O723" i="1"/>
  <c r="O899" i="1"/>
  <c r="O103" i="1"/>
  <c r="O1226" i="1"/>
  <c r="O1159" i="1"/>
  <c r="O642" i="1"/>
  <c r="O104" i="1"/>
  <c r="O524" i="1"/>
  <c r="O105" i="1"/>
  <c r="O806" i="1"/>
  <c r="O106" i="1"/>
  <c r="O384" i="1"/>
  <c r="O461" i="1"/>
  <c r="O1241" i="1"/>
  <c r="O1367" i="1"/>
  <c r="O1354" i="1"/>
  <c r="O807" i="1"/>
  <c r="O613" i="1"/>
  <c r="O107" i="1"/>
  <c r="O984" i="1"/>
  <c r="O108" i="1"/>
  <c r="O1160" i="1"/>
  <c r="O455" i="1"/>
  <c r="O374" i="1"/>
  <c r="O1090" i="1"/>
  <c r="O109" i="1"/>
  <c r="O1292" i="1"/>
  <c r="O1303" i="1"/>
  <c r="O110" i="1"/>
  <c r="O1304" i="1"/>
  <c r="O1291" i="1"/>
  <c r="O964" i="1"/>
  <c r="O948" i="1"/>
  <c r="O599" i="1"/>
  <c r="O525" i="1"/>
  <c r="O1166" i="1"/>
  <c r="O1178" i="1"/>
  <c r="O19" i="1"/>
  <c r="O20" i="1"/>
  <c r="O1034" i="1"/>
  <c r="O1039" i="1"/>
  <c r="O526" i="1"/>
  <c r="O949" i="1"/>
  <c r="O385" i="1"/>
  <c r="O462" i="1"/>
  <c r="O425" i="1"/>
  <c r="O609" i="1"/>
  <c r="O111" i="1"/>
  <c r="O1069" i="1"/>
  <c r="O516" i="1"/>
  <c r="O1337" i="1"/>
  <c r="O959" i="1"/>
  <c r="O1021" i="1"/>
  <c r="O670" i="1"/>
  <c r="O1355" i="1"/>
  <c r="O1142" i="1"/>
  <c r="O1256" i="1"/>
  <c r="O386" i="1"/>
  <c r="O627" i="1"/>
  <c r="O602" i="1"/>
  <c r="O112" i="1"/>
  <c r="O614" i="1"/>
  <c r="O666" i="1"/>
  <c r="O527" i="1"/>
  <c r="O1082" i="1"/>
  <c r="O867" i="1"/>
  <c r="O891" i="1"/>
  <c r="O113" i="1"/>
  <c r="O1271" i="1"/>
  <c r="O114" i="1"/>
  <c r="O361" i="1"/>
  <c r="O413" i="1"/>
  <c r="O423" i="1"/>
  <c r="O1070" i="1"/>
  <c r="O1052" i="1"/>
  <c r="O1071" i="1"/>
  <c r="O935" i="1"/>
  <c r="O808" i="1"/>
  <c r="O809" i="1"/>
  <c r="O115" i="1"/>
  <c r="O230" i="1"/>
  <c r="O1048" i="1"/>
  <c r="O1281" i="1"/>
  <c r="O116" i="1"/>
  <c r="O231" i="1"/>
  <c r="O643" i="1"/>
  <c r="O1022" i="1"/>
  <c r="O117" i="1"/>
  <c r="O740" i="1"/>
  <c r="O265" i="1"/>
  <c r="O118" i="1"/>
  <c r="O985" i="1"/>
  <c r="O986" i="1"/>
  <c r="O987" i="1"/>
  <c r="O988" i="1"/>
  <c r="O782" i="1"/>
  <c r="O810" i="1"/>
  <c r="O644" i="1"/>
  <c r="O119" i="1"/>
  <c r="O1257" i="1"/>
  <c r="O21" i="1"/>
  <c r="O22" i="1"/>
  <c r="O242" i="1"/>
  <c r="O724" i="1"/>
  <c r="O232" i="1"/>
  <c r="O1346" i="1"/>
  <c r="O120" i="1"/>
  <c r="O343" i="1"/>
  <c r="O433" i="1"/>
  <c r="O1268" i="1"/>
  <c r="O375" i="1"/>
  <c r="O490" i="1"/>
  <c r="O266" i="1"/>
  <c r="O121" i="1"/>
  <c r="O811" i="1"/>
  <c r="O725" i="1"/>
  <c r="O267" i="1"/>
  <c r="O322" i="1"/>
  <c r="O528" i="1"/>
  <c r="O868" i="1"/>
  <c r="O869" i="1"/>
  <c r="O529" i="1"/>
  <c r="O122" i="1"/>
  <c r="O783" i="1"/>
  <c r="O1084" i="1"/>
  <c r="O233" i="1"/>
  <c r="O812" i="1"/>
  <c r="O813" i="1"/>
  <c r="O123" i="1"/>
  <c r="O316" i="1"/>
  <c r="O249" i="1"/>
  <c r="O259" i="1"/>
  <c r="O250" i="1"/>
  <c r="O1227" i="1"/>
  <c r="O530" i="1"/>
  <c r="O593" i="1"/>
  <c r="O23" i="1"/>
  <c r="O24" i="1"/>
  <c r="O1211" i="1"/>
  <c r="O714" i="1"/>
  <c r="O615" i="1"/>
  <c r="O784" i="1"/>
  <c r="O814" i="1"/>
  <c r="O1356" i="1"/>
  <c r="O124" i="1"/>
  <c r="O950" i="1"/>
  <c r="O362" i="1"/>
  <c r="O449" i="1"/>
  <c r="O376" i="1"/>
  <c r="O456" i="1"/>
  <c r="O751" i="1"/>
  <c r="O125" i="1"/>
  <c r="O268" i="1"/>
  <c r="O126" i="1"/>
  <c r="O269" i="1"/>
  <c r="O127" i="1"/>
  <c r="O989" i="1"/>
  <c r="O1167" i="1"/>
  <c r="O1179" i="1"/>
  <c r="O317" i="1"/>
  <c r="O251" i="1"/>
  <c r="O260" i="1"/>
  <c r="O252" i="1"/>
  <c r="O682" i="1"/>
  <c r="O128" i="1"/>
  <c r="O270" i="1"/>
  <c r="O645" i="1"/>
  <c r="O271" i="1"/>
  <c r="O815" i="1"/>
  <c r="O129" i="1"/>
  <c r="O726" i="1"/>
  <c r="O1134" i="1"/>
  <c r="O323" i="1"/>
  <c r="O130" i="1"/>
  <c r="O1357" i="1"/>
  <c r="O727" i="1"/>
  <c r="O728" i="1"/>
  <c r="O377" i="1"/>
  <c r="O457" i="1"/>
  <c r="O1228" i="1"/>
  <c r="O25" i="1"/>
  <c r="O424" i="1"/>
  <c r="O450" i="1"/>
  <c r="O363" i="1"/>
  <c r="O1196" i="1"/>
  <c r="O364" i="1"/>
  <c r="O1197" i="1"/>
  <c r="O741" i="1"/>
  <c r="O1229" i="1"/>
  <c r="O494" i="1"/>
  <c r="O1085" i="1"/>
  <c r="O26" i="1"/>
  <c r="O531" i="1"/>
  <c r="O816" i="1"/>
  <c r="O491" i="1"/>
  <c r="O1269" i="1"/>
  <c r="O892" i="1"/>
  <c r="O234" i="1"/>
  <c r="O590" i="1"/>
  <c r="O903" i="1"/>
  <c r="O608" i="1"/>
  <c r="O131" i="1"/>
  <c r="O324" i="1"/>
  <c r="O132" i="1"/>
  <c r="O1123" i="1"/>
  <c r="O387" i="1"/>
  <c r="O463" i="1"/>
  <c r="O426" i="1"/>
  <c r="O817" i="1"/>
  <c r="O1109" i="1"/>
  <c r="O875" i="1"/>
  <c r="O532" i="1"/>
  <c r="O1147" i="1"/>
  <c r="O876" i="1"/>
  <c r="O533" i="1"/>
  <c r="O224" i="1"/>
  <c r="O1091" i="1"/>
  <c r="O133" i="1"/>
  <c r="O646" i="1"/>
  <c r="O134" i="1"/>
  <c r="O990" i="1"/>
  <c r="O910" i="1"/>
  <c r="O534" i="1"/>
  <c r="O647" i="1"/>
  <c r="O1180" i="1"/>
  <c r="O1338" i="1"/>
  <c r="O1168" i="1"/>
  <c r="O1181" i="1"/>
  <c r="O818" i="1"/>
  <c r="O1169" i="1"/>
  <c r="O936" i="1"/>
  <c r="O27" i="1"/>
  <c r="O28" i="1"/>
  <c r="O648" i="1"/>
  <c r="O272" i="1"/>
  <c r="O135" i="1"/>
  <c r="O752" i="1"/>
  <c r="O136" i="1"/>
  <c r="O253" i="1"/>
  <c r="O318" i="1"/>
  <c r="O742" i="1"/>
  <c r="O616" i="1"/>
  <c r="O137" i="1"/>
  <c r="O1358" i="1"/>
  <c r="O273" i="1"/>
  <c r="O138" i="1"/>
  <c r="O274" i="1"/>
  <c r="O139" i="1"/>
  <c r="O819" i="1"/>
  <c r="O753" i="1"/>
  <c r="O140" i="1"/>
  <c r="O937" i="1"/>
  <c r="O378" i="1"/>
  <c r="O1161" i="1"/>
  <c r="O535" i="1"/>
  <c r="O29" i="1"/>
  <c r="O1023" i="1"/>
  <c r="O30" i="1"/>
  <c r="O1230" i="1"/>
  <c r="O820" i="1"/>
  <c r="O141" i="1"/>
  <c r="O700" i="1"/>
  <c r="O142" i="1"/>
  <c r="O991" i="1"/>
  <c r="O992" i="1"/>
  <c r="O708" i="1"/>
  <c r="O1198" i="1"/>
  <c r="O743" i="1"/>
  <c r="O1317" i="1"/>
  <c r="O931" i="1"/>
  <c r="O275" i="1"/>
  <c r="O143" i="1"/>
  <c r="O276" i="1"/>
  <c r="O144" i="1"/>
  <c r="O1199" i="1"/>
  <c r="O754" i="1"/>
  <c r="O277" i="1"/>
  <c r="O145" i="1"/>
  <c r="O146" i="1"/>
  <c r="O921" i="1"/>
  <c r="O922" i="1"/>
  <c r="O365" i="1"/>
  <c r="O1072" i="1"/>
  <c r="O1200" i="1"/>
  <c r="O366" i="1"/>
  <c r="O1105" i="1"/>
  <c r="O759" i="1"/>
  <c r="O31" i="1"/>
  <c r="O147" i="1"/>
  <c r="O1231" i="1"/>
  <c r="O32" i="1"/>
  <c r="O1131" i="1"/>
  <c r="O1130" i="1"/>
  <c r="O821" i="1"/>
  <c r="O148" i="1"/>
  <c r="O649" i="1"/>
  <c r="O149" i="1"/>
  <c r="O367" i="1"/>
  <c r="O1080" i="1"/>
  <c r="O150" i="1"/>
  <c r="O225" i="1"/>
  <c r="O339" i="1"/>
  <c r="O1097" i="1"/>
  <c r="O1282" i="1"/>
  <c r="O1283" i="1"/>
  <c r="O1284" i="1"/>
  <c r="O1285" i="1"/>
  <c r="O1286" i="1"/>
  <c r="O151" i="1"/>
  <c r="O993" i="1"/>
  <c r="O994" i="1"/>
  <c r="O278" i="1"/>
  <c r="O1170" i="1"/>
  <c r="O1182" i="1"/>
  <c r="O650" i="1"/>
  <c r="O822" i="1"/>
  <c r="O1212" i="1"/>
  <c r="O496" i="1"/>
  <c r="O823" i="1"/>
  <c r="O226" i="1"/>
  <c r="O279" i="1"/>
  <c r="O152" i="1"/>
  <c r="O911" i="1"/>
  <c r="O1232" i="1"/>
  <c r="O33" i="1"/>
  <c r="O824" i="1"/>
  <c r="O951" i="1"/>
  <c r="O580" i="1"/>
  <c r="O325" i="1"/>
  <c r="O1242" i="1"/>
  <c r="O701" i="1"/>
  <c r="O709" i="1"/>
  <c r="O280" i="1"/>
  <c r="O153" i="1"/>
  <c r="O1287" i="1"/>
  <c r="O319" i="1"/>
  <c r="O254" i="1"/>
  <c r="O1110" i="1"/>
  <c r="O1106" i="1"/>
  <c r="O777" i="1"/>
  <c r="O825" i="1"/>
  <c r="O826" i="1"/>
  <c r="O1209" i="1"/>
  <c r="O154" i="1"/>
  <c r="O995" i="1"/>
  <c r="O155" i="1"/>
  <c r="O996" i="1"/>
  <c r="O997" i="1"/>
  <c r="O827" i="1"/>
  <c r="O710" i="1"/>
  <c r="O702" i="1"/>
  <c r="O156" i="1"/>
  <c r="O281" i="1"/>
  <c r="O998" i="1"/>
  <c r="O683" i="1"/>
  <c r="O877" i="1"/>
  <c r="O617" i="1"/>
  <c r="O744" i="1"/>
  <c r="O1258" i="1"/>
  <c r="O1132" i="1"/>
  <c r="O1124" i="1"/>
  <c r="O1210" i="1"/>
  <c r="O828" i="1"/>
  <c r="O1368" i="1"/>
  <c r="O1359" i="1"/>
  <c r="O1162" i="1"/>
  <c r="O1305" i="1"/>
  <c r="O34" i="1"/>
  <c r="O651" i="1"/>
  <c r="O157" i="1"/>
  <c r="O1272" i="1"/>
  <c r="O1339" i="1"/>
  <c r="O368" i="1"/>
  <c r="O451" i="1"/>
  <c r="O1205" i="1"/>
  <c r="O282" i="1"/>
  <c r="O589" i="1"/>
  <c r="O517" i="1"/>
  <c r="O513" i="1"/>
  <c r="O553" i="1"/>
  <c r="O778" i="1"/>
  <c r="O1347" i="1"/>
  <c r="O652" i="1"/>
  <c r="O283" i="1"/>
  <c r="O870" i="1"/>
  <c r="O536" i="1"/>
  <c r="O1125" i="1"/>
  <c r="O1073" i="1"/>
  <c r="O284" i="1"/>
  <c r="O158" i="1"/>
  <c r="O829" i="1"/>
  <c r="O1276" i="1"/>
  <c r="O1206" i="1"/>
  <c r="O388" i="1"/>
  <c r="O427" i="1"/>
  <c r="O1111" i="1"/>
  <c r="O628" i="1"/>
  <c r="O830" i="1"/>
  <c r="O684" i="1"/>
  <c r="O831" i="1"/>
  <c r="O285" i="1"/>
  <c r="O159" i="1"/>
  <c r="O1243" i="1"/>
  <c r="O1379" i="1"/>
  <c r="O228" i="1"/>
  <c r="O952" i="1"/>
  <c r="O938" i="1"/>
  <c r="O629" i="1"/>
  <c r="O464" i="1"/>
  <c r="O703" i="1"/>
  <c r="O711" i="1"/>
  <c r="O760" i="1"/>
  <c r="O1171" i="1"/>
  <c r="O1183" i="1"/>
  <c r="O160" i="1"/>
  <c r="O537" i="1"/>
  <c r="O35" i="1"/>
  <c r="O1340" i="1"/>
  <c r="O161" i="1"/>
  <c r="O1341" i="1"/>
  <c r="O1380" i="1"/>
  <c r="O999" i="1"/>
  <c r="O912" i="1"/>
  <c r="O518" i="1"/>
  <c r="O514" i="1"/>
  <c r="O554" i="1"/>
  <c r="O1288" i="1"/>
  <c r="O510" i="1"/>
  <c r="O1348" i="1"/>
  <c r="O685" i="1"/>
  <c r="O286" i="1"/>
  <c r="O1369" i="1"/>
  <c r="O162" i="1"/>
  <c r="O1270" i="1"/>
  <c r="O1233" i="1"/>
  <c r="O1259" i="1"/>
  <c r="O755" i="1"/>
  <c r="O287" i="1"/>
  <c r="O389" i="1"/>
  <c r="O416" i="1"/>
  <c r="O369" i="1"/>
  <c r="O1074" i="1"/>
  <c r="O1098" i="1"/>
  <c r="O333" i="1"/>
  <c r="O1029" i="1"/>
  <c r="O1040" i="1"/>
  <c r="O1035" i="1"/>
  <c r="O1289" i="1"/>
  <c r="O288" i="1"/>
  <c r="O289" i="1"/>
  <c r="O290" i="1"/>
  <c r="O163" i="1"/>
  <c r="O36" i="1"/>
  <c r="O1345" i="1"/>
  <c r="O1163" i="1"/>
  <c r="O630" i="1"/>
  <c r="O1290" i="1"/>
  <c r="O562" i="1"/>
  <c r="O291" i="1"/>
  <c r="O619" i="1"/>
  <c r="O379" i="1"/>
  <c r="O458" i="1"/>
  <c r="O563" i="1"/>
  <c r="O227" i="1"/>
  <c r="O1381" i="1"/>
  <c r="O499" i="1"/>
  <c r="O595" i="1"/>
  <c r="O832" i="1"/>
  <c r="O340" i="1"/>
  <c r="O164" i="1"/>
  <c r="O653" i="1"/>
  <c r="O1053" i="1"/>
  <c r="O165" i="1"/>
  <c r="O380" i="1"/>
  <c r="O668" i="1"/>
  <c r="O1172" i="1"/>
  <c r="O519" i="1"/>
  <c r="O913" i="1"/>
  <c r="O166" i="1"/>
  <c r="O292" i="1"/>
  <c r="O167" i="1"/>
  <c r="O497" i="1"/>
  <c r="O168" i="1"/>
  <c r="O972" i="1"/>
  <c r="O293" i="1"/>
  <c r="O169" i="1"/>
  <c r="O390" i="1"/>
  <c r="O465" i="1"/>
  <c r="O833" i="1"/>
  <c r="O1342" i="1"/>
  <c r="O1092" i="1"/>
  <c r="O772" i="1"/>
  <c r="O729" i="1"/>
  <c r="O745" i="1"/>
  <c r="O756" i="1"/>
  <c r="O715" i="1"/>
  <c r="O1234" i="1"/>
  <c r="O631" i="1"/>
  <c r="O170" i="1"/>
  <c r="O834" i="1"/>
  <c r="O904" i="1"/>
  <c r="O564" i="1"/>
  <c r="O500" i="1"/>
  <c r="O1306" i="1"/>
  <c r="O835" i="1"/>
  <c r="O886" i="1"/>
  <c r="O836" i="1"/>
  <c r="O294" i="1"/>
  <c r="O295" i="1"/>
  <c r="O171" i="1"/>
  <c r="O296" i="1"/>
  <c r="O773" i="1"/>
  <c r="O716" i="1"/>
  <c r="O581" i="1"/>
  <c r="O320" i="1"/>
  <c r="O172" i="1"/>
  <c r="O229" i="1"/>
  <c r="O939" i="1"/>
  <c r="O837" i="1"/>
  <c r="O391" i="1"/>
  <c r="O466" i="1"/>
  <c r="O392" i="1"/>
  <c r="O467" i="1"/>
  <c r="O923" i="1"/>
  <c r="O1382" i="1"/>
  <c r="O1312" i="1"/>
  <c r="O838" i="1"/>
  <c r="O1260" i="1"/>
  <c r="O1000" i="1"/>
  <c r="O1383" i="1"/>
  <c r="O757" i="1"/>
  <c r="O173" i="1"/>
  <c r="O511" i="1"/>
  <c r="O1277" i="1"/>
  <c r="O1326" i="1"/>
  <c r="O1343" i="1"/>
  <c r="O960" i="1"/>
  <c r="O686" i="1"/>
  <c r="O370" i="1"/>
  <c r="O344" i="1"/>
  <c r="O393" i="1"/>
  <c r="O174" i="1"/>
  <c r="O632" i="1"/>
  <c r="O175" i="1"/>
  <c r="O1001" i="1"/>
  <c r="O297" i="1"/>
  <c r="O394" i="1"/>
  <c r="O468" i="1"/>
  <c r="O428" i="1"/>
  <c r="O395" i="1"/>
  <c r="O469" i="1"/>
  <c r="O429" i="1"/>
  <c r="O176" i="1"/>
  <c r="O1002" i="1"/>
  <c r="O582" i="1"/>
  <c r="O1370" i="1"/>
  <c r="O177" i="1"/>
  <c r="O1075" i="1"/>
  <c r="O396" i="1"/>
  <c r="O470" i="1"/>
  <c r="O1313" i="1"/>
  <c r="O397" i="1"/>
  <c r="O471" i="1"/>
  <c r="O905" i="1"/>
  <c r="O565" i="1"/>
  <c r="O618" i="1"/>
  <c r="O961" i="1"/>
  <c r="O1135" i="1"/>
  <c r="O750" i="1"/>
  <c r="O970" i="1"/>
  <c r="O671" i="1"/>
  <c r="O687" i="1"/>
  <c r="O677" i="1"/>
  <c r="O688" i="1"/>
  <c r="O178" i="1"/>
  <c r="O900" i="1"/>
  <c r="O566" i="1"/>
  <c r="O179" i="1"/>
  <c r="O839" i="1"/>
  <c r="O840" i="1"/>
  <c r="O1318" i="1"/>
  <c r="O924" i="1"/>
  <c r="O932" i="1"/>
  <c r="O371" i="1"/>
  <c r="O452" i="1"/>
  <c r="O965" i="1"/>
  <c r="O567" i="1"/>
  <c r="O180" i="1"/>
  <c r="O591" i="1"/>
  <c r="O1003" i="1"/>
  <c r="O1136" i="1"/>
  <c r="O694" i="1"/>
  <c r="O730" i="1"/>
  <c r="O181" i="1"/>
  <c r="O1044" i="1"/>
  <c r="O492" i="1"/>
  <c r="O620" i="1"/>
  <c r="O603" i="1"/>
  <c r="O182" i="1"/>
  <c r="O893" i="1"/>
  <c r="O878" i="1"/>
  <c r="O887" i="1"/>
  <c r="O568" i="1"/>
  <c r="O1112" i="1"/>
  <c r="O914" i="1"/>
  <c r="O1173" i="1"/>
  <c r="O1184" i="1"/>
  <c r="O398" i="1"/>
  <c r="O430" i="1"/>
  <c r="O472" i="1"/>
  <c r="O1213" i="1"/>
  <c r="O672" i="1"/>
  <c r="O717" i="1"/>
  <c r="O1349" i="1"/>
  <c r="O183" i="1"/>
  <c r="O894" i="1"/>
  <c r="O879" i="1"/>
  <c r="O888" i="1"/>
  <c r="O569" i="1"/>
  <c r="O1004" i="1"/>
  <c r="O1113" i="1"/>
  <c r="O966" i="1"/>
  <c r="O184" i="1"/>
  <c r="O953" i="1"/>
  <c r="O954" i="1"/>
  <c r="O1319" i="1"/>
  <c r="O933" i="1"/>
  <c r="O841" i="1"/>
  <c r="O842" i="1"/>
  <c r="O185" i="1"/>
  <c r="O596" i="1"/>
  <c r="O501" i="1"/>
  <c r="O502" i="1"/>
  <c r="O399" i="1"/>
  <c r="O473" i="1"/>
  <c r="O1114" i="1"/>
  <c r="O597" i="1"/>
  <c r="O1307" i="1"/>
  <c r="O186" i="1"/>
  <c r="O895" i="1"/>
  <c r="O889" i="1"/>
  <c r="O570" i="1"/>
  <c r="O187" i="1"/>
  <c r="O1005" i="1"/>
  <c r="O1081" i="1"/>
  <c r="O188" i="1"/>
  <c r="O695" i="1"/>
  <c r="O512" i="1"/>
  <c r="O555" i="1"/>
  <c r="O298" i="1"/>
  <c r="O189" i="1"/>
  <c r="O1045" i="1"/>
  <c r="O1235" i="1"/>
  <c r="O1236" i="1"/>
  <c r="O1237" i="1"/>
  <c r="O955" i="1"/>
  <c r="O1137" i="1"/>
  <c r="O843" i="1"/>
  <c r="O255" i="1"/>
  <c r="O190" i="1"/>
  <c r="O299" i="1"/>
  <c r="O300" i="1"/>
  <c r="O844" i="1"/>
  <c r="O400" i="1"/>
  <c r="O474" i="1"/>
  <c r="O689" i="1"/>
  <c r="O191" i="1"/>
  <c r="O654" i="1"/>
  <c r="O192" i="1"/>
  <c r="O1327" i="1"/>
  <c r="O193" i="1"/>
  <c r="O655" i="1"/>
  <c r="O194" i="1"/>
  <c r="O718" i="1"/>
  <c r="O940" i="1"/>
  <c r="O195" i="1"/>
  <c r="O1328" i="1"/>
  <c r="O1371" i="1"/>
  <c r="O1360" i="1"/>
  <c r="O925" i="1"/>
  <c r="O1320" i="1"/>
  <c r="O1261" i="1"/>
  <c r="O731" i="1"/>
  <c r="O498" i="1"/>
  <c r="O1006" i="1"/>
  <c r="O1046" i="1"/>
  <c r="O475" i="1"/>
  <c r="O1207" i="1"/>
  <c r="O401" i="1"/>
  <c r="O1049" i="1"/>
  <c r="O1238" i="1"/>
  <c r="O402" i="1"/>
  <c r="O476" i="1"/>
  <c r="O845" i="1"/>
  <c r="O926" i="1"/>
  <c r="O1007" i="1"/>
  <c r="O927" i="1"/>
  <c r="O746" i="1"/>
  <c r="O1008" i="1"/>
  <c r="O633" i="1"/>
  <c r="O243" i="1"/>
  <c r="O719" i="1"/>
  <c r="O846" i="1"/>
  <c r="O196" i="1"/>
  <c r="O403" i="1"/>
  <c r="O477" i="1"/>
  <c r="O197" i="1"/>
  <c r="O690" i="1"/>
  <c r="O1329" i="1"/>
  <c r="O696" i="1"/>
  <c r="O256" i="1"/>
  <c r="O571" i="1"/>
  <c r="O847" i="1"/>
  <c r="O1244" i="1"/>
  <c r="O1025" i="1"/>
  <c r="O1185" i="1"/>
  <c r="O1174" i="1"/>
  <c r="O941" i="1"/>
  <c r="O880" i="1"/>
  <c r="O572" i="1"/>
  <c r="O478" i="1"/>
  <c r="O848" i="1"/>
  <c r="O942" i="1"/>
  <c r="O503" i="1"/>
  <c r="O1372" i="1"/>
  <c r="O301" i="1"/>
  <c r="O198" i="1"/>
  <c r="O1344" i="1"/>
  <c r="O302" i="1"/>
  <c r="O1164" i="1"/>
  <c r="O326" i="1"/>
  <c r="O1321" i="1"/>
  <c r="O1361" i="1"/>
  <c r="O758" i="1"/>
  <c r="O1278" i="1"/>
  <c r="O656" i="1"/>
  <c r="O657" i="1"/>
  <c r="O849" i="1"/>
  <c r="O732" i="1"/>
  <c r="O1262" i="1"/>
  <c r="O1047" i="1"/>
  <c r="O404" i="1"/>
  <c r="O479" i="1"/>
  <c r="O733" i="1"/>
  <c r="O850" i="1"/>
  <c r="O634" i="1"/>
  <c r="O928" i="1"/>
  <c r="O480" i="1"/>
  <c r="O766" i="1"/>
  <c r="O767" i="1"/>
  <c r="O303" i="1"/>
  <c r="O199" i="1"/>
  <c r="O851" i="1"/>
  <c r="O200" i="1"/>
  <c r="O881" i="1"/>
  <c r="O573" i="1"/>
  <c r="O852" i="1"/>
  <c r="O929" i="1"/>
  <c r="O257" i="1"/>
  <c r="O258" i="1"/>
  <c r="O1186" i="1"/>
  <c r="O673" i="1"/>
  <c r="O1009" i="1"/>
  <c r="O1187" i="1"/>
  <c r="O304" i="1"/>
  <c r="O1175" i="1"/>
  <c r="O1188" i="1"/>
  <c r="O574" i="1"/>
  <c r="O943" i="1"/>
  <c r="O1245" i="1"/>
  <c r="O201" i="1"/>
  <c r="O621" i="1"/>
  <c r="O604" i="1"/>
  <c r="O202" i="1"/>
  <c r="O305" i="1"/>
  <c r="O203" i="1"/>
  <c r="O575" i="1"/>
  <c r="O853" i="1"/>
  <c r="O327" i="1"/>
  <c r="O693" i="1"/>
  <c r="O405" i="1"/>
  <c r="O481" i="1"/>
  <c r="O785" i="1"/>
  <c r="O406" i="1"/>
  <c r="O482" i="1"/>
  <c r="O204" i="1"/>
  <c r="O328" i="1"/>
  <c r="O381" i="1"/>
  <c r="O459" i="1"/>
  <c r="O515" i="1"/>
  <c r="O674" i="1"/>
  <c r="O882" i="1"/>
  <c r="O1293" i="1"/>
  <c r="O576" i="1"/>
  <c r="O583" i="1"/>
  <c r="O306" i="1"/>
  <c r="O205" i="1"/>
  <c r="O584" i="1"/>
  <c r="O1010" i="1"/>
  <c r="O635" i="1"/>
  <c r="O206" i="1"/>
  <c r="O592" i="1"/>
  <c r="O207" i="1"/>
  <c r="O506" i="1"/>
  <c r="O1279" i="1"/>
  <c r="O1298" i="1"/>
  <c r="O556" i="1"/>
  <c r="O734" i="1"/>
  <c r="O901" i="1"/>
  <c r="O854" i="1"/>
  <c r="O577" i="1"/>
  <c r="O1308" i="1"/>
  <c r="O944" i="1"/>
  <c r="O1330" i="1"/>
  <c r="O945" i="1"/>
  <c r="O1214" i="1"/>
  <c r="O1189" i="1"/>
  <c r="O1309" i="1"/>
  <c r="O1294" i="1"/>
  <c r="O622" i="1"/>
  <c r="O208" i="1"/>
  <c r="O855" i="1"/>
  <c r="O1273" i="1"/>
  <c r="O307" i="1"/>
  <c r="O1263" i="1"/>
  <c r="O1350" i="1"/>
  <c r="O1322" i="1"/>
  <c r="O1121" i="1"/>
  <c r="O1119" i="1"/>
  <c r="O1120" i="1"/>
  <c r="O1118" i="1"/>
  <c r="O209" i="1"/>
  <c r="O1323" i="1"/>
  <c r="O585" i="1"/>
  <c r="O774" i="1"/>
  <c r="O1264" i="1"/>
  <c r="O1011" i="1"/>
  <c r="O915" i="1"/>
  <c r="O856" i="1"/>
  <c r="O586" i="1"/>
  <c r="O1138" i="1"/>
  <c r="O956" i="1"/>
  <c r="O675" i="1"/>
  <c r="O691" i="1"/>
  <c r="O1385" i="1"/>
  <c r="O407" i="1"/>
  <c r="O946" i="1"/>
  <c r="O658" i="1"/>
  <c r="O560" i="1"/>
  <c r="O210" i="1"/>
  <c r="O1295" i="1"/>
  <c r="O557" i="1"/>
  <c r="O507" i="1"/>
  <c r="O211" i="1"/>
  <c r="O1191" i="1"/>
  <c r="O212" i="1"/>
  <c r="O676" i="1"/>
  <c r="O1331" i="1"/>
  <c r="O704" i="1"/>
  <c r="O712" i="1"/>
  <c r="O508" i="1"/>
  <c r="O1280" i="1"/>
  <c r="O213" i="1"/>
  <c r="O1265" i="1"/>
  <c r="O1012" i="1"/>
  <c r="O705" i="1"/>
  <c r="O713" i="1"/>
  <c r="O1296" i="1"/>
  <c r="O558" i="1"/>
  <c r="O509" i="1"/>
  <c r="O1297" i="1"/>
  <c r="O559" i="1"/>
  <c r="O1026" i="1"/>
  <c r="O329" i="1"/>
  <c r="O623" i="1"/>
  <c r="O605" i="1"/>
  <c r="O214" i="1"/>
  <c r="O775" i="1"/>
  <c r="O1239" i="1"/>
  <c r="O947" i="1"/>
  <c r="O871" i="1"/>
  <c r="O561" i="1"/>
  <c r="O957" i="1"/>
  <c r="O1266" i="1"/>
  <c r="O372" i="1"/>
  <c r="O1076" i="1"/>
  <c r="O453" i="1"/>
  <c r="O215" i="1"/>
  <c r="O692" i="1"/>
  <c r="O216" i="1"/>
  <c r="O857" i="1"/>
  <c r="O1362" i="1"/>
  <c r="O747" i="1"/>
  <c r="O624" i="1"/>
  <c r="O1246" i="1"/>
  <c r="O217" i="1"/>
  <c r="O330" i="1"/>
  <c r="O735" i="1"/>
  <c r="O1115" i="1"/>
  <c r="O504" i="1"/>
  <c r="O483" i="1"/>
  <c r="O1363" i="1"/>
  <c r="O1373" i="1"/>
  <c r="O1324" i="1"/>
  <c r="O408" i="1"/>
  <c r="O484" i="1"/>
  <c r="O417" i="1"/>
  <c r="O1208" i="1"/>
  <c r="O1116" i="1"/>
  <c r="O505" i="1"/>
  <c r="O308" i="1"/>
  <c r="O218" i="1"/>
  <c r="O309" i="1"/>
  <c r="O331" i="1"/>
  <c r="O1139" i="1"/>
  <c r="O1027" i="1"/>
  <c r="O1311" i="1"/>
  <c r="O916" i="1"/>
  <c r="O1192" i="1"/>
  <c r="O332" i="1"/>
  <c r="O858" i="1"/>
  <c r="O659" i="1"/>
  <c r="O636" i="1"/>
  <c r="O409" i="1"/>
  <c r="O485" i="1"/>
  <c r="O859" i="1"/>
  <c r="O310" i="1"/>
  <c r="O219" i="1"/>
  <c r="O311" i="1"/>
  <c r="O220" i="1"/>
  <c r="O594" i="1"/>
  <c r="O221" i="1"/>
  <c r="O410" i="1"/>
  <c r="O1117" i="1"/>
  <c r="O1325" i="1"/>
  <c r="O660" i="1"/>
  <c r="O600" i="1"/>
  <c r="O222" i="1"/>
  <c r="O861" i="1"/>
  <c r="O662" i="1"/>
  <c r="O601" i="1"/>
  <c r="O637" i="1"/>
  <c r="O606" i="1"/>
  <c r="O860" i="1"/>
  <c r="O1122" i="1"/>
  <c r="O661" i="1"/>
  <c r="O223" i="1"/>
  <c r="O1267" i="1"/>
  <c r="O862" i="1"/>
  <c r="O638" i="1"/>
  <c r="O607" i="1"/>
  <c r="O863" i="1"/>
  <c r="O1388" i="1" l="1"/>
</calcChain>
</file>

<file path=xl/sharedStrings.xml><?xml version="1.0" encoding="utf-8"?>
<sst xmlns="http://schemas.openxmlformats.org/spreadsheetml/2006/main" count="8814" uniqueCount="1387">
  <si>
    <t>Categoría Producto</t>
  </si>
  <si>
    <t>Piscinas</t>
  </si>
  <si>
    <t>Año</t>
  </si>
  <si>
    <t>Suma de m2</t>
  </si>
  <si>
    <t>Suma de Costo Venta</t>
  </si>
  <si>
    <t>Suma de Neto</t>
  </si>
  <si>
    <t>Suma de Descuento</t>
  </si>
  <si>
    <t>Suma de PVP</t>
  </si>
  <si>
    <t>2023</t>
  </si>
  <si>
    <t>ACABADOS BRIKO SA</t>
  </si>
  <si>
    <t>ALVAREZ RUIZ SYLVIA DEL ROCIO</t>
  </si>
  <si>
    <t>ANIMEDICAL CORPORATION CIA LTDA</t>
  </si>
  <si>
    <t>COMPANIA COMERCIAL REINA VICTORIA</t>
  </si>
  <si>
    <t>CONSTRUCTORA PROHORIZON</t>
  </si>
  <si>
    <t>DANIELA DRIAU</t>
  </si>
  <si>
    <t>DEGRES S.A.S</t>
  </si>
  <si>
    <t>DISEÑO ARQUITECTURA Y SOLUCIONES DASC S.A.S.</t>
  </si>
  <si>
    <t>ESTEBAN PADILLA</t>
  </si>
  <si>
    <t>FIDEICOMISO INMOBILIARIO FERRARA</t>
  </si>
  <si>
    <t>FIDEICOMISO INMOBILIARIO LA MOYA</t>
  </si>
  <si>
    <t>IMPORTADORA VEGA S.A.</t>
  </si>
  <si>
    <t>IZURIETA SILVA ROBERTO FRANCISCO</t>
  </si>
  <si>
    <t>JORGE HUGO REYES LEVOYER</t>
  </si>
  <si>
    <t>SIERRAFERTTIL CIA LTDA</t>
  </si>
  <si>
    <t>STYLOSDKAS CIA. LTDA.</t>
  </si>
  <si>
    <t>TOBIAS GORRIS</t>
  </si>
  <si>
    <t>VEGA BUSINESS S.A.</t>
  </si>
  <si>
    <t>2024</t>
  </si>
  <si>
    <t>CARLOS AIGAJE</t>
  </si>
  <si>
    <t>CASTILLO YAQUE SONIA ROXANA</t>
  </si>
  <si>
    <t>DENCER SA</t>
  </si>
  <si>
    <t>DEPROIN PS SAS</t>
  </si>
  <si>
    <t>EMILIO BORJA VALDIVIEZO</t>
  </si>
  <si>
    <t>OLGA MARIA VERA</t>
  </si>
  <si>
    <t>OLGA MARIA VERA FUENTES</t>
  </si>
  <si>
    <t>PATRICIO LUPERA A.</t>
  </si>
  <si>
    <t>RODRIGO SALINAS</t>
  </si>
  <si>
    <t>RUBEN ALVAREZ</t>
  </si>
  <si>
    <t>SERRANO PROAÑO DISEÑO Y CONSTRUCCIÓN S.A.</t>
  </si>
  <si>
    <t>2025</t>
  </si>
  <si>
    <t>DAVILA ALARCON EULALIA SUSANA</t>
  </si>
  <si>
    <t>FERNANDO DIAZ CHAVEZ</t>
  </si>
  <si>
    <t>HDECO S. A. S.</t>
  </si>
  <si>
    <t>IDEARQ ESTUDIO S.A.S</t>
  </si>
  <si>
    <t>JARAMILLO POZO DIEGO PATRICIO</t>
  </si>
  <si>
    <t>JIMMY MARCELO VELEZ ORTIZ</t>
  </si>
  <si>
    <t>PROAÑO JUAN SEBASTIAN</t>
  </si>
  <si>
    <t>REALMENTEPURA S.A.S.</t>
  </si>
  <si>
    <t>Total general</t>
  </si>
  <si>
    <t>Fecha de Emisión</t>
  </si>
  <si>
    <t>Vendedor</t>
  </si>
  <si>
    <t># Documento</t>
  </si>
  <si>
    <t>Canal Comercial</t>
  </si>
  <si>
    <t>Razón Social</t>
  </si>
  <si>
    <t>Cantidad</t>
  </si>
  <si>
    <t>Producto</t>
  </si>
  <si>
    <t>PVP</t>
  </si>
  <si>
    <t>Descuento</t>
  </si>
  <si>
    <t>Neto</t>
  </si>
  <si>
    <t>Costo Venta</t>
  </si>
  <si>
    <t>Costo Uni.</t>
  </si>
  <si>
    <t>Conversión</t>
  </si>
  <si>
    <t>M2</t>
  </si>
  <si>
    <t>Rentabilidad</t>
  </si>
  <si>
    <t>Otros Servicio</t>
  </si>
  <si>
    <t>OFICINA</t>
  </si>
  <si>
    <t>001-001-000000032</t>
  </si>
  <si>
    <t>Distribuidores</t>
  </si>
  <si>
    <t>ZUHAUSE CIALTDA</t>
  </si>
  <si>
    <t>*Asesoramiento De Interiores</t>
  </si>
  <si>
    <t>001-001-000000033</t>
  </si>
  <si>
    <t>Directo</t>
  </si>
  <si>
    <t>EMPRESA NACIONAL DE AGUA CALIENTE HIDROTERM</t>
  </si>
  <si>
    <t>001-001-000000047</t>
  </si>
  <si>
    <t>001-001-000000048</t>
  </si>
  <si>
    <t>001-001-000000070</t>
  </si>
  <si>
    <t>001-001-000000071</t>
  </si>
  <si>
    <t>001-001-000000115</t>
  </si>
  <si>
    <t>001-001-000000116</t>
  </si>
  <si>
    <t>001-001-000000160</t>
  </si>
  <si>
    <t>001-001-000000161</t>
  </si>
  <si>
    <t>MOPOSITA GUITARRA ENMA PATRICIA</t>
  </si>
  <si>
    <t>001-001-000000169</t>
  </si>
  <si>
    <t>SANTIAGO XAVIER GALVEZ JACOME</t>
  </si>
  <si>
    <t>001-001-000000194</t>
  </si>
  <si>
    <t>001-001-000000195</t>
  </si>
  <si>
    <t>001-001-000000235</t>
  </si>
  <si>
    <t>001-001-000000236</t>
  </si>
  <si>
    <t>001-001-000000260</t>
  </si>
  <si>
    <t>001-001-000000261</t>
  </si>
  <si>
    <t>001-001-000000290</t>
  </si>
  <si>
    <t>001-001-000000291</t>
  </si>
  <si>
    <t>001-001-000000322</t>
  </si>
  <si>
    <t>001-001-000000323</t>
  </si>
  <si>
    <t>001-001-000000348</t>
  </si>
  <si>
    <t>001-001-000000349</t>
  </si>
  <si>
    <t>001-001-000000380</t>
  </si>
  <si>
    <t>001-001-000000386</t>
  </si>
  <si>
    <t>001-001-000000411</t>
  </si>
  <si>
    <t>001-001-000000412</t>
  </si>
  <si>
    <t>001-001-000000426</t>
  </si>
  <si>
    <t>001-001-000000431</t>
  </si>
  <si>
    <t>001-001-000000449</t>
  </si>
  <si>
    <t>001-001-000000452</t>
  </si>
  <si>
    <t>001-001-000000477</t>
  </si>
  <si>
    <t>001-001-000000509</t>
  </si>
  <si>
    <t>001-001-000000548</t>
  </si>
  <si>
    <t>001-001-000000572</t>
  </si>
  <si>
    <t>Servicio logístico</t>
  </si>
  <si>
    <t>SERRANO GARRIDO GIOVANNA DEL ROCIO</t>
  </si>
  <si>
    <t>001-001-000000006</t>
  </si>
  <si>
    <t>HERRERA TERESA</t>
  </si>
  <si>
    <t>*Servicio Logistico</t>
  </si>
  <si>
    <t>001-001-000000007</t>
  </si>
  <si>
    <t>001-001-000000008</t>
  </si>
  <si>
    <t>BALLADARES PEREZ REINA JACQUELINE</t>
  </si>
  <si>
    <t>001-001-000000010</t>
  </si>
  <si>
    <t>TAPIA VERDESOTO JORGE FERNANDO</t>
  </si>
  <si>
    <t>001-001-000000011</t>
  </si>
  <si>
    <t>DALET PAZ</t>
  </si>
  <si>
    <t>001-001-000000013</t>
  </si>
  <si>
    <t>GABRIELA BOHORQUEZ</t>
  </si>
  <si>
    <t>001-001-000000015</t>
  </si>
  <si>
    <t>JOUN YET</t>
  </si>
  <si>
    <t>001-001-000000018</t>
  </si>
  <si>
    <t>001-001-000000019</t>
  </si>
  <si>
    <t>INDUSTRIA DE PLASTICOS EXPANDIBLES PLASTEX S.A</t>
  </si>
  <si>
    <t>001-001-000000024</t>
  </si>
  <si>
    <t>NORMA PUERTAS</t>
  </si>
  <si>
    <t>001-001-000000026</t>
  </si>
  <si>
    <t>JUAN FERNANDO DELGADO</t>
  </si>
  <si>
    <t>001-001-000000027</t>
  </si>
  <si>
    <t>Arquitectos</t>
  </si>
  <si>
    <t>MANUFACTURAS AMERICANAS</t>
  </si>
  <si>
    <t>001-001-000000036</t>
  </si>
  <si>
    <t>DOTTI RATTI MARCELO JOSE</t>
  </si>
  <si>
    <t>001-001-000000037</t>
  </si>
  <si>
    <t>Constructores</t>
  </si>
  <si>
    <t>CASCO Y GUERRA ASOCIADOS CIA LTDA</t>
  </si>
  <si>
    <t>001-001-000000040</t>
  </si>
  <si>
    <t>DIEGO JUSTICIA</t>
  </si>
  <si>
    <t>001-001-000000041</t>
  </si>
  <si>
    <t>SANDRA OCHOA</t>
  </si>
  <si>
    <t>JULIO VASQUEZ</t>
  </si>
  <si>
    <t>001-001-000000045</t>
  </si>
  <si>
    <t>ZEA MEDINA HERNAN DANIEL</t>
  </si>
  <si>
    <t>001-001-000000046</t>
  </si>
  <si>
    <t>COBO FRANCISCO</t>
  </si>
  <si>
    <t>001-001-000000054</t>
  </si>
  <si>
    <t>001-001-000000055</t>
  </si>
  <si>
    <t>001-001-000000057</t>
  </si>
  <si>
    <t>CASACES S.A.</t>
  </si>
  <si>
    <t>001-001-000000063</t>
  </si>
  <si>
    <t>001-001-000000067</t>
  </si>
  <si>
    <t>001-001-000000068</t>
  </si>
  <si>
    <t xml:space="preserve">IDITRABAHAQ </t>
  </si>
  <si>
    <t>001-001-000000069</t>
  </si>
  <si>
    <t>CONSULTINGPACK S.A.</t>
  </si>
  <si>
    <t>001-001-000000101</t>
  </si>
  <si>
    <t>RACINES VIZUETE JOHNNY FABIAN</t>
  </si>
  <si>
    <t>001-001-000000105</t>
  </si>
  <si>
    <t>FRIOEXPORT  SA</t>
  </si>
  <si>
    <t>001-001-000000107</t>
  </si>
  <si>
    <t>RAMON GAVILANEZ</t>
  </si>
  <si>
    <t>001-001-000000114</t>
  </si>
  <si>
    <t>HUGO LEON GOZALEZ</t>
  </si>
  <si>
    <t>001-001-000000117</t>
  </si>
  <si>
    <t>TERMALIMEX CIA LTDA</t>
  </si>
  <si>
    <t>001-001-000000123</t>
  </si>
  <si>
    <t>001-001-000000127</t>
  </si>
  <si>
    <t>CONTEXTO-AB</t>
  </si>
  <si>
    <t>001-001-000000128</t>
  </si>
  <si>
    <t>001-001-000000131</t>
  </si>
  <si>
    <t>CASALINK S.A.S</t>
  </si>
  <si>
    <t>001-001-000000132</t>
  </si>
  <si>
    <t>CATTAN CONSTRUCCIONES</t>
  </si>
  <si>
    <t>001-001-000000151</t>
  </si>
  <si>
    <t>MARIA JUDITH SANCHEZ</t>
  </si>
  <si>
    <t>001-001-000000152</t>
  </si>
  <si>
    <t>DAIRA LEVOYE</t>
  </si>
  <si>
    <t>001-001-000000159</t>
  </si>
  <si>
    <t>INVERSIONES AHC S.C.C.</t>
  </si>
  <si>
    <t>001-001-000000163</t>
  </si>
  <si>
    <t>VALAREZO Y VALAREZO CONSTRUCTORA VALAREZO COMPANY</t>
  </si>
  <si>
    <t>001-001-000000166</t>
  </si>
  <si>
    <t>HOTEL FINLANDIA</t>
  </si>
  <si>
    <t>001-001-000000170</t>
  </si>
  <si>
    <t>CARMEN MONTENEGRO</t>
  </si>
  <si>
    <t>001-001-000000171</t>
  </si>
  <si>
    <t>001-001-000000173</t>
  </si>
  <si>
    <t>001-001-000000177</t>
  </si>
  <si>
    <t>MAURICIO FRAGA</t>
  </si>
  <si>
    <t>001-001-000000178</t>
  </si>
  <si>
    <t>GABRIELA IZURIETA</t>
  </si>
  <si>
    <t>001-001-000000185</t>
  </si>
  <si>
    <t>ANPECORP SAS</t>
  </si>
  <si>
    <t>001-001-000000186</t>
  </si>
  <si>
    <t>001-001-000000196</t>
  </si>
  <si>
    <t>WANDEMBERG VELASTEGUI</t>
  </si>
  <si>
    <t>001-001-000000207</t>
  </si>
  <si>
    <t>PAULINA TERESITA GARRIDO ORTEGA</t>
  </si>
  <si>
    <t>001-001-000000222</t>
  </si>
  <si>
    <t>001-001-000000223</t>
  </si>
  <si>
    <t>SERCUVE CIA. LTDA.</t>
  </si>
  <si>
    <t>001-001-000000224</t>
  </si>
  <si>
    <t>001-001-000000226</t>
  </si>
  <si>
    <t>CHALES CHL S.A.</t>
  </si>
  <si>
    <t>001-001-000000228</t>
  </si>
  <si>
    <t>MAURICIO MARTINEZ</t>
  </si>
  <si>
    <t>001-001-000000231</t>
  </si>
  <si>
    <t>ALEXANDER HEARN</t>
  </si>
  <si>
    <t>001-001-000000233</t>
  </si>
  <si>
    <t>001-001-000000234</t>
  </si>
  <si>
    <t>FERNANDO CONSTANTE</t>
  </si>
  <si>
    <t>ANDRADE CHECA DIANA LUCIA</t>
  </si>
  <si>
    <t>001-001-000000238</t>
  </si>
  <si>
    <t>MIRANDA LARA FAUSTO ANTONIO</t>
  </si>
  <si>
    <t>001-001-000000239</t>
  </si>
  <si>
    <t>001-001-000000241</t>
  </si>
  <si>
    <t>Diego Salvador</t>
  </si>
  <si>
    <t>001-001-000000243</t>
  </si>
  <si>
    <t>001-001-000000244</t>
  </si>
  <si>
    <t>001-001-000000248</t>
  </si>
  <si>
    <t>001-001-000000250</t>
  </si>
  <si>
    <t>001-001-000000253</t>
  </si>
  <si>
    <t>FERNANDEZ CEVALLOS JUAN CARLOS</t>
  </si>
  <si>
    <t>001-001-000000269</t>
  </si>
  <si>
    <t>ENZO CAIOZZI LIMONCI</t>
  </si>
  <si>
    <t>001-001-000000272</t>
  </si>
  <si>
    <t>FELIPE GARCES</t>
  </si>
  <si>
    <t>001-001-000000273</t>
  </si>
  <si>
    <t>001-001-000000274</t>
  </si>
  <si>
    <t>FABRICIO LUZURIAGA CHAVEZ</t>
  </si>
  <si>
    <t>001-001-000000278</t>
  </si>
  <si>
    <t>DARIO GUAMAN</t>
  </si>
  <si>
    <t>001-001-000000279</t>
  </si>
  <si>
    <t>JOSE LUIS ACOSTA</t>
  </si>
  <si>
    <t>001-001-000000280</t>
  </si>
  <si>
    <t>001-001-000000282</t>
  </si>
  <si>
    <t>EVVIVA S.A.S</t>
  </si>
  <si>
    <t>001-001-000000296</t>
  </si>
  <si>
    <t>ANDRES CEVALLOS</t>
  </si>
  <si>
    <t>001-001-000000305</t>
  </si>
  <si>
    <t>PRISCILA GARCES</t>
  </si>
  <si>
    <t>001-001-000000307</t>
  </si>
  <si>
    <t>001-001-000000308</t>
  </si>
  <si>
    <t>GINO SCHWANGER</t>
  </si>
  <si>
    <t>001-001-000000312</t>
  </si>
  <si>
    <t>JAMES ADRIAN ANDRADE CUTOS</t>
  </si>
  <si>
    <t>001-001-000000314</t>
  </si>
  <si>
    <t>001-001-000000315</t>
  </si>
  <si>
    <t>SOFIA SALAZAR</t>
  </si>
  <si>
    <t>001-001-000000317</t>
  </si>
  <si>
    <t>MARIA EULALIA CHIRIBOGA</t>
  </si>
  <si>
    <t>001-001-000000320</t>
  </si>
  <si>
    <t>001-001-000000329</t>
  </si>
  <si>
    <t>MIGUEL ANGEL PERITO</t>
  </si>
  <si>
    <t>001-001-000000334</t>
  </si>
  <si>
    <t>001-001-000000339</t>
  </si>
  <si>
    <t>DIEGO ARIAS AGUILAR</t>
  </si>
  <si>
    <t>001-001-000000343</t>
  </si>
  <si>
    <t>DAVID LUPERA</t>
  </si>
  <si>
    <t>001-001-000000355</t>
  </si>
  <si>
    <t>001-001-000000359</t>
  </si>
  <si>
    <t>ANA REGALADO</t>
  </si>
  <si>
    <t>001-001-000000360</t>
  </si>
  <si>
    <t>001-001-000000361</t>
  </si>
  <si>
    <t>001-001-000000366</t>
  </si>
  <si>
    <t>001-001-000000371</t>
  </si>
  <si>
    <t>JENNY TRUJILLO</t>
  </si>
  <si>
    <t>001-001-000000374</t>
  </si>
  <si>
    <t>GONZALEZ ALTAMIRANO LUCIA CATHERINE</t>
  </si>
  <si>
    <t>001-001-000000393</t>
  </si>
  <si>
    <t>001-001-000000394</t>
  </si>
  <si>
    <t>LUIS TORRES BARRIGA</t>
  </si>
  <si>
    <t>001-001-000000397</t>
  </si>
  <si>
    <t>DARIO ALVAREZ</t>
  </si>
  <si>
    <t>001-001-000000398</t>
  </si>
  <si>
    <t>HARO VALENCIA MARCELO ALEXANDER</t>
  </si>
  <si>
    <t>001-001-000000414</t>
  </si>
  <si>
    <t>CLAUDIO RENATO GONZÁLEZ PUERTAS</t>
  </si>
  <si>
    <t>001-001-000000417</t>
  </si>
  <si>
    <t>001-001-000000419</t>
  </si>
  <si>
    <t>KUBYKA S.A</t>
  </si>
  <si>
    <t>001-001-000000420</t>
  </si>
  <si>
    <t>001-001-000000421</t>
  </si>
  <si>
    <t>001-001-000000423</t>
  </si>
  <si>
    <t>ASISTANET  S.A</t>
  </si>
  <si>
    <t>001-001-000000435</t>
  </si>
  <si>
    <t>MASCOMMERCE CIA.LTDA.</t>
  </si>
  <si>
    <t>001-001-000000434</t>
  </si>
  <si>
    <t>DISEÑOS Y DECORACIONES</t>
  </si>
  <si>
    <t>001-001-000000440</t>
  </si>
  <si>
    <t>MIGUEL ANGEL CARMONA</t>
  </si>
  <si>
    <t>001-001-000000441</t>
  </si>
  <si>
    <t>ARQUITECTURA DINNOVA ARQDINN CIA.LTDA.</t>
  </si>
  <si>
    <t>001-001-000000445</t>
  </si>
  <si>
    <t>PABLO ORDOÑEZ</t>
  </si>
  <si>
    <t>001-001-000000446</t>
  </si>
  <si>
    <t>001-001-000000450</t>
  </si>
  <si>
    <t>OMACA</t>
  </si>
  <si>
    <t>001-001-000000455</t>
  </si>
  <si>
    <t>JOFFRE AGUIRRE</t>
  </si>
  <si>
    <t>001-001-000000463</t>
  </si>
  <si>
    <t>001-001-000000460</t>
  </si>
  <si>
    <t>CARTRON SA</t>
  </si>
  <si>
    <t>001-001-000000464</t>
  </si>
  <si>
    <t>DANIELLA ANDRETTA SCHUMACHER</t>
  </si>
  <si>
    <t>001-001-000000474</t>
  </si>
  <si>
    <t>001-001-000000487</t>
  </si>
  <si>
    <t>001-001-000000496</t>
  </si>
  <si>
    <t>001-001-000000497</t>
  </si>
  <si>
    <t>001-001-000000501</t>
  </si>
  <si>
    <t>AIDA ROCIO BETANCOURT</t>
  </si>
  <si>
    <t>001-001-000000510</t>
  </si>
  <si>
    <t>CITRONSAFT SAS</t>
  </si>
  <si>
    <t>001-001-000000527</t>
  </si>
  <si>
    <t>001-001-000000536</t>
  </si>
  <si>
    <t>001-001-000000546</t>
  </si>
  <si>
    <t>ANDREA VELASTEGUI</t>
  </si>
  <si>
    <t>001-001-000000549</t>
  </si>
  <si>
    <t>LEONARDO MAURICIO CAJAS ROBLES</t>
  </si>
  <si>
    <t>001-001-000000560</t>
  </si>
  <si>
    <t>001-001-000000571</t>
  </si>
  <si>
    <t>001-001-000000588</t>
  </si>
  <si>
    <t>001-001-000000590</t>
  </si>
  <si>
    <t>001-001-000000593</t>
  </si>
  <si>
    <t>Olga Yepez</t>
  </si>
  <si>
    <t>001-001-000000594</t>
  </si>
  <si>
    <t>Habita Cia Ltda</t>
  </si>
  <si>
    <t>001-001-000000595</t>
  </si>
  <si>
    <t>001-001-000000597</t>
  </si>
  <si>
    <t>001-001-000000603</t>
  </si>
  <si>
    <t>ARTHOTELES ECUADOR S A</t>
  </si>
  <si>
    <t>001-001-000000612</t>
  </si>
  <si>
    <t>001-001-000000616</t>
  </si>
  <si>
    <t>001-001-000000633</t>
  </si>
  <si>
    <t>001-001-000000635</t>
  </si>
  <si>
    <t>001-001-000000636</t>
  </si>
  <si>
    <t>001-001-000000640</t>
  </si>
  <si>
    <t>001-001-000000642</t>
  </si>
  <si>
    <t>001-001-000000653</t>
  </si>
  <si>
    <t>001-001-000000654</t>
  </si>
  <si>
    <t>001-001-000000659</t>
  </si>
  <si>
    <t>MATSAREC S.A.S.</t>
  </si>
  <si>
    <t>001-001-000000666</t>
  </si>
  <si>
    <t>ANDRES MENDOZA</t>
  </si>
  <si>
    <t>001-001-000000667</t>
  </si>
  <si>
    <t>001-001-000000673</t>
  </si>
  <si>
    <t>ABORIGENECUADOR S.A.S</t>
  </si>
  <si>
    <t>001-001-000000680</t>
  </si>
  <si>
    <t>001-001-000000686</t>
  </si>
  <si>
    <t>PALLARES GOMEZ DE LA TORRE JAVIER</t>
  </si>
  <si>
    <t>001-001-000000688</t>
  </si>
  <si>
    <t>001-001-000000689</t>
  </si>
  <si>
    <t>PUMAPUCARÁ S.A</t>
  </si>
  <si>
    <t>001-001-000000692</t>
  </si>
  <si>
    <t>RODRIGUEZ FERNANDO</t>
  </si>
  <si>
    <t>001-001-000000696</t>
  </si>
  <si>
    <t>001-001-000000705</t>
  </si>
  <si>
    <t>OPCODE S.A.</t>
  </si>
  <si>
    <t>001-001-000000709</t>
  </si>
  <si>
    <t>001-001-000000714</t>
  </si>
  <si>
    <t>YEPEZ JIJON DIANA ESTEFANIA</t>
  </si>
  <si>
    <t>001-001-000000712</t>
  </si>
  <si>
    <t>VERA SANTILLAN LUIS FERNANDO</t>
  </si>
  <si>
    <t>001-001-000000720</t>
  </si>
  <si>
    <t>001-001-000000719</t>
  </si>
  <si>
    <t>001-001-000000739</t>
  </si>
  <si>
    <t>001-001-000000741</t>
  </si>
  <si>
    <t>001-001-000000754</t>
  </si>
  <si>
    <t>001-001-000000777</t>
  </si>
  <si>
    <t>ANTONIO JAVIER QUINTANA MORENO</t>
  </si>
  <si>
    <t>001-001-000000778</t>
  </si>
  <si>
    <t>SERGIO DAVID VALLEJO TORO</t>
  </si>
  <si>
    <t>001-001-000000793</t>
  </si>
  <si>
    <t>FIGUEROA MACIAS RONALD DANIEL</t>
  </si>
  <si>
    <t>001-001-000000794</t>
  </si>
  <si>
    <t>001-001-000000795</t>
  </si>
  <si>
    <t>001-001-000000804</t>
  </si>
  <si>
    <t>001-001-000000813</t>
  </si>
  <si>
    <t>001-001-000000816</t>
  </si>
  <si>
    <t>CONSTRUCTORA XB S.C</t>
  </si>
  <si>
    <t>001-001-000000818</t>
  </si>
  <si>
    <t>001-001-000000830</t>
  </si>
  <si>
    <t>001-001-000000838</t>
  </si>
  <si>
    <t>001-001-000000856</t>
  </si>
  <si>
    <t>PROYECTOS SIN LIMITES PROLIMIT CIA. LTDA.</t>
  </si>
  <si>
    <t>001-001-000000857</t>
  </si>
  <si>
    <t>001-001-000000858</t>
  </si>
  <si>
    <t>001-001-000000862</t>
  </si>
  <si>
    <t>JUAN MANUEL CUESTA</t>
  </si>
  <si>
    <t>001-001-000000871</t>
  </si>
  <si>
    <t>PROTROPIC CIA. LTDA. (PRODUCTOS TROPICALES)</t>
  </si>
  <si>
    <t>001-001-000000880</t>
  </si>
  <si>
    <t>001-001-000000881</t>
  </si>
  <si>
    <t>001-001-000000887</t>
  </si>
  <si>
    <t>GUSTAVO REGALADO NIETO</t>
  </si>
  <si>
    <t>001-001-000000896</t>
  </si>
  <si>
    <t>001-001-000000908</t>
  </si>
  <si>
    <t>001-001-000000909</t>
  </si>
  <si>
    <t>001-001-000000910</t>
  </si>
  <si>
    <t>MIRANDA JAIME</t>
  </si>
  <si>
    <t>001-001-000000913</t>
  </si>
  <si>
    <t>001-001-000000915</t>
  </si>
  <si>
    <t>Bricks</t>
  </si>
  <si>
    <t>Adobebrick 15 X 45</t>
  </si>
  <si>
    <t>001-001-000000472</t>
  </si>
  <si>
    <t>001-001-000000584</t>
  </si>
  <si>
    <t>Coatings</t>
  </si>
  <si>
    <t>001-001-000000539</t>
  </si>
  <si>
    <t>Coating Adobe 50 X 100</t>
  </si>
  <si>
    <t>001-001-000000617</t>
  </si>
  <si>
    <t>001-001-000000313</t>
  </si>
  <si>
    <t>Coating Adobe 60 X 170</t>
  </si>
  <si>
    <t>001-001-000000327</t>
  </si>
  <si>
    <t>001-001-000000342</t>
  </si>
  <si>
    <t>001-001-000000390</t>
  </si>
  <si>
    <t>Anclaje</t>
  </si>
  <si>
    <t>Piedras</t>
  </si>
  <si>
    <t>001-001-000000014</t>
  </si>
  <si>
    <t>Andes Ocre Piedra 10 X 20. 10 X 30. 10 X 50</t>
  </si>
  <si>
    <t>001-001-000000017</t>
  </si>
  <si>
    <t>EMPRESA AGROPECUARIA SAN CARLOS</t>
  </si>
  <si>
    <t>001-001-000000084</t>
  </si>
  <si>
    <t>001-001-000000087</t>
  </si>
  <si>
    <t>001-001-000000096</t>
  </si>
  <si>
    <t>001-001-000000118</t>
  </si>
  <si>
    <t>001-001-000000324</t>
  </si>
  <si>
    <t>001-001-000000738</t>
  </si>
  <si>
    <t>Concreto</t>
  </si>
  <si>
    <t>Concreto Apparente Multiformato</t>
  </si>
  <si>
    <t>001-001-000000255</t>
  </si>
  <si>
    <t>VALAREZO &amp; VALAREZO PROMOTORA INMOBILIARIA</t>
  </si>
  <si>
    <t>001-001-000000344</t>
  </si>
  <si>
    <t>001-001-000000365</t>
  </si>
  <si>
    <t>001-001-000000489</t>
  </si>
  <si>
    <t>001-001-000000703</t>
  </si>
  <si>
    <t>LORENA MONTALVO</t>
  </si>
  <si>
    <t>001-001-000000745</t>
  </si>
  <si>
    <t>001-001-000000782</t>
  </si>
  <si>
    <t>Concreto Apparente 50 X 100</t>
  </si>
  <si>
    <t>001-001-000000262</t>
  </si>
  <si>
    <t>001-001-000000337</t>
  </si>
  <si>
    <t>001-001-000000368</t>
  </si>
  <si>
    <t>001-001-000000370</t>
  </si>
  <si>
    <t>001-001-000000444</t>
  </si>
  <si>
    <t>001-001-000000466</t>
  </si>
  <si>
    <t>HOLGER BILLY SANCHEZ SOTO</t>
  </si>
  <si>
    <t>001-001-000000473</t>
  </si>
  <si>
    <t>001-001-000000486</t>
  </si>
  <si>
    <t>001-001-000000502</t>
  </si>
  <si>
    <t>001-001-000000517</t>
  </si>
  <si>
    <t>ESTELA RAMIREZ</t>
  </si>
  <si>
    <t>001-001-000000522</t>
  </si>
  <si>
    <t>001-001-000000559</t>
  </si>
  <si>
    <t>001-001-000000564</t>
  </si>
  <si>
    <t>001-001-000000569</t>
  </si>
  <si>
    <t>001-001-000000570</t>
  </si>
  <si>
    <t>001-001-000000580</t>
  </si>
  <si>
    <t>001-001-000000611</t>
  </si>
  <si>
    <t>001-001-000000613</t>
  </si>
  <si>
    <t>001-001-000000638</t>
  </si>
  <si>
    <t>001-001-000000706</t>
  </si>
  <si>
    <t>001-001-000000755</t>
  </si>
  <si>
    <t>001-001-000000787</t>
  </si>
  <si>
    <t>001-001-000000833</t>
  </si>
  <si>
    <t>001-001-000000899</t>
  </si>
  <si>
    <t>001-001-000000090</t>
  </si>
  <si>
    <t>OPALA SAS</t>
  </si>
  <si>
    <t>001-001-000000029</t>
  </si>
  <si>
    <t>DELGADO JUKA BELLA ISABEL</t>
  </si>
  <si>
    <t>001-001-000000482</t>
  </si>
  <si>
    <t>DECONCRETESA S.A</t>
  </si>
  <si>
    <t>001-001-000000757</t>
  </si>
  <si>
    <t>001-001-000000800</t>
  </si>
  <si>
    <t>001-001-000000805</t>
  </si>
  <si>
    <t>001-001-000000870</t>
  </si>
  <si>
    <t>001-001-000000890</t>
  </si>
  <si>
    <t>001-001-000000897</t>
  </si>
  <si>
    <t>001-001-000000901</t>
  </si>
  <si>
    <t>Mercaderia</t>
  </si>
  <si>
    <t>001-001-000000567</t>
  </si>
  <si>
    <t>227ITALY SAS</t>
  </si>
  <si>
    <t>BARREDERA INSTALADA EUROPEA HARVEST VERANO NAT TENDENCIA NAT DE 60X20X2400 MM</t>
  </si>
  <si>
    <t>001-001-000000220</t>
  </si>
  <si>
    <t>GALINA ROSSOVA</t>
  </si>
  <si>
    <t>Barredera Instalada Europea Marron Tana Toscanapetterson De 60X20X2400 Mm</t>
  </si>
  <si>
    <t>001-001-000000221</t>
  </si>
  <si>
    <t>BENJAMIN NUÑEZ SANCHEZ</t>
  </si>
  <si>
    <t>Barredera Instalada Europea Otono De 60X20X2400 Mm</t>
  </si>
  <si>
    <t>001-001-000000083</t>
  </si>
  <si>
    <t>Barredera Instalada Europea Verano Beige</t>
  </si>
  <si>
    <t>001-001-000000172</t>
  </si>
  <si>
    <t>001-001-000000025</t>
  </si>
  <si>
    <t>Barredora Instalada Europea Paris 100X2800 Mm</t>
  </si>
  <si>
    <t>Pisos</t>
  </si>
  <si>
    <t>Block Etrusco Gris Oscuro 12 X 25</t>
  </si>
  <si>
    <t>Block Etrusco Gris Oscuro 20 X 20</t>
  </si>
  <si>
    <t>001-001-000000156</t>
  </si>
  <si>
    <t>Borde Clasico 35 Atermica Arena 35 X 50</t>
  </si>
  <si>
    <t>001-001-000000202</t>
  </si>
  <si>
    <t>001-001-000000330</t>
  </si>
  <si>
    <t>Borde Clasico 35 Crema 35 X 50</t>
  </si>
  <si>
    <t>001-001-000000076</t>
  </si>
  <si>
    <t>001-001-000000077</t>
  </si>
  <si>
    <t>001-001-000000094</t>
  </si>
  <si>
    <t>001-001-000000144</t>
  </si>
  <si>
    <t>001-001-000000199</t>
  </si>
  <si>
    <t>001-001-000000200</t>
  </si>
  <si>
    <t>001-001-000000214</t>
  </si>
  <si>
    <t>001-001-000000217</t>
  </si>
  <si>
    <t>001-001-000000245</t>
  </si>
  <si>
    <t>001-001-000000247</t>
  </si>
  <si>
    <t>001-001-000000309</t>
  </si>
  <si>
    <t>001-001-000000357</t>
  </si>
  <si>
    <t>001-001-000000381</t>
  </si>
  <si>
    <t>001-001-000000382</t>
  </si>
  <si>
    <t>001-001-000000447</t>
  </si>
  <si>
    <t>001-001-000000515</t>
  </si>
  <si>
    <t>001-001-000000566</t>
  </si>
  <si>
    <t>001-001-000000658</t>
  </si>
  <si>
    <t>001-001-000000072</t>
  </si>
  <si>
    <t>Borde Clasico 35 Atermica Gris Claro 35 X 50</t>
  </si>
  <si>
    <t>001-001-000000332</t>
  </si>
  <si>
    <t>001-001-000000358</t>
  </si>
  <si>
    <t>001-001-000000378</t>
  </si>
  <si>
    <t>001-001-000000425</t>
  </si>
  <si>
    <t>001-001-000000582</t>
  </si>
  <si>
    <t>001-001-000000591</t>
  </si>
  <si>
    <t>001-001-000000806</t>
  </si>
  <si>
    <t>001-001-000000062</t>
  </si>
  <si>
    <t>Borde Clasico 35 Blanco Terrazo 35 X 50</t>
  </si>
  <si>
    <t>001-001-000000175</t>
  </si>
  <si>
    <t>001-001-000000275</t>
  </si>
  <si>
    <t>001-001-000000295</t>
  </si>
  <si>
    <t>001-001-000000304</t>
  </si>
  <si>
    <t>001-001-000000399</t>
  </si>
  <si>
    <t>001-001-000000529</t>
  </si>
  <si>
    <t>001-001-000000565</t>
  </si>
  <si>
    <t>001-001-000000598</t>
  </si>
  <si>
    <t>001-001-000000621</t>
  </si>
  <si>
    <t>001-001-000000623</t>
  </si>
  <si>
    <t>001-001-000000639</t>
  </si>
  <si>
    <t>001-001-000000643</t>
  </si>
  <si>
    <t>001-001-000000645</t>
  </si>
  <si>
    <t>001-001-000000669</t>
  </si>
  <si>
    <t>001-001-000000727</t>
  </si>
  <si>
    <t>001-001-000000729</t>
  </si>
  <si>
    <t>001-001-000000769</t>
  </si>
  <si>
    <t>001-001-000000802</t>
  </si>
  <si>
    <t>001-001-000000854</t>
  </si>
  <si>
    <t>001-001-000000895</t>
  </si>
  <si>
    <t>001-001-000000906</t>
  </si>
  <si>
    <t>001-001-000000911</t>
  </si>
  <si>
    <t>001-001-000000034</t>
  </si>
  <si>
    <t>Borde Concavo 35 Crema 35 X 50</t>
  </si>
  <si>
    <t>001-001-000000205</t>
  </si>
  <si>
    <t>001-001-000000157</t>
  </si>
  <si>
    <t>Borde Concavo 35 Atermica Gris Claro 35 X 50</t>
  </si>
  <si>
    <t>Borde Concavo 35 Blanco Terrazo 35 X 50</t>
  </si>
  <si>
    <t>Borde Convexo 35 Crema 35 X 50</t>
  </si>
  <si>
    <t>001-001-000000211</t>
  </si>
  <si>
    <t>Borde Exterior 35 Atermica Arena 35 X 35</t>
  </si>
  <si>
    <t>Borde Exterior 35 Crema 35 X 35</t>
  </si>
  <si>
    <t>Borde Exterior 35 Blanco Terrazo 35 X 35</t>
  </si>
  <si>
    <t>Borde Interior 35 Atermica Arena 35 X 35</t>
  </si>
  <si>
    <t>Borde Interior 35 Crema 35 X 35</t>
  </si>
  <si>
    <t>001-001-000000150</t>
  </si>
  <si>
    <t>Borde Interior 35 Atermica Gris Claro 35 X 35</t>
  </si>
  <si>
    <t>Borde Interior 35 Blanco Terrazo 35 X 35</t>
  </si>
  <si>
    <t>001-001-000000544</t>
  </si>
  <si>
    <t>001-001-000000748</t>
  </si>
  <si>
    <t>001-001-000000774</t>
  </si>
  <si>
    <t>001-001-000000892</t>
  </si>
  <si>
    <t>001-001-000000038</t>
  </si>
  <si>
    <t>Borde Plano ( Crema / Grezzo ) (50X100)</t>
  </si>
  <si>
    <t>001-001-000000112</t>
  </si>
  <si>
    <t>001-001-000000149</t>
  </si>
  <si>
    <t>001-001-000000183</t>
  </si>
  <si>
    <t>001-001-000000333</t>
  </si>
  <si>
    <t>Borde Plano Atermica Arena 50 X 50</t>
  </si>
  <si>
    <t>001-001-000000388</t>
  </si>
  <si>
    <t>Borde Plano Atermica Gris Claro 50 X 50</t>
  </si>
  <si>
    <t>001-001-000000385</t>
  </si>
  <si>
    <t>001-001-000000229</t>
  </si>
  <si>
    <t>Borde Plano Crema 50 X 50</t>
  </si>
  <si>
    <t>001-001-000000470</t>
  </si>
  <si>
    <t>001-001-000000724</t>
  </si>
  <si>
    <t>001-001-000000586</t>
  </si>
  <si>
    <t>Borde Plano Blanco Terrazo 50 X 50</t>
  </si>
  <si>
    <t>001-001-000000606</t>
  </si>
  <si>
    <t>001-001-000000687</t>
  </si>
  <si>
    <t>001-001-000000752</t>
  </si>
  <si>
    <t>Cademix Gold 25Kg</t>
  </si>
  <si>
    <t>001-001-000000867</t>
  </si>
  <si>
    <t>001-001-000000556</t>
  </si>
  <si>
    <t>XAVIER ANDRANGO</t>
  </si>
  <si>
    <t>Cademix Plus 26Kg</t>
  </si>
  <si>
    <t>001-001-000000695</t>
  </si>
  <si>
    <t>001-001-000000518</t>
  </si>
  <si>
    <t>Cademix Premium 26Kg</t>
  </si>
  <si>
    <t>001-001-000000554</t>
  </si>
  <si>
    <t>001-001-000000298</t>
  </si>
  <si>
    <t>Caliza Arena Piedra 10 X 20. 10 X 30. 10 X 50</t>
  </si>
  <si>
    <t>Caliza Blanco Concreto 10 X 20. 10 X 30. 10 X 50</t>
  </si>
  <si>
    <t>001-001-000000001</t>
  </si>
  <si>
    <t>PEREZ HINOJOSA CLEMENCIA</t>
  </si>
  <si>
    <t>Caliza Gris Claro Piedra 10 X 20. 10 X 30. 10 X 50</t>
  </si>
  <si>
    <t>Servicio de Instalación</t>
  </si>
  <si>
    <t>Cera Artyco</t>
  </si>
  <si>
    <t>001-001-000000288</t>
  </si>
  <si>
    <t>BUCHELI CARLOS</t>
  </si>
  <si>
    <t>001-001-000000293</t>
  </si>
  <si>
    <t>001-001-000000338</t>
  </si>
  <si>
    <t>TORRES CARLOS</t>
  </si>
  <si>
    <t>001-001-000000346</t>
  </si>
  <si>
    <t>ARGUELLO CASTRO ELIO KLEBER</t>
  </si>
  <si>
    <t>001-001-000000387</t>
  </si>
  <si>
    <t>MIGUEL CHAVEZ</t>
  </si>
  <si>
    <t>001-001-000000402</t>
  </si>
  <si>
    <t>001-001-000000408</t>
  </si>
  <si>
    <t>001-001-000000427</t>
  </si>
  <si>
    <t>VF SALUD CIA LTDA</t>
  </si>
  <si>
    <t>001-001-000000523</t>
  </si>
  <si>
    <t>001-001-000000547</t>
  </si>
  <si>
    <t>REDROBAN ANDRADE ANGEL EDUARDO</t>
  </si>
  <si>
    <t>001-001-000000003</t>
  </si>
  <si>
    <t>SERGIO GERMAN GOMEZ</t>
  </si>
  <si>
    <t>Cera Bs 200</t>
  </si>
  <si>
    <t>001-001-000000004</t>
  </si>
  <si>
    <t>TORO VARGAS MARCELO GASTON</t>
  </si>
  <si>
    <t>001-001-000000009</t>
  </si>
  <si>
    <t>BARAHONA MARIA LUISA</t>
  </si>
  <si>
    <t>001-001-000000074</t>
  </si>
  <si>
    <t>001-001-000000075</t>
  </si>
  <si>
    <t>001-001-000000113</t>
  </si>
  <si>
    <t>LAURA CACHIGUANGO</t>
  </si>
  <si>
    <t>001-001-000000146</t>
  </si>
  <si>
    <t>JONAS SALTOS</t>
  </si>
  <si>
    <t>001-001-000000164</t>
  </si>
  <si>
    <t>001-001-000000165</t>
  </si>
  <si>
    <t>SALTOS NAULA JONAS ALEXANDER</t>
  </si>
  <si>
    <t>001-001-000000227</t>
  </si>
  <si>
    <t>Cera Grafito</t>
  </si>
  <si>
    <t>001-001-000000868</t>
  </si>
  <si>
    <t>Cera Madeyra Canela</t>
  </si>
  <si>
    <t>001-001-000000874</t>
  </si>
  <si>
    <t>Cera Madeyra Miel</t>
  </si>
  <si>
    <t>001-001-000000579</t>
  </si>
  <si>
    <t>SANTILLAN BORJA RAUL FERNANDO</t>
  </si>
  <si>
    <t>CERA PARA PLACAS PREFABRICADAS</t>
  </si>
  <si>
    <t>001-001-000000583</t>
  </si>
  <si>
    <t>RODRIGO RIOFRIO</t>
  </si>
  <si>
    <t>001-001-000000605</t>
  </si>
  <si>
    <t>001-001-000000646</t>
  </si>
  <si>
    <t>001-001-000000668</t>
  </si>
  <si>
    <t>001-001-000000676</t>
  </si>
  <si>
    <t>001-001-000000746</t>
  </si>
  <si>
    <t>001-001-000000747</t>
  </si>
  <si>
    <t>001-001-000000779</t>
  </si>
  <si>
    <t>001-001-000000792</t>
  </si>
  <si>
    <t>DIEGO DONOSO</t>
  </si>
  <si>
    <t>001-001-000000796</t>
  </si>
  <si>
    <t>001-001-000000811</t>
  </si>
  <si>
    <t>001-001-000000820</t>
  </si>
  <si>
    <t>001-001-000000219</t>
  </si>
  <si>
    <t>Ceramica Pune Blanco Brillo 33,3 X 100  (Pared)</t>
  </si>
  <si>
    <t>Ceramica Pune Blanco Brillo Mosaico 33,3 X 100  (Pared)</t>
  </si>
  <si>
    <t>001-001-000000480</t>
  </si>
  <si>
    <t>Coating Corten 50 X 100</t>
  </si>
  <si>
    <t>001-001-000000641</t>
  </si>
  <si>
    <t>001-001-000000812</t>
  </si>
  <si>
    <t>001-001-000000814</t>
  </si>
  <si>
    <t>001-001-000000840</t>
  </si>
  <si>
    <t>JOSE ROBERTO ESCOBAR ALVAREZ</t>
  </si>
  <si>
    <t>001-001-000000847</t>
  </si>
  <si>
    <t>001-001-000000206</t>
  </si>
  <si>
    <t>Piedra Cumbal Arena Multiformato</t>
  </si>
  <si>
    <t>001-001-000000240</t>
  </si>
  <si>
    <t>Piedra Cumbal Blanco Multiformato</t>
  </si>
  <si>
    <t>001-001-000000391</t>
  </si>
  <si>
    <t>001-001-000000661</t>
  </si>
  <si>
    <t>Cumbal Gris Claro Concreto 10 X 20. 10 X 30. 10 X 50</t>
  </si>
  <si>
    <t>001-001-000000347</t>
  </si>
  <si>
    <t>Cumbal Gris Claro Piedra 10 X 20. 10 X 30. 10 X 50</t>
  </si>
  <si>
    <t>3D</t>
  </si>
  <si>
    <t>Duna Grezzo Arena 50 X 75</t>
  </si>
  <si>
    <t>Doble Borde Plano Blanco Terrazo 50 X 50</t>
  </si>
  <si>
    <t>Esquinero Galeras Gris Multiformato</t>
  </si>
  <si>
    <t>001-001-000000287</t>
  </si>
  <si>
    <t>Esquinero Piedra Galeras Blanco</t>
  </si>
  <si>
    <t>Esquinero Galeras Blanco Arenado</t>
  </si>
  <si>
    <t>001-001-000000919</t>
  </si>
  <si>
    <t>Esquinero Urbanbrick Bricks Arena 5 X 20 X 12. 5 X 25 X 12</t>
  </si>
  <si>
    <t>Gaira Gris Oscuro Piedra 10 X 50</t>
  </si>
  <si>
    <t>Gaira Ocre Piedra 10 X 50</t>
  </si>
  <si>
    <t>001-001-000000100</t>
  </si>
  <si>
    <t>ESTEFANIA IBARRA</t>
  </si>
  <si>
    <t>001-001-000000104</t>
  </si>
  <si>
    <t>001-001-000000306</t>
  </si>
  <si>
    <t>CRISTIAN CARPIO</t>
  </si>
  <si>
    <t>001-001-000000352</t>
  </si>
  <si>
    <t>MERCY LETICIA PRADO BRITO</t>
  </si>
  <si>
    <t>001-001-000000503</t>
  </si>
  <si>
    <t>TAMBI PUPIALES VICTOR ELIAS</t>
  </si>
  <si>
    <t>001-001-000000647</t>
  </si>
  <si>
    <t>001-001-000000581</t>
  </si>
  <si>
    <t>Galeras Blanco Arenado Multiformato</t>
  </si>
  <si>
    <t>001-001-000000886</t>
  </si>
  <si>
    <t>001-001-000000242</t>
  </si>
  <si>
    <t>001-001-000000530</t>
  </si>
  <si>
    <t>001-001-000000543</t>
  </si>
  <si>
    <t>001-001-000000577</t>
  </si>
  <si>
    <t>001-001-000000737</t>
  </si>
  <si>
    <t>001-001-000000773</t>
  </si>
  <si>
    <t>001-001-000000905</t>
  </si>
  <si>
    <t>Galeras Gris Multiformato</t>
  </si>
  <si>
    <t>001-001-000000130</t>
  </si>
  <si>
    <t>001-001-000000369</t>
  </si>
  <si>
    <t>001-001-000000409</t>
  </si>
  <si>
    <t>YESENNYA POZO</t>
  </si>
  <si>
    <t>001-001-000000413</t>
  </si>
  <si>
    <t>001-001-000000459</t>
  </si>
  <si>
    <t>LEXINTEL LAW FIRM S.A.S</t>
  </si>
  <si>
    <t>001-001-000000467</t>
  </si>
  <si>
    <t>ALVARO DUEÑAS</t>
  </si>
  <si>
    <t>001-001-000000521</t>
  </si>
  <si>
    <t>001-001-000000589</t>
  </si>
  <si>
    <t>GABRIELA ESPINOSA JACOME</t>
  </si>
  <si>
    <t>001-001-000000715</t>
  </si>
  <si>
    <t>001-001-000000763</t>
  </si>
  <si>
    <t>001-001-000000764</t>
  </si>
  <si>
    <t>001-001-000000904</t>
  </si>
  <si>
    <t>Grada Instalada Kronotex Aleman Exquisit Pluspetterson Wide Ac4</t>
  </si>
  <si>
    <t>Madeyra</t>
  </si>
  <si>
    <t>Huellas Canela 35 X 120</t>
  </si>
  <si>
    <t>001-001-000000198</t>
  </si>
  <si>
    <t>PATRICIO NIACATO</t>
  </si>
  <si>
    <t>Infinity Blanco Paris 55 X 63.5</t>
  </si>
  <si>
    <t>001-001-000000592</t>
  </si>
  <si>
    <t>001-001-000000263</t>
  </si>
  <si>
    <t>Inka Arena Multiformato</t>
  </si>
  <si>
    <t>001-001-000000300</t>
  </si>
  <si>
    <t>001-001-000000652</t>
  </si>
  <si>
    <t>001-001-000000671</t>
  </si>
  <si>
    <t>001-001-000000784</t>
  </si>
  <si>
    <t>001-001-000000807</t>
  </si>
  <si>
    <t>001-001-000000850</t>
  </si>
  <si>
    <t>001-001-000000860</t>
  </si>
  <si>
    <t>Inka Gris Oxidado Multiformato</t>
  </si>
  <si>
    <t>001-001-000000193</t>
  </si>
  <si>
    <t>001-001-000000208</t>
  </si>
  <si>
    <t>001-001-000000533</t>
  </si>
  <si>
    <t>001-001-000000558</t>
  </si>
  <si>
    <t>001-001-000000742</t>
  </si>
  <si>
    <t>001-001-000000852</t>
  </si>
  <si>
    <t>Listones</t>
  </si>
  <si>
    <t>001-001-000000801</t>
  </si>
  <si>
    <t>Liston Grezzo Gris Claro 12 X 120</t>
  </si>
  <si>
    <t>001-001-000000664</t>
  </si>
  <si>
    <t>Liston Etrusco Gris Oscuro 10 X 50</t>
  </si>
  <si>
    <t>001-001-000000744</t>
  </si>
  <si>
    <t>JAIME JANONY ZEAS GUTIERREZ</t>
  </si>
  <si>
    <t>Mosaicos</t>
  </si>
  <si>
    <t>001-001-000000002</t>
  </si>
  <si>
    <t>ROMERO GALLARDO CARLOS ALFREDO</t>
  </si>
  <si>
    <t>Dritto Oxyden Multiformato</t>
  </si>
  <si>
    <t>001-001-000000249</t>
  </si>
  <si>
    <t>JORGE OLIVO</t>
  </si>
  <si>
    <t>001-001-000000485</t>
  </si>
  <si>
    <t>BORIS ZAMBRANO</t>
  </si>
  <si>
    <t>001-001-000000545</t>
  </si>
  <si>
    <t>001-001-000000865</t>
  </si>
  <si>
    <t>001-001-000000351</t>
  </si>
  <si>
    <t>Liston Apparente 10 X 50</t>
  </si>
  <si>
    <t>001-001-000000601</t>
  </si>
  <si>
    <t>001-001-000000615</t>
  </si>
  <si>
    <t>001-001-000000672</t>
  </si>
  <si>
    <t>001-001-000000089</t>
  </si>
  <si>
    <t>Liston Etrusco Arena 10 X 50</t>
  </si>
  <si>
    <t>001-001-000000266</t>
  </si>
  <si>
    <t>001-001-000000326</t>
  </si>
  <si>
    <t>001-001-000000336</t>
  </si>
  <si>
    <t>001-001-000000372</t>
  </si>
  <si>
    <t>001-001-000000376</t>
  </si>
  <si>
    <t>001-001-000000377</t>
  </si>
  <si>
    <t>001-001-000000723</t>
  </si>
  <si>
    <t>001-001-000000766</t>
  </si>
  <si>
    <t>001-001-000000770</t>
  </si>
  <si>
    <t>001-001-000000819</t>
  </si>
  <si>
    <t>001-001-000000891</t>
  </si>
  <si>
    <t>Liston Etrusco Blanco 10 X 50</t>
  </si>
  <si>
    <t>001-001-000000081</t>
  </si>
  <si>
    <t>001-001-000000188</t>
  </si>
  <si>
    <t>ANDRES IZURIETA</t>
  </si>
  <si>
    <t>001-001-000000316</t>
  </si>
  <si>
    <t>001-001-000000383</t>
  </si>
  <si>
    <t>001-001-000000418</t>
  </si>
  <si>
    <t>001-001-000000438</t>
  </si>
  <si>
    <t>001-001-000000735</t>
  </si>
  <si>
    <t>001-001-000000885</t>
  </si>
  <si>
    <t>Listones Blanco Grezzo 10 X 50</t>
  </si>
  <si>
    <t>001-001-000000080</t>
  </si>
  <si>
    <t>001-001-000000650</t>
  </si>
  <si>
    <t>Liston Ignis Gris Oscuro 10 X 50</t>
  </si>
  <si>
    <t>Liston Etrusco Gris Claro 10 X 50</t>
  </si>
  <si>
    <t>001-001-000000415</t>
  </si>
  <si>
    <t>CHUQUIMARCA USHINA BLANCA DEL PILAR</t>
  </si>
  <si>
    <t>001-001-000000443</t>
  </si>
  <si>
    <t>001-001-000000563</t>
  </si>
  <si>
    <t>VIZUETE BAUTISTA JUANITA</t>
  </si>
  <si>
    <t>001-001-000000761</t>
  </si>
  <si>
    <t>001-001-000000121</t>
  </si>
  <si>
    <t>FIDEICOMISO EPIQ</t>
  </si>
  <si>
    <t>001-001-000000153</t>
  </si>
  <si>
    <t>001-001-000000775</t>
  </si>
  <si>
    <t>001-001-000000776</t>
  </si>
  <si>
    <t>001-001-000000044</t>
  </si>
  <si>
    <t>PIMANTOUR S.A.</t>
  </si>
  <si>
    <t>Adobebrick 10 X 40</t>
  </si>
  <si>
    <t>001-001-000000099</t>
  </si>
  <si>
    <t>Liston Oxyden 10 X 50</t>
  </si>
  <si>
    <t>001-001-000000125</t>
  </si>
  <si>
    <t>001-001-000000614</t>
  </si>
  <si>
    <t>001-001-000000842</t>
  </si>
  <si>
    <t>001-001-000000875</t>
  </si>
  <si>
    <t>001-001-000000031</t>
  </si>
  <si>
    <t>SACHALODGE S.A.</t>
  </si>
  <si>
    <t>001-001-000000492</t>
  </si>
  <si>
    <t>001-001-000000519</t>
  </si>
  <si>
    <t>001-001-000000138</t>
  </si>
  <si>
    <t>Longbrick Blanco 4 X 60</t>
  </si>
  <si>
    <t>001-001-000000209</t>
  </si>
  <si>
    <t>001-001-000000319</t>
  </si>
  <si>
    <t>001-001-000000340</t>
  </si>
  <si>
    <t>001-001-000000353</t>
  </si>
  <si>
    <t>001-001-000000803</t>
  </si>
  <si>
    <t>Longbrick Cenizo 4 X 60</t>
  </si>
  <si>
    <t>Longbrick Ladrillo 4 X 60</t>
  </si>
  <si>
    <t>001-001-000000020</t>
  </si>
  <si>
    <t>001-001-000000061</t>
  </si>
  <si>
    <t>001-001-000000088</t>
  </si>
  <si>
    <t>001-001-000000092</t>
  </si>
  <si>
    <t>001-001-000000093</t>
  </si>
  <si>
    <t>001-001-000000106</t>
  </si>
  <si>
    <t>001-001-000000108</t>
  </si>
  <si>
    <t>001-001-000000122</t>
  </si>
  <si>
    <t>ROJAS GUADALUPE</t>
  </si>
  <si>
    <t>001-001-000000139</t>
  </si>
  <si>
    <t>001-001-000000147</t>
  </si>
  <si>
    <t>001-001-000000181</t>
  </si>
  <si>
    <t>GOMEZJURADO CASARES ALAN ESTEBAN</t>
  </si>
  <si>
    <t>001-001-000000237</t>
  </si>
  <si>
    <t>001-001-000000256</t>
  </si>
  <si>
    <t>001-001-000000277</t>
  </si>
  <si>
    <t>001-001-000000335</t>
  </si>
  <si>
    <t>001-001-000000354</t>
  </si>
  <si>
    <t>001-001-000000406</t>
  </si>
  <si>
    <t>001-001-000000436</t>
  </si>
  <si>
    <t>001-001-000000469</t>
  </si>
  <si>
    <t>001-001-000000471</t>
  </si>
  <si>
    <t>M&amp;H PROYECTOS Y CONSTRUCCIONES S.C.C</t>
  </si>
  <si>
    <t>001-001-000000478</t>
  </si>
  <si>
    <t>001-001-000000493</t>
  </si>
  <si>
    <t>IVAN NAVARRETE</t>
  </si>
  <si>
    <t>001-001-000000495</t>
  </si>
  <si>
    <t>001-001-000000500</t>
  </si>
  <si>
    <t>001-001-000000505</t>
  </si>
  <si>
    <t>001-001-000000528</t>
  </si>
  <si>
    <t>Marco Bedoya García</t>
  </si>
  <si>
    <t>001-001-000000531</t>
  </si>
  <si>
    <t>001-001-000000535</t>
  </si>
  <si>
    <t>001-001-000000587</t>
  </si>
  <si>
    <t>ASOCIACION DE CUENTAS EN PARTICIPACION DMI ARQUITECTURA Y CONSTRUCCION</t>
  </si>
  <si>
    <t>001-001-000000599</t>
  </si>
  <si>
    <t>001-001-000000604</t>
  </si>
  <si>
    <t>001-001-000000608</t>
  </si>
  <si>
    <t>001-001-000000610</t>
  </si>
  <si>
    <t>001-001-000000620</t>
  </si>
  <si>
    <t>001-001-000000628</t>
  </si>
  <si>
    <t>001-001-000000655</t>
  </si>
  <si>
    <t>001-001-000000656</t>
  </si>
  <si>
    <t>001-001-000000685</t>
  </si>
  <si>
    <t>001-001-000000704</t>
  </si>
  <si>
    <t>001-001-000000708</t>
  </si>
  <si>
    <t>001-001-000000731</t>
  </si>
  <si>
    <t>001-001-000000740</t>
  </si>
  <si>
    <t>001-001-000000750</t>
  </si>
  <si>
    <t>001-001-000000765</t>
  </si>
  <si>
    <t>001-001-000000771</t>
  </si>
  <si>
    <t>001-001-000000780</t>
  </si>
  <si>
    <t>001-001-000000798</t>
  </si>
  <si>
    <t>001-001-000000831</t>
  </si>
  <si>
    <t>001-001-000000846</t>
  </si>
  <si>
    <t>001-001-000000882</t>
  </si>
  <si>
    <t>001-001-000000902</t>
  </si>
  <si>
    <t>001-001-000000907</t>
  </si>
  <si>
    <t>001-001-000000914</t>
  </si>
  <si>
    <t>001-001-000000918</t>
  </si>
  <si>
    <t>001-001-000000920</t>
  </si>
  <si>
    <t>Deck Madeyra Canela 12 X 150</t>
  </si>
  <si>
    <t>Deck Madeyra Miel 12 X 150</t>
  </si>
  <si>
    <t>001-001-000000212</t>
  </si>
  <si>
    <t>Madeyra Vecchia Canela Multifotmato</t>
  </si>
  <si>
    <t>Madeyra Vecchia Miel Multifotmato</t>
  </si>
  <si>
    <t>001-001-000000810</t>
  </si>
  <si>
    <t>001-001-000000609</t>
  </si>
  <si>
    <t>001-001-000000389</t>
  </si>
  <si>
    <t>Manaos Canela 20 X 100</t>
  </si>
  <si>
    <t>001-001-000000392</t>
  </si>
  <si>
    <t>Manaos Miel 20 X 100</t>
  </si>
  <si>
    <t>001-001-000000148</t>
  </si>
  <si>
    <t>KAROLYS GARCIA ELSA DEL CARMEN</t>
  </si>
  <si>
    <t>Marble Dark Pulido 62X121</t>
  </si>
  <si>
    <t>001-001-000000097</t>
  </si>
  <si>
    <t>COMPANIA LIMITADA FAMEDIC</t>
  </si>
  <si>
    <t>Mosaico Etrusco Arena Multiformato</t>
  </si>
  <si>
    <t>001-001-000000182</t>
  </si>
  <si>
    <t>INMOGALA SOCIEDAD CIVIL</t>
  </si>
  <si>
    <t>001-001-000000404</t>
  </si>
  <si>
    <t>ESTEBAN PACHECO</t>
  </si>
  <si>
    <t>001-001-000000475</t>
  </si>
  <si>
    <t>001-001-000000553</t>
  </si>
  <si>
    <t>FRANKLIN TITO</t>
  </si>
  <si>
    <t>001-001-000000845</t>
  </si>
  <si>
    <t>001-001-000000903</t>
  </si>
  <si>
    <t>Mosaico Arena Grezzo Multiformato</t>
  </si>
  <si>
    <t>001-001-000000167</t>
  </si>
  <si>
    <t>VILLOTA PONCE PABLO XAVIER</t>
  </si>
  <si>
    <t>Mosaico Etrusco Blanco Multiformato</t>
  </si>
  <si>
    <t>001-001-000000254</t>
  </si>
  <si>
    <t>001-001-000000624</t>
  </si>
  <si>
    <t>001-001-000000657</t>
  </si>
  <si>
    <t>001-001-000000732</t>
  </si>
  <si>
    <t>001-001-000000734</t>
  </si>
  <si>
    <t>001-001-000000781</t>
  </si>
  <si>
    <t>001-001-000000012</t>
  </si>
  <si>
    <t>EDGAR ALMEIDA</t>
  </si>
  <si>
    <t>Mosaico Blanco Grezzo Multiformato</t>
  </si>
  <si>
    <t>001-001-000000439</t>
  </si>
  <si>
    <t>CARLA CABRERA</t>
  </si>
  <si>
    <t>001-001-000000684</t>
  </si>
  <si>
    <t>001-001-000000120</t>
  </si>
  <si>
    <t>Mosaico Ignis Gris Oscuro 20 X 20</t>
  </si>
  <si>
    <t>001-001-000000311</t>
  </si>
  <si>
    <t>001-001-000000405</t>
  </si>
  <si>
    <t>001-001-000000424</t>
  </si>
  <si>
    <t>001-001-000000541</t>
  </si>
  <si>
    <t>001-001-000000618</t>
  </si>
  <si>
    <t>001-001-000000751</t>
  </si>
  <si>
    <t>001-001-000000822</t>
  </si>
  <si>
    <t>Mosaico Ignis Grafito 20 X 20</t>
  </si>
  <si>
    <t>001-001-000000824</t>
  </si>
  <si>
    <t>001-001-000000855</t>
  </si>
  <si>
    <t>001-001-000000873</t>
  </si>
  <si>
    <t>001-001-000000286</t>
  </si>
  <si>
    <t>Mosaico Etrusco Gris Claro Multiformato</t>
  </si>
  <si>
    <t>001-001-000000294</t>
  </si>
  <si>
    <t>001-001-000000356</t>
  </si>
  <si>
    <t>001-001-000000479</t>
  </si>
  <si>
    <t>GABRIELA CRUZ</t>
  </si>
  <si>
    <t>001-001-000000540</t>
  </si>
  <si>
    <t>001-001-000000681</t>
  </si>
  <si>
    <t>001-001-000000682</t>
  </si>
  <si>
    <t>001-001-000000701</t>
  </si>
  <si>
    <t>001-001-000000849</t>
  </si>
  <si>
    <t>001-001-000000878</t>
  </si>
  <si>
    <t>Mosaico Gris Claro Grezzo Multiformato</t>
  </si>
  <si>
    <t>001-001-000000299</t>
  </si>
  <si>
    <t>001-001-000000648</t>
  </si>
  <si>
    <t>Mosaico Etrusco Gris Oscuro Multiformato</t>
  </si>
  <si>
    <t>Mosaico Madeyra Multiformato</t>
  </si>
  <si>
    <t>001-001-000000285</t>
  </si>
  <si>
    <t>Mosaico Oxyden Arrecife Multiformato</t>
  </si>
  <si>
    <t>001-001-000000176</t>
  </si>
  <si>
    <t>001-001-000000259</t>
  </si>
  <si>
    <t>ISRAEL ORMAZA</t>
  </si>
  <si>
    <t>001-001-000000651</t>
  </si>
  <si>
    <t>001-001-000000119</t>
  </si>
  <si>
    <t>Mosaico Oxyden Multiformato</t>
  </si>
  <si>
    <t>001-001-000000596</t>
  </si>
  <si>
    <t>001-001-000000073</t>
  </si>
  <si>
    <t>001-001-000000145</t>
  </si>
  <si>
    <t>001-001-000000201</t>
  </si>
  <si>
    <t>001-001-000000232</t>
  </si>
  <si>
    <t>001-001-000000252</t>
  </si>
  <si>
    <t>001-001-000000318</t>
  </si>
  <si>
    <t>001-001-000000362</t>
  </si>
  <si>
    <t>001-001-000000403</t>
  </si>
  <si>
    <t>001-001-000000465</t>
  </si>
  <si>
    <t>001-001-000000498</t>
  </si>
  <si>
    <t>001-001-000000499</t>
  </si>
  <si>
    <t>001-001-000000630</t>
  </si>
  <si>
    <t>001-001-000000637</t>
  </si>
  <si>
    <t>001-001-000000662</t>
  </si>
  <si>
    <t>001-001-000000677</t>
  </si>
  <si>
    <t>ANA MARIA NOVILLO RAMEIX</t>
  </si>
  <si>
    <t>001-001-000000690</t>
  </si>
  <si>
    <t>001-001-000000725</t>
  </si>
  <si>
    <t>001-001-000000733</t>
  </si>
  <si>
    <t>001-001-000000736</t>
  </si>
  <si>
    <t>001-001-000000785</t>
  </si>
  <si>
    <t>001-001-000000815</t>
  </si>
  <si>
    <t>001-001-000000844</t>
  </si>
  <si>
    <t>001-001-000000864</t>
  </si>
  <si>
    <t>Biofílico</t>
  </si>
  <si>
    <t>Moss Biofilico Verde 15 X 17.3 X 7 Unidades</t>
  </si>
  <si>
    <t>001-001-000000030</t>
  </si>
  <si>
    <t>CRISTINA TORRES</t>
  </si>
  <si>
    <t>001-001-000000059</t>
  </si>
  <si>
    <t>Moss Biofilico Verde 20 X 20 X 5 Unidades</t>
  </si>
  <si>
    <t>001-001-000000091</t>
  </si>
  <si>
    <t>MINO PATRICIO</t>
  </si>
  <si>
    <t>001-001-000000429</t>
  </si>
  <si>
    <t>Origami Grezzo Blanco 20 X 80</t>
  </si>
  <si>
    <t>Origami Grezzo Gris Claro 20 X 80</t>
  </si>
  <si>
    <t>001-001-000000869</t>
  </si>
  <si>
    <t>001-001-000000900</t>
  </si>
  <si>
    <t>Perfil De Grada Instalado Europeo Marron Tanatoscana Petterson X 2400 Mm</t>
  </si>
  <si>
    <t>PERFIL INSTALADO DE MOVIMIENTO EUROPEO HARVEST VERANO NAT TENDENCIA NAT X 1800 MM</t>
  </si>
  <si>
    <t>Perfil Instalado De Movimiento Europeo Marron Tanatoscana Petterson X 1800 Mm</t>
  </si>
  <si>
    <t>Perfil Instalado De Movimiento Europeo Otono X1800 Mm</t>
  </si>
  <si>
    <t>Perfil Instalado De Movimiento Europeo Ubangui X 1800</t>
  </si>
  <si>
    <t>Perfil Instalado De Movimiento Europeo Verano Beige X 1800 Mm</t>
  </si>
  <si>
    <t>001-001-000000292</t>
  </si>
  <si>
    <t>PERFIL INSTALADO DE TRANSICION EUROPEO HARVEST VERANO NAT TENDENCIA NAT X 1800 MM</t>
  </si>
  <si>
    <t>Perfil Instalado De Transicion Europeo Ubangui X 1800 Mm</t>
  </si>
  <si>
    <t>Perfil Instalado De Transicion Europeo V</t>
  </si>
  <si>
    <t>PERFIL INSTALADO FINAL DE PARED EUROPEO HARVEST VERANO NAT TENDENCIA NAT X 1800 MM</t>
  </si>
  <si>
    <t>Perfil Instalado Final De Pared Europeo Marron Tanatoscana Petterson X 1800 Mm</t>
  </si>
  <si>
    <t>Perfil Instalado Final De Pared Europeo Verano Beige X 1800 Mm</t>
  </si>
  <si>
    <t>Piso Arena Grezzo 50 X 50</t>
  </si>
  <si>
    <t>001-001-000000697</t>
  </si>
  <si>
    <t>001-001-000000726</t>
  </si>
  <si>
    <t>001-001-000000768</t>
  </si>
  <si>
    <t>Piso Blanco Etrusco 50 X 100</t>
  </si>
  <si>
    <t>Piso Blanco Terrazo 50 X 100</t>
  </si>
  <si>
    <t>001-001-000000204</t>
  </si>
  <si>
    <t>Piso Crema Grezzo 50 X 100</t>
  </si>
  <si>
    <t>Piso Antideslizante Crema 50 X 50</t>
  </si>
  <si>
    <t>001-001-000000043</t>
  </si>
  <si>
    <t>001-001-000000085</t>
  </si>
  <si>
    <t>001-001-000000098</t>
  </si>
  <si>
    <t>001-001-000000124</t>
  </si>
  <si>
    <t>001-001-000000180</t>
  </si>
  <si>
    <t>001-001-000000258</t>
  </si>
  <si>
    <t>001-001-000000297</t>
  </si>
  <si>
    <t>001-001-000000310</t>
  </si>
  <si>
    <t>001-001-000000526</t>
  </si>
  <si>
    <t>Piso Flotado Gris Claro Grezzo 50 X 50</t>
  </si>
  <si>
    <t>001-001-000000126</t>
  </si>
  <si>
    <t>MARIA JOSE VACA</t>
  </si>
  <si>
    <t>Piso Grafito Ignis 75 X 75</t>
  </si>
  <si>
    <t>001-001-000000461</t>
  </si>
  <si>
    <t>Piso Grezzo Mattone 50X50</t>
  </si>
  <si>
    <t>001-001-000000187</t>
  </si>
  <si>
    <t>Piso Gris Claro Grezzo 30 X 120</t>
  </si>
  <si>
    <t>001-001-000000341</t>
  </si>
  <si>
    <t>Piso Gris Claro Grezzo 50 X 50</t>
  </si>
  <si>
    <t>001-001-000000102</t>
  </si>
  <si>
    <t>001-001-000000189</t>
  </si>
  <si>
    <t>001-001-000000396</t>
  </si>
  <si>
    <t>001-001-000000600</t>
  </si>
  <si>
    <t>001-001-000000190</t>
  </si>
  <si>
    <t>GABRIEL ALVAREZ</t>
  </si>
  <si>
    <t>Piso Gris Oscuro Etrusco 20 X 100</t>
  </si>
  <si>
    <t>001-001-000000257</t>
  </si>
  <si>
    <t>001-001-000000265</t>
  </si>
  <si>
    <t>Piso Etrusco Gris Oscuro 30 X 120</t>
  </si>
  <si>
    <t>PISO INSTALADO ARTFLOOR FIX 4V AC3 MUSON 7 MM</t>
  </si>
  <si>
    <t>Piso Instalado Floorpan Fix Ac3 Samyeli</t>
  </si>
  <si>
    <t>Piso Instalado Kronotex Aleman Exquisit Pluspetterson Wide Ac4</t>
  </si>
  <si>
    <t>Piso Instalado Kronotex Aleman Standard Roble Otono A3</t>
  </si>
  <si>
    <t>001-001-000000023</t>
  </si>
  <si>
    <t>Piso Laminado Kronotex Aleman Advanced Plus Verano Oscuro Ac4</t>
  </si>
  <si>
    <t>001-100-000000001</t>
  </si>
  <si>
    <t>Piso Terrazo Blanco 20 X 100</t>
  </si>
  <si>
    <t>001-001-000000448</t>
  </si>
  <si>
    <t>001-001-000000491</t>
  </si>
  <si>
    <t>Piso Antideslizante Blanco Terrazo 50 X 50</t>
  </si>
  <si>
    <t>001-001-000000490</t>
  </si>
  <si>
    <t>001-001-000000678</t>
  </si>
  <si>
    <t>Piso Rustico Rombo 15 X 26</t>
  </si>
  <si>
    <t>Pizarra Grafito Rombo 17 x 17 (30 Altura)</t>
  </si>
  <si>
    <t>Piso Rustico Exagono 15 x 6 L</t>
  </si>
  <si>
    <t>Pizarra Ladrillo Rombo 17 x 17 (30 Altura)</t>
  </si>
  <si>
    <t>001-001-000000395</t>
  </si>
  <si>
    <t>WALTER CEVALLOS</t>
  </si>
  <si>
    <t>Polygon Etrusco Arena 15 X 17.3</t>
  </si>
  <si>
    <t>001-001-000000525</t>
  </si>
  <si>
    <t>GENESIS CADENA</t>
  </si>
  <si>
    <t>Polygon Blanco Etrusco 15 X 17.3</t>
  </si>
  <si>
    <t>001-001-000000453</t>
  </si>
  <si>
    <t>Polygon Blanco Paris 15 X 17.3</t>
  </si>
  <si>
    <t>Polygon Etrusco Gris Claro 15 X 17.3</t>
  </si>
  <si>
    <t>001-001-000000373</t>
  </si>
  <si>
    <t>ANDRADE JUAN DIEGO</t>
  </si>
  <si>
    <t>001-001-000000649</t>
  </si>
  <si>
    <t>001-001-000000663</t>
  </si>
  <si>
    <t>001-001-000000702</t>
  </si>
  <si>
    <t>001-001-000000848</t>
  </si>
  <si>
    <t>Porcelanato Artico Lux 60 X 120  (Pared)</t>
  </si>
  <si>
    <t>001-001-000000225</t>
  </si>
  <si>
    <t>Porcelanato Calacata Gold Lux 62,2 X 121,4</t>
  </si>
  <si>
    <t>001-001-000000301</t>
  </si>
  <si>
    <t>Porcelanato Calacata Premium Mate  60 X 120</t>
  </si>
  <si>
    <t>Porcelanato Dominique Lux 60 X 120  (Pared)</t>
  </si>
  <si>
    <t>Porcelanato Erebor Beige Matee 59,5 X 120   (Piso)</t>
  </si>
  <si>
    <t>Porcelanato Erebor Gris Mate 59.9 X 120  (Piso)</t>
  </si>
  <si>
    <t>001-001-000000401</t>
  </si>
  <si>
    <t>PORCELANATO ESPANOL SLIPSTOP HORTON MOSS MATE 59.5 X 120 CM RECT MC.</t>
  </si>
  <si>
    <t>Porcelanato Johnston White Mate 60 X 120</t>
  </si>
  <si>
    <t>001-001-000000191</t>
  </si>
  <si>
    <t>ADIPEC SAS</t>
  </si>
  <si>
    <t>Porcelanato Mysore</t>
  </si>
  <si>
    <t>001-001-000000192</t>
  </si>
  <si>
    <t>Porcelanato Onix Nero Lux 60 X 120  (Pared)</t>
  </si>
  <si>
    <t>Porcelanato Ripley Natural Mate 30 X 150  (Piso)</t>
  </si>
  <si>
    <t>001-001-000000203</t>
  </si>
  <si>
    <t>NEURALINK S.A.S.</t>
  </si>
  <si>
    <t>Porcelanato Soft Concret Mate 62,2X123</t>
  </si>
  <si>
    <t>Porcelanato Vilema Blanco Mate 23.3 X 120  (Piso)</t>
  </si>
  <si>
    <t>001-001-000000042</t>
  </si>
  <si>
    <t>CONSTRUCTORA THALIA VICTORIA SA</t>
  </si>
  <si>
    <t>Prisma Paris Blanco 40 X 60</t>
  </si>
  <si>
    <t>001-001-000000142</t>
  </si>
  <si>
    <t>001-001-000000264</t>
  </si>
  <si>
    <t>001-001-000000270</t>
  </si>
  <si>
    <t>Oscar Fernando Maldonado Regalado</t>
  </si>
  <si>
    <t>001-001-000000428</t>
  </si>
  <si>
    <t>001-001-000000507</t>
  </si>
  <si>
    <t>001-001-000000576</t>
  </si>
  <si>
    <t>001-001-000000756</t>
  </si>
  <si>
    <t>Q-Bos Paris Arena 7.5 X 7.5</t>
  </si>
  <si>
    <t>001-001-000000289</t>
  </si>
  <si>
    <t>001-001-000000364</t>
  </si>
  <si>
    <t>001-001-000000407</t>
  </si>
  <si>
    <t>001-001-000000468</t>
  </si>
  <si>
    <t>GABRIEL FARRAYE</t>
  </si>
  <si>
    <t>001-001-000000791</t>
  </si>
  <si>
    <t>Q-Bos Paris Blanco 7.5 X 7.5</t>
  </si>
  <si>
    <t>001-001-000000095</t>
  </si>
  <si>
    <t>001-001-000000783</t>
  </si>
  <si>
    <t>001-001-000000786</t>
  </si>
  <si>
    <t>001-001-000000827</t>
  </si>
  <si>
    <t>Rejilla 14 Atermica Arena 14 X 50</t>
  </si>
  <si>
    <t>001-001-000000016</t>
  </si>
  <si>
    <t>Rejilla 14 Crema 14 X 50</t>
  </si>
  <si>
    <t>001-001-000000437</t>
  </si>
  <si>
    <t>001-001-000000442</t>
  </si>
  <si>
    <t>001-001-000000158</t>
  </si>
  <si>
    <t>Rejilla 14 Atermica Gris Claro 14 X 50</t>
  </si>
  <si>
    <t>001-001-000000109</t>
  </si>
  <si>
    <t>Rejilla 14 Blanco Terrazo14 X 50</t>
  </si>
  <si>
    <t>001-001-000000110</t>
  </si>
  <si>
    <t>001-001-000000111</t>
  </si>
  <si>
    <t>001-001-000000516</t>
  </si>
  <si>
    <t>Rejilla 25 Atermica Arena 25 X 50</t>
  </si>
  <si>
    <t>001-001-000000504</t>
  </si>
  <si>
    <t>001-001-000000350</t>
  </si>
  <si>
    <t>Rejilla 25 Atermica Crema 25 X 50</t>
  </si>
  <si>
    <t>Rejilla 25 Atermica Terrazo Blanco 25 X 50</t>
  </si>
  <si>
    <t>001-001-000000826</t>
  </si>
  <si>
    <t>001-001-000000058</t>
  </si>
  <si>
    <t>Removedor</t>
  </si>
  <si>
    <t>Saldos Producción</t>
  </si>
  <si>
    <t>001-001-000000050</t>
  </si>
  <si>
    <t>DE LA CRUZ TUZA CRISTIAN DAVID</t>
  </si>
  <si>
    <t>Saldos (Natural/Mate) Multiformato</t>
  </si>
  <si>
    <t>001-001-000000051</t>
  </si>
  <si>
    <t>001-001-000000053</t>
  </si>
  <si>
    <t>PEREZ SEQUERA JOSE GREGORIO</t>
  </si>
  <si>
    <t>001-001-000000066</t>
  </si>
  <si>
    <t>001-001-000000060</t>
  </si>
  <si>
    <t>Scaleno Blanco Etrusco 50 X 100</t>
  </si>
  <si>
    <t>001-001-000000079</t>
  </si>
  <si>
    <t>001-001-000000136</t>
  </si>
  <si>
    <t>001-001-000000137</t>
  </si>
  <si>
    <t>CONTRATISTAS ACABADOS PARA LA CONSTRUCCION JANDRI S.A.</t>
  </si>
  <si>
    <t>001-001-000000141</t>
  </si>
  <si>
    <t>001-001-000000230</t>
  </si>
  <si>
    <t>001-001-000000345</t>
  </si>
  <si>
    <t>001-001-000000379</t>
  </si>
  <si>
    <t>001-001-000000384</t>
  </si>
  <si>
    <t>001-001-000000432</t>
  </si>
  <si>
    <t>ANA GABRIELA GONZALEZ DONOSO</t>
  </si>
  <si>
    <t>001-001-000000451</t>
  </si>
  <si>
    <t>001-001-000000476</t>
  </si>
  <si>
    <t>001-001-000000562</t>
  </si>
  <si>
    <t>001-001-000000602</t>
  </si>
  <si>
    <t>MUBEL KONZEPT SAS</t>
  </si>
  <si>
    <t>001-001-000000698</t>
  </si>
  <si>
    <t>001-001-000000699</t>
  </si>
  <si>
    <t>001-001-000000700</t>
  </si>
  <si>
    <t>001-001-000000728</t>
  </si>
  <si>
    <t>001-001-000000872</t>
  </si>
  <si>
    <t>Scaleno Blanco Grezzo 50 X 100</t>
  </si>
  <si>
    <t>001-001-000000484</t>
  </si>
  <si>
    <t>001-001-000000537</t>
  </si>
  <si>
    <t>001-001-000000179</t>
  </si>
  <si>
    <t>Scaleno Gris Claro Etrusco 50 X 100</t>
  </si>
  <si>
    <t>001-001-000000197</t>
  </si>
  <si>
    <t>001-001-000000210</t>
  </si>
  <si>
    <t>001-001-000000218</t>
  </si>
  <si>
    <t>001-001-000000303</t>
  </si>
  <si>
    <t>001-001-000000321</t>
  </si>
  <si>
    <t>CUESTA CORTEZ MARCELO LEONARDO</t>
  </si>
  <si>
    <t>001-001-000000629</t>
  </si>
  <si>
    <t>001-001-000000722</t>
  </si>
  <si>
    <t>001-001-000000767</t>
  </si>
  <si>
    <t>001-001-000000835</t>
  </si>
  <si>
    <t>001-001-000000843</t>
  </si>
  <si>
    <t>001-001-000000863</t>
  </si>
  <si>
    <t>001-001-000000877</t>
  </si>
  <si>
    <t>001-001-000000917</t>
  </si>
  <si>
    <t>001-001-000000331</t>
  </si>
  <si>
    <t>Scaleno Gris Claro Grezzo 50 X 100</t>
  </si>
  <si>
    <t>001-001-000000561</t>
  </si>
  <si>
    <t>CRISTIAN MALDONADO</t>
  </si>
  <si>
    <t>Scaleno Gris Oscuro Etrusco 50 X 100</t>
  </si>
  <si>
    <t>001-001-000000512</t>
  </si>
  <si>
    <t>001-001-000000832</t>
  </si>
  <si>
    <t>Scaleno Gris Oscuro Grezzo 50 X 100</t>
  </si>
  <si>
    <t>001-001-000000049</t>
  </si>
  <si>
    <t>CANSINO JORGE</t>
  </si>
  <si>
    <t>Sellador Gris Artyco</t>
  </si>
  <si>
    <t>001-001-000000762</t>
  </si>
  <si>
    <t>FABRICA DE BATERIAS FABRIBAT CIA.LTDA.</t>
  </si>
  <si>
    <t>SELLADOR PROTEX SEMIBRILLANTE</t>
  </si>
  <si>
    <t>Servicio de Instalacion</t>
  </si>
  <si>
    <t>001-001-000000488</t>
  </si>
  <si>
    <t>001-001-000000555</t>
  </si>
  <si>
    <t>001-001-000000568</t>
  </si>
  <si>
    <t>001-001-000000578</t>
  </si>
  <si>
    <t>001-001-000000284</t>
  </si>
  <si>
    <t>Servicio Logistico</t>
  </si>
  <si>
    <t>001-001-000000281</t>
  </si>
  <si>
    <t>Shou Sugi Ban Grafito 20 X 100</t>
  </si>
  <si>
    <t>001-001-000000829</t>
  </si>
  <si>
    <t>Shou Sugi Ban Gris Oscuro 20 X 100</t>
  </si>
  <si>
    <t>Squadri Gris Claro Grezzo 40 X 120</t>
  </si>
  <si>
    <t>Deco</t>
  </si>
  <si>
    <t>Synus Blanco Grezzo 5 X 70 X 30</t>
  </si>
  <si>
    <t>001-001-000000283</t>
  </si>
  <si>
    <t>001-001-000000508</t>
  </si>
  <si>
    <t>001-001-000000607</t>
  </si>
  <si>
    <t>AUTOMOTORES COROSAL S.A.S</t>
  </si>
  <si>
    <t>001-001-000000821</t>
  </si>
  <si>
    <t>001-001-000000828</t>
  </si>
  <si>
    <t>001-001-000000140</t>
  </si>
  <si>
    <t>DIANA RAMIREZ</t>
  </si>
  <si>
    <t>Terrazo Semipulido Beige Terrazo 44.8 X 44.8</t>
  </si>
  <si>
    <t>Tribu Arena Grezzo 20 X 20</t>
  </si>
  <si>
    <t>001-001-000000627</t>
  </si>
  <si>
    <t>Tribu Arena Paris 20 X 20</t>
  </si>
  <si>
    <t>001-001-000000644</t>
  </si>
  <si>
    <t>Tribu Blanco Grezzo 20 X 20</t>
  </si>
  <si>
    <t>001-001-000000039</t>
  </si>
  <si>
    <t>RICARDO MOSQUERA</t>
  </si>
  <si>
    <t>001-001-000000721</t>
  </si>
  <si>
    <t>001-001-000000758</t>
  </si>
  <si>
    <t>HURTADO GARCIA KETTY DEL ROCIO</t>
  </si>
  <si>
    <t>001-001-000000837</t>
  </si>
  <si>
    <t>001-001-000000839</t>
  </si>
  <si>
    <t>001-001-000000894</t>
  </si>
  <si>
    <t>001-001-000000912</t>
  </si>
  <si>
    <t>001-001-000000634</t>
  </si>
  <si>
    <t>Tribu Blanco Paris 20 X 20</t>
  </si>
  <si>
    <t>001-001-000000743</t>
  </si>
  <si>
    <t>001-001-000000823</t>
  </si>
  <si>
    <t>001-001-000000861</t>
  </si>
  <si>
    <t>Tribu Gris Claro Grezzo 20 X 20</t>
  </si>
  <si>
    <t>001-001-000000162</t>
  </si>
  <si>
    <t>001-001-000000550</t>
  </si>
  <si>
    <t>001-001-000000749</t>
  </si>
  <si>
    <t>001-001-000000573</t>
  </si>
  <si>
    <t>Tribu Gris Claro Paris 20 X 20</t>
  </si>
  <si>
    <t>Urbanbrick Arena 5 X 25</t>
  </si>
  <si>
    <t>001-001-000000520</t>
  </si>
  <si>
    <t>001-001-000000557</t>
  </si>
  <si>
    <t>Urbanbrick Blanco 5 X 25</t>
  </si>
  <si>
    <t>001-001-000000836</t>
  </si>
  <si>
    <t>001-001-000000005</t>
  </si>
  <si>
    <t>EDIT SANDOVAL</t>
  </si>
  <si>
    <t>Urbanbrick Cenizo Ladrillo 5 X 25</t>
  </si>
  <si>
    <t>001-001-000000028</t>
  </si>
  <si>
    <t>001-001-000000064</t>
  </si>
  <si>
    <t>001-001-000000276</t>
  </si>
  <si>
    <t>001-001-000000375</t>
  </si>
  <si>
    <t>001-001-000000422</t>
  </si>
  <si>
    <t>001-001-000000506</t>
  </si>
  <si>
    <t>001-001-000000718</t>
  </si>
  <si>
    <t>001-001-000000760</t>
  </si>
  <si>
    <t>001-001-000000883</t>
  </si>
  <si>
    <t>001-001-000000893</t>
  </si>
  <si>
    <t>001-001-000000022</t>
  </si>
  <si>
    <t>Urbanbrick Gris Claro Ladrillo 5 X 25</t>
  </si>
  <si>
    <t>001-001-000000133</t>
  </si>
  <si>
    <t>001-001-000000753</t>
  </si>
  <si>
    <t>Urbanbrick Ladrillo Ladrillo 5 X 25</t>
  </si>
  <si>
    <t>001-001-000000056</t>
  </si>
  <si>
    <t>001-001-000000065</t>
  </si>
  <si>
    <t>001-001-000000143</t>
  </si>
  <si>
    <t>001-001-000000538</t>
  </si>
  <si>
    <t>001-001-000000551</t>
  </si>
  <si>
    <t>001-001-000000585</t>
  </si>
  <si>
    <t>001-001-000000625</t>
  </si>
  <si>
    <t>001-001-000000632</t>
  </si>
  <si>
    <t>001-001-000000251</t>
  </si>
  <si>
    <t>Urbanbrick Terracota Ladrillo 5 X 25</t>
  </si>
  <si>
    <t>001-001-000000853</t>
  </si>
  <si>
    <t>001-001-000000103</t>
  </si>
  <si>
    <t>Valdivia Blanco Piedra 10 X 20. 10 X 30. 10 X 50</t>
  </si>
  <si>
    <t>001-001-000000174</t>
  </si>
  <si>
    <t>(Varios elementos)</t>
  </si>
  <si>
    <t>año/trimestre</t>
  </si>
  <si>
    <t>PVP Prom.</t>
  </si>
  <si>
    <t>m2 Prom</t>
  </si>
  <si>
    <t>Costo Prom.</t>
  </si>
  <si>
    <t>MP</t>
  </si>
  <si>
    <t>Suma de rentabilidad</t>
  </si>
  <si>
    <t>Pareto m2</t>
  </si>
  <si>
    <t>Pareto USD</t>
  </si>
  <si>
    <t>Pareto Rent.</t>
  </si>
  <si>
    <t>Mosaico Oxyden Ocre Oxidado Multiformato</t>
  </si>
  <si>
    <t>Trim.1</t>
  </si>
  <si>
    <t>Trim.2</t>
  </si>
  <si>
    <t>Apparente Concreto Apparente 50 X 100</t>
  </si>
  <si>
    <t>Trim.3</t>
  </si>
  <si>
    <t>Trim.4</t>
  </si>
  <si>
    <t>Prisma Blanco Paris 40 X 60</t>
  </si>
  <si>
    <t>Piso Crema Grezzo 50 X 50</t>
  </si>
  <si>
    <t>Madeyra Vecchia Canela Madera 20 X 100</t>
  </si>
  <si>
    <t>Años (Fecha de Emisión)</t>
  </si>
  <si>
    <t xml:space="preserve"> </t>
  </si>
  <si>
    <t>Mosaico Grafito Ignis 20 X 20</t>
  </si>
  <si>
    <t>Coating</t>
  </si>
  <si>
    <t>Apparente Concreto Apparente 12 X 120</t>
  </si>
  <si>
    <t>Decks</t>
  </si>
  <si>
    <t>Borde Plano Crema Grezzo 50X50</t>
  </si>
  <si>
    <t>Apparente Concreto Apparente 8 X 75</t>
  </si>
  <si>
    <t>Terrazo</t>
  </si>
  <si>
    <t>Inka Arena Piedra Multiformato</t>
  </si>
  <si>
    <t>Madeyra Vecchia Canela Madera 20 X 150</t>
  </si>
  <si>
    <t>Corten Corten Oxidado 50 X 100</t>
  </si>
  <si>
    <t>Madeyra Canela Madera 12 X 150</t>
  </si>
  <si>
    <t>Origami Gris Claro Grezzo 20 X 80</t>
  </si>
  <si>
    <t>Polygon Arena Marmoleado 15 X 17.3</t>
  </si>
  <si>
    <t>Apparente Con Boton Concreto Apparente 12 X 120</t>
  </si>
  <si>
    <t>Duna Arena Cristally 50 X 75</t>
  </si>
  <si>
    <t>Madeyra Tabaco Madera 12 X 150</t>
  </si>
  <si>
    <t>Apparente Concreto Apparente 20 X 120</t>
  </si>
  <si>
    <t>Categoría persona</t>
  </si>
  <si>
    <t>Columna1</t>
  </si>
  <si>
    <t>m2</t>
  </si>
  <si>
    <t>001-001-000000129</t>
  </si>
  <si>
    <t>YEROVI DE GUZMAN JUAN FERNANDO</t>
  </si>
  <si>
    <t>General</t>
  </si>
  <si>
    <t>N/A</t>
  </si>
  <si>
    <t>001-001-000000916</t>
  </si>
  <si>
    <t>EDIFICIO GRAN ALBA SKY CUMBAYA S.C.C</t>
  </si>
  <si>
    <t>Anticipo para Futuras Entregas de Productos de Concreto Arquitectónico</t>
  </si>
  <si>
    <t>001-001-000000879</t>
  </si>
  <si>
    <t>TESEO X S.A.S.</t>
  </si>
  <si>
    <t>001-001-000000859</t>
  </si>
  <si>
    <t>FISSEG CIA LTDA.</t>
  </si>
  <si>
    <t>001-001-000000876</t>
  </si>
  <si>
    <t>ECUADOR ROSES AGUSTIN S.A.S.</t>
  </si>
  <si>
    <t>001-001-000000790</t>
  </si>
  <si>
    <t>CUMBAL MUNOZ EDISON GEOVANNY</t>
  </si>
  <si>
    <t>001-001-000000799</t>
  </si>
  <si>
    <t>MUÑOZ MUÑOZ FRANKLIN DAVID</t>
  </si>
  <si>
    <t>001-001-000000772</t>
  </si>
  <si>
    <t>CUMBAL CUMBAL CRISTIAN GEOVANNY</t>
  </si>
  <si>
    <t>001-001-000000788</t>
  </si>
  <si>
    <t>Linea A</t>
  </si>
  <si>
    <t>001-001-000000325</t>
  </si>
  <si>
    <t>MUÑOZ MUÑOZ LUIS ALFREDO</t>
  </si>
  <si>
    <t>001-001-000000035</t>
  </si>
  <si>
    <t>001-001-000000052</t>
  </si>
  <si>
    <t>001-001-000000416</t>
  </si>
  <si>
    <t>Terrazo Semipulido Beige Terrazo 49 X 90</t>
  </si>
  <si>
    <t>001-001-000000789</t>
  </si>
  <si>
    <t>001-001-000000888</t>
  </si>
  <si>
    <t>HERRERA RUIZ MARIA BELEN</t>
  </si>
  <si>
    <t>001-001-000000889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</si>
</sst>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b/>
      <sz val="10"/>
      <color theme="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theme="4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/>
    <xf numFmtId="4" fontId="2" fillId="0" borderId="1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2" fillId="0" borderId="8" xfId="0" applyFont="1" applyBorder="1"/>
    <xf numFmtId="4" fontId="2" fillId="0" borderId="8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43" fontId="2" fillId="0" borderId="1" xfId="1" applyFont="1" applyBorder="1" applyAlignment="1">
      <alignment horizontal="right"/>
    </xf>
    <xf numFmtId="43" fontId="2" fillId="0" borderId="8" xfId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0" applyNumberFormat="1"/>
    <xf numFmtId="10" fontId="0" fillId="0" borderId="0" xfId="2" applyNumberFormat="1" applyFont="1"/>
    <xf numFmtId="0" fontId="0" fillId="0" borderId="0" xfId="0" applyAlignment="1">
      <alignment horizontal="center" vertical="center"/>
    </xf>
    <xf numFmtId="10" fontId="0" fillId="2" borderId="0" xfId="2" applyNumberFormat="1" applyFont="1" applyFill="1"/>
    <xf numFmtId="2" fontId="0" fillId="0" borderId="0" xfId="0" applyNumberFormat="1"/>
    <xf numFmtId="43" fontId="0" fillId="0" borderId="0" xfId="1" applyFont="1"/>
    <xf numFmtId="0" fontId="2" fillId="3" borderId="1" xfId="0" applyFont="1" applyFill="1" applyBorder="1"/>
    <xf numFmtId="4" fontId="2" fillId="3" borderId="1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43" fontId="2" fillId="0" borderId="1" xfId="1" applyFont="1" applyFill="1" applyBorder="1" applyAlignment="1">
      <alignment horizontal="right"/>
    </xf>
    <xf numFmtId="43" fontId="2" fillId="4" borderId="3" xfId="1" applyFont="1" applyFill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43" fontId="4" fillId="4" borderId="3" xfId="1" applyFont="1" applyFill="1" applyBorder="1" applyAlignment="1">
      <alignment horizontal="right"/>
    </xf>
    <xf numFmtId="43" fontId="2" fillId="4" borderId="9" xfId="1" applyFont="1" applyFill="1" applyBorder="1" applyAlignment="1">
      <alignment horizontal="right"/>
    </xf>
    <xf numFmtId="0" fontId="5" fillId="5" borderId="1" xfId="0" applyFont="1" applyFill="1" applyBorder="1"/>
    <xf numFmtId="0" fontId="5" fillId="5" borderId="3" xfId="0" applyFont="1" applyFill="1" applyBorder="1"/>
    <xf numFmtId="14" fontId="2" fillId="3" borderId="1" xfId="0" applyNumberFormat="1" applyFont="1" applyFill="1" applyBorder="1"/>
    <xf numFmtId="43" fontId="2" fillId="3" borderId="1" xfId="1" applyFont="1" applyFill="1" applyBorder="1" applyAlignment="1">
      <alignment horizontal="right"/>
    </xf>
    <xf numFmtId="0" fontId="2" fillId="3" borderId="10" xfId="0" applyFont="1" applyFill="1" applyBorder="1" applyAlignment="1">
      <alignment horizontal="right"/>
    </xf>
    <xf numFmtId="10" fontId="0" fillId="0" borderId="0" xfId="2" applyNumberFormat="1" applyFont="1" applyFill="1"/>
    <xf numFmtId="4" fontId="2" fillId="0" borderId="9" xfId="0" applyNumberFormat="1" applyFont="1" applyBorder="1" applyAlignment="1">
      <alignment horizontal="righ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0" applyNumberFormat="1" applyBorder="1"/>
    <xf numFmtId="43" fontId="2" fillId="0" borderId="8" xfId="0" applyNumberFormat="1" applyFont="1" applyBorder="1" applyAlignment="1">
      <alignment horizontal="right"/>
    </xf>
    <xf numFmtId="43" fontId="2" fillId="0" borderId="9" xfId="0" applyNumberFormat="1" applyFont="1" applyBorder="1" applyAlignment="1">
      <alignment horizontal="right"/>
    </xf>
    <xf numFmtId="0" fontId="0" fillId="0" borderId="11" xfId="0" applyBorder="1"/>
    <xf numFmtId="43" fontId="2" fillId="0" borderId="0" xfId="0" applyNumberFormat="1" applyFont="1" applyAlignment="1">
      <alignment horizontal="right"/>
    </xf>
    <xf numFmtId="43" fontId="2" fillId="0" borderId="1" xfId="0" applyNumberFormat="1" applyFont="1" applyBorder="1"/>
    <xf numFmtId="43" fontId="2" fillId="0" borderId="1" xfId="0" applyNumberFormat="1" applyFont="1" applyBorder="1" applyAlignment="1">
      <alignment wrapText="1"/>
    </xf>
    <xf numFmtId="43" fontId="2" fillId="0" borderId="8" xfId="0" applyNumberFormat="1" applyFont="1" applyBorder="1"/>
    <xf numFmtId="0" fontId="1" fillId="0" borderId="4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6" borderId="1" xfId="0" applyFont="1" applyFill="1" applyBorder="1"/>
    <xf numFmtId="43" fontId="2" fillId="7" borderId="1" xfId="0" applyNumberFormat="1" applyFont="1" applyFill="1" applyBorder="1"/>
    <xf numFmtId="0" fontId="1" fillId="8" borderId="5" xfId="0" applyFont="1" applyFill="1" applyBorder="1"/>
    <xf numFmtId="0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90"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35" formatCode="_ * #,##0.00_ ;_ * \-#,##0.00_ ;_ * &quot;-&quot;??_ ;_ @_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35" formatCode="_ * #,##0.00_ ;_ * \-#,##0.00_ ;_ * &quot;-&quot;??_ ;_ @_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35" formatCode="_ * #,##0.00_ ;_ * \-#,##0.00_ ;_ * &quot;-&quot;??_ ;_ @_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35" formatCode="_ * #,##0.00_ ;_ * \-#,##0.00_ ;_ * &quot;-&quot;??_ ;_ @_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9" formatCode="d/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35" formatCode="_ * #,##0.00_ ;_ * \-#,##0.00_ ;_ * &quot;-&quot;??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35" formatCode="_ * #,##0.00_ ;_ * \-#,##0.00_ ;_ * &quot;-&quot;??_ ;_ @_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35" formatCode="_ * #,##0.00_ ;_ * \-#,##0.00_ ;_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9" formatCode="d/m/yyyy"/>
      <alignment horizontal="center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io Lasso" refreshedDate="45955.808074652778" createdVersion="8" refreshedVersion="8" minRefreshableVersion="3" recordCount="1386" xr:uid="{F7FE858B-0A3A-4ABA-96D5-F43EA484D054}">
  <cacheSource type="worksheet">
    <worksheetSource name="Tabla1"/>
  </cacheSource>
  <cacheFields count="19">
    <cacheField name="Fecha de Emisión" numFmtId="14">
      <sharedItems containsSemiMixedTypes="0" containsNonDate="0" containsDate="1" containsString="0" minDate="2023-01-05T00:00:00" maxDate="2025-10-01T00:00:00" count="429">
        <d v="2023-01-31T00:00:00"/>
        <d v="2023-02-17T00:00:00"/>
        <d v="2023-03-16T00:00:00"/>
        <d v="2023-04-17T00:00:00"/>
        <d v="2023-05-16T00:00:00"/>
        <d v="2023-05-19T00:00:00"/>
        <d v="2023-06-15T00:00:00"/>
        <d v="2023-07-18T00:00:00"/>
        <d v="2023-08-15T00:00:00"/>
        <d v="2023-09-18T00:00:00"/>
        <d v="2023-10-16T00:00:00"/>
        <d v="2023-11-15T00:00:00"/>
        <d v="2023-12-12T00:00:00"/>
        <d v="2023-12-20T00:00:00"/>
        <d v="2024-01-16T00:00:00"/>
        <d v="2024-02-08T00:00:00"/>
        <d v="2024-02-16T00:00:00"/>
        <d v="2024-03-18T00:00:00"/>
        <d v="2024-03-20T00:00:00"/>
        <d v="2024-04-17T00:00:00"/>
        <d v="2024-05-17T00:00:00"/>
        <d v="2024-06-21T00:00:00"/>
        <d v="2024-07-24T00:00:00"/>
        <d v="2023-01-05T00:00:00"/>
        <d v="2023-01-09T00:00:00"/>
        <d v="2023-01-12T00:00:00"/>
        <d v="2023-01-16T00:00:00"/>
        <d v="2023-01-18T00:00:00"/>
        <d v="2023-01-23T00:00:00"/>
        <d v="2023-01-24T00:00:00"/>
        <d v="2023-01-26T00:00:00"/>
        <d v="2023-02-01T00:00:00"/>
        <d v="2023-02-06T00:00:00"/>
        <d v="2023-02-08T00:00:00"/>
        <d v="2023-02-10T00:00:00"/>
        <d v="2023-02-13T00:00:00"/>
        <d v="2023-02-27T00:00:00"/>
        <d v="2023-03-02T00:00:00"/>
        <d v="2023-03-07T00:00:00"/>
        <d v="2023-03-09T00:00:00"/>
        <d v="2023-03-15T00:00:00"/>
        <d v="2023-04-10T00:00:00"/>
        <d v="2023-04-11T00:00:00"/>
        <d v="2023-04-12T00:00:00"/>
        <d v="2023-04-20T00:00:00"/>
        <d v="2023-04-24T00:00:00"/>
        <d v="2023-04-25T00:00:00"/>
        <d v="2023-04-26T00:00:00"/>
        <d v="2023-05-08T00:00:00"/>
        <d v="2023-05-15T00:00:00"/>
        <d v="2023-05-17T00:00:00"/>
        <d v="2023-05-18T00:00:00"/>
        <d v="2023-05-22T00:00:00"/>
        <d v="2023-05-25T00:00:00"/>
        <d v="2023-05-30T00:00:00"/>
        <d v="2023-05-31T00:00:00"/>
        <d v="2023-06-07T00:00:00"/>
        <d v="2023-06-08T00:00:00"/>
        <d v="2023-06-16T00:00:00"/>
        <d v="2023-06-23T00:00:00"/>
        <d v="2023-07-04T00:00:00"/>
        <d v="2023-07-05T00:00:00"/>
        <d v="2023-07-10T00:00:00"/>
        <d v="2023-07-13T00:00:00"/>
        <d v="2023-07-17T00:00:00"/>
        <d v="2023-07-19T00:00:00"/>
        <d v="2023-07-21T00:00:00"/>
        <d v="2023-07-24T00:00:00"/>
        <d v="2023-07-25T00:00:00"/>
        <d v="2023-08-02T00:00:00"/>
        <d v="2023-08-04T00:00:00"/>
        <d v="2023-08-08T00:00:00"/>
        <d v="2023-08-25T00:00:00"/>
        <d v="2023-08-29T00:00:00"/>
        <d v="2023-08-30T00:00:00"/>
        <d v="2023-09-04T00:00:00"/>
        <d v="2023-09-05T00:00:00"/>
        <d v="2023-09-06T00:00:00"/>
        <d v="2023-09-08T00:00:00"/>
        <d v="2023-09-21T00:00:00"/>
        <d v="2023-10-02T00:00:00"/>
        <d v="2023-10-03T00:00:00"/>
        <d v="2023-10-05T00:00:00"/>
        <d v="2023-10-06T00:00:00"/>
        <d v="2023-10-11T00:00:00"/>
        <d v="2023-10-13T00:00:00"/>
        <d v="2023-10-23T00:00:00"/>
        <d v="2023-10-26T00:00:00"/>
        <d v="2023-10-30T00:00:00"/>
        <d v="2023-10-31T00:00:00"/>
        <d v="2023-11-16T00:00:00"/>
        <d v="2023-11-22T00:00:00"/>
        <d v="2023-11-30T00:00:00"/>
        <d v="2023-12-04T00:00:00"/>
        <d v="2023-12-07T00:00:00"/>
        <d v="2023-12-23T00:00:00"/>
        <d v="2024-01-02T00:00:00"/>
        <d v="2024-01-03T00:00:00"/>
        <d v="2024-01-25T00:00:00"/>
        <d v="2024-01-31T00:00:00"/>
        <d v="2024-02-05T00:00:00"/>
        <d v="2024-02-20T00:00:00"/>
        <d v="2024-03-01T00:00:00"/>
        <d v="2024-03-06T00:00:00"/>
        <d v="2024-03-25T00:00:00"/>
        <d v="2024-03-27T00:00:00"/>
        <d v="2024-03-31T00:00:00"/>
        <d v="2024-04-15T00:00:00"/>
        <d v="2024-04-25T00:00:00"/>
        <d v="2024-05-07T00:00:00"/>
        <d v="2024-05-08T00:00:00"/>
        <d v="2024-05-09T00:00:00"/>
        <d v="2024-05-20T00:00:00"/>
        <d v="2024-06-04T00:00:00"/>
        <d v="2024-06-07T00:00:00"/>
        <d v="2024-06-18T00:00:00"/>
        <d v="2024-07-08T00:00:00"/>
        <d v="2024-07-23T00:00:00"/>
        <d v="2024-08-22T00:00:00"/>
        <d v="2024-08-26T00:00:00"/>
        <d v="2024-08-29T00:00:00"/>
        <d v="2024-09-02T00:00:00"/>
        <d v="2024-09-05T00:00:00"/>
        <d v="2024-09-24T00:00:00"/>
        <d v="2024-09-25T00:00:00"/>
        <d v="2024-10-08T00:00:00"/>
        <d v="2024-10-10T00:00:00"/>
        <d v="2024-10-14T00:00:00"/>
        <d v="2024-10-24T00:00:00"/>
        <d v="2024-10-29T00:00:00"/>
        <d v="2024-11-08T00:00:00"/>
        <d v="2024-11-18T00:00:00"/>
        <d v="2024-11-19T00:00:00"/>
        <d v="2024-11-29T00:00:00"/>
        <d v="2024-12-05T00:00:00"/>
        <d v="2024-12-11T00:00:00"/>
        <d v="2024-12-13T00:00:00"/>
        <d v="2024-12-16T00:00:00"/>
        <d v="2024-12-18T00:00:00"/>
        <d v="2025-01-09T00:00:00"/>
        <d v="2025-01-17T00:00:00"/>
        <d v="2025-01-24T00:00:00"/>
        <d v="2025-01-28T00:00:00"/>
        <d v="2025-02-25T00:00:00"/>
        <d v="2025-03-05T00:00:00"/>
        <d v="2025-03-18T00:00:00"/>
        <d v="2025-04-15T00:00:00"/>
        <d v="2025-04-17T00:00:00"/>
        <d v="2025-05-05T00:00:00"/>
        <d v="2025-05-07T00:00:00"/>
        <d v="2025-05-09T00:00:00"/>
        <d v="2025-05-22T00:00:00"/>
        <d v="2025-06-02T00:00:00"/>
        <d v="2025-06-03T00:00:00"/>
        <d v="2025-06-23T00:00:00"/>
        <d v="2025-06-26T00:00:00"/>
        <d v="2025-07-17T00:00:00"/>
        <d v="2025-07-22T00:00:00"/>
        <d v="2025-07-25T00:00:00"/>
        <d v="2025-08-01T00:00:00"/>
        <d v="2025-08-18T00:00:00"/>
        <d v="2025-08-26T00:00:00"/>
        <d v="2025-08-28T00:00:00"/>
        <d v="2025-09-09T00:00:00"/>
        <d v="2025-09-19T00:00:00"/>
        <d v="2025-09-22T00:00:00"/>
        <d v="2025-09-24T00:00:00"/>
        <d v="2024-08-21T00:00:00"/>
        <d v="2024-06-13T00:00:00"/>
        <d v="2024-09-26T00:00:00"/>
        <d v="2023-12-21T00:00:00"/>
        <d v="2023-03-24T00:00:00"/>
        <d v="2023-03-27T00:00:00"/>
        <d v="2023-04-04T00:00:00"/>
        <d v="2023-04-18T00:00:00"/>
        <d v="2023-10-17T00:00:00"/>
        <d v="2025-02-24T00:00:00"/>
        <d v="2023-08-09T00:00:00"/>
        <d v="2023-11-13T00:00:00"/>
        <d v="2023-11-28T00:00:00"/>
        <d v="2024-04-26T00:00:00"/>
        <d v="2025-01-08T00:00:00"/>
        <d v="2025-03-07T00:00:00"/>
        <d v="2025-04-25T00:00:00"/>
        <d v="2023-08-16T00:00:00"/>
        <d v="2023-10-27T00:00:00"/>
        <d v="2023-12-01T00:00:00"/>
        <d v="2024-03-04T00:00:00"/>
        <d v="2024-04-01T00:00:00"/>
        <d v="2024-05-28T00:00:00"/>
        <d v="2024-05-31T00:00:00"/>
        <d v="2024-07-10T00:00:00"/>
        <d v="2024-08-07T00:00:00"/>
        <d v="2024-09-23T00:00:00"/>
        <d v="2024-10-18T00:00:00"/>
        <d v="2025-03-19T00:00:00"/>
        <d v="2025-04-30T00:00:00"/>
        <d v="2025-06-25T00:00:00"/>
        <d v="2025-09-10T00:00:00"/>
        <d v="2023-03-29T00:00:00"/>
        <d v="2023-01-27T00:00:00"/>
        <d v="2024-04-22T00:00:00"/>
        <d v="2025-03-20T00:00:00"/>
        <d v="2025-05-16T00:00:00"/>
        <d v="2025-05-26T00:00:00"/>
        <d v="2025-07-31T00:00:00"/>
        <d v="2025-09-03T00:00:00"/>
        <d v="2025-09-12T00:00:00"/>
        <d v="2024-07-19T00:00:00"/>
        <d v="2023-06-30T00:00:00"/>
        <d v="2023-03-21T00:00:00"/>
        <d v="2023-05-12T00:00:00"/>
        <d v="2023-06-19T00:00:00"/>
        <d v="2023-03-20T00:00:00"/>
        <d v="2023-04-03T00:00:00"/>
        <d v="2023-05-02T00:00:00"/>
        <d v="2023-07-03T00:00:00"/>
        <d v="2023-08-01T00:00:00"/>
        <d v="2023-10-04T00:00:00"/>
        <d v="2023-11-20T00:00:00"/>
        <d v="2023-12-14T00:00:00"/>
        <d v="2024-03-12T00:00:00"/>
        <d v="2024-05-22T00:00:00"/>
        <d v="2024-07-18T00:00:00"/>
        <d v="2023-10-25T00:00:00"/>
        <d v="2024-08-15T00:00:00"/>
        <d v="2024-08-27T00:00:00"/>
        <d v="2025-05-27T00:00:00"/>
        <d v="2023-03-06T00:00:00"/>
        <d v="2023-05-29T00:00:00"/>
        <d v="2023-08-31T00:00:00"/>
        <d v="2023-09-20T00:00:00"/>
        <d v="2023-09-29T00:00:00"/>
        <d v="2023-12-31T00:00:00"/>
        <d v="2024-06-05T00:00:00"/>
        <d v="2024-07-11T00:00:00"/>
        <d v="2024-09-30T00:00:00"/>
        <d v="2024-12-02T00:00:00"/>
        <d v="2025-02-10T00:00:00"/>
        <d v="2025-02-11T00:00:00"/>
        <d v="2025-04-02T00:00:00"/>
        <d v="2025-05-20T00:00:00"/>
        <d v="2025-07-16T00:00:00"/>
        <d v="2025-09-08T00:00:00"/>
        <d v="2025-09-17T00:00:00"/>
        <d v="2023-06-21T00:00:00"/>
        <d v="2023-06-29T00:00:00"/>
        <d v="2024-06-17T00:00:00"/>
        <d v="2025-03-14T00:00:00"/>
        <d v="2025-04-09T00:00:00"/>
        <d v="2025-09-04T00:00:00"/>
        <d v="2023-04-14T00:00:00"/>
        <d v="2023-06-02T00:00:00"/>
        <d v="2023-12-15T00:00:00"/>
        <d v="2023-07-11T00:00:00"/>
        <d v="2024-04-11T00:00:00"/>
        <d v="2025-02-04T00:00:00"/>
        <d v="2024-09-11T00:00:00"/>
        <d v="2024-07-03T00:00:00"/>
        <d v="2024-05-29T00:00:00"/>
        <d v="2024-07-02T00:00:00"/>
        <d v="2023-09-25T00:00:00"/>
        <d v="2023-09-13T00:00:00"/>
        <d v="2024-01-15T00:00:00"/>
        <d v="2024-06-20T00:00:00"/>
        <d v="2023-01-10T00:00:00"/>
        <d v="2023-03-17T00:00:00"/>
        <d v="2023-05-05T00:00:00"/>
        <d v="2023-07-07T00:00:00"/>
        <d v="2025-08-04T00:00:00"/>
        <d v="2024-08-20T00:00:00"/>
        <d v="2024-09-10T00:00:00"/>
        <d v="2024-12-09T00:00:00"/>
        <d v="2025-03-08T00:00:00"/>
        <d v="2025-03-10T00:00:00"/>
        <d v="2025-04-21T00:00:00"/>
        <d v="2025-05-12T00:00:00"/>
        <d v="2025-05-30T00:00:00"/>
        <d v="2024-10-28T00:00:00"/>
        <d v="2025-06-27T00:00:00"/>
        <d v="2025-07-09T00:00:00"/>
        <d v="2023-07-20T00:00:00"/>
        <d v="2024-11-25T00:00:00"/>
        <d v="2025-09-30T00:00:00"/>
        <d v="2024-05-10T00:00:00"/>
        <d v="2024-11-05T00:00:00"/>
        <d v="2024-08-14T00:00:00"/>
        <d v="2025-08-27T00:00:00"/>
        <d v="2024-08-01T00:00:00"/>
        <d v="2025-02-20T00:00:00"/>
        <d v="2025-04-04T00:00:00"/>
        <d v="2025-09-15T00:00:00"/>
        <d v="2024-03-26T00:00:00"/>
        <d v="2024-04-08T00:00:00"/>
        <d v="2024-08-23T00:00:00"/>
        <d v="2025-01-25T00:00:00"/>
        <d v="2025-03-28T00:00:00"/>
        <d v="2025-09-13T00:00:00"/>
        <d v="2023-08-21T00:00:00"/>
        <d v="2023-09-27T00:00:00"/>
        <d v="2024-11-07T00:00:00"/>
        <d v="2025-04-29T00:00:00"/>
        <d v="2025-05-28T00:00:00"/>
        <d v="2025-07-11T00:00:00"/>
        <d v="2025-07-24T00:00:00"/>
        <d v="2023-06-14T00:00:00"/>
        <d v="2024-07-05T00:00:00"/>
        <d v="2025-07-15T00:00:00"/>
        <d v="2024-11-27T00:00:00"/>
        <d v="2025-03-06T00:00:00"/>
        <d v="2023-08-03T00:00:00"/>
        <d v="2024-04-24T00:00:00"/>
        <d v="2024-09-04T00:00:00"/>
        <d v="2024-12-04T00:00:00"/>
        <d v="2023-08-23T00:00:00"/>
        <d v="2023-10-19T00:00:00"/>
        <d v="2023-12-06T00:00:00"/>
        <d v="2023-12-11T00:00:00"/>
        <d v="2025-01-29T00:00:00"/>
        <d v="2025-03-31T00:00:00"/>
        <d v="2025-04-03T00:00:00"/>
        <d v="2023-06-13T00:00:00"/>
        <d v="2024-01-30T00:00:00"/>
        <d v="2024-02-27T00:00:00"/>
        <d v="2025-02-18T00:00:00"/>
        <d v="2024-01-24T00:00:00"/>
        <d v="2025-03-25T00:00:00"/>
        <d v="2025-04-10T00:00:00"/>
        <d v="2023-04-06T00:00:00"/>
        <d v="2025-06-30T00:00:00"/>
        <d v="2024-04-29T00:00:00"/>
        <d v="2023-06-26T00:00:00"/>
        <d v="2025-05-21T00:00:00"/>
        <d v="2023-03-28T00:00:00"/>
        <d v="2023-03-31T00:00:00"/>
        <d v="2023-06-01T00:00:00"/>
        <d v="2024-04-10T00:00:00"/>
        <d v="2024-04-12T00:00:00"/>
        <d v="2024-04-18T00:00:00"/>
        <d v="2024-04-30T00:00:00"/>
        <d v="2024-05-01T00:00:00"/>
        <d v="2024-05-14T00:00:00"/>
        <d v="2024-09-06T00:00:00"/>
        <d v="2024-09-17T00:00:00"/>
        <d v="2024-09-19T00:00:00"/>
        <d v="2024-10-04T00:00:00"/>
        <d v="2024-12-12T00:00:00"/>
        <d v="2025-01-15T00:00:00"/>
        <d v="2025-02-14T00:00:00"/>
        <d v="2025-04-24T00:00:00"/>
        <d v="2025-05-14T00:00:00"/>
        <d v="2025-06-24T00:00:00"/>
        <d v="2025-07-08T00:00:00"/>
        <d v="2025-09-26T00:00:00"/>
        <d v="2023-12-22T00:00:00"/>
        <d v="2023-04-05T00:00:00"/>
        <d v="2024-01-12T00:00:00"/>
        <d v="2024-04-16T00:00:00"/>
        <d v="2024-10-02T00:00:00"/>
        <d v="2024-02-29T00:00:00"/>
        <d v="2024-02-07T00:00:00"/>
        <d v="2024-06-14T00:00:00"/>
        <d v="2025-06-06T00:00:00"/>
        <d v="2024-12-24T00:00:00"/>
        <d v="2025-07-10T00:00:00"/>
        <d v="2025-08-12T00:00:00"/>
        <d v="2023-09-26T00:00:00"/>
        <d v="2023-09-11T00:00:00"/>
        <d v="2023-08-14T00:00:00"/>
        <d v="2023-05-04T00:00:00"/>
        <d v="2023-07-14T00:00:00"/>
        <d v="2023-11-23T00:00:00"/>
        <d v="2024-01-08T00:00:00"/>
        <d v="2024-10-07T00:00:00"/>
        <d v="2024-11-26T00:00:00"/>
        <d v="2025-07-29T00:00:00"/>
        <d v="2023-01-30T00:00:00"/>
        <d v="2023-03-30T00:00:00"/>
        <d v="2024-02-14T00:00:00"/>
        <d v="2025-09-11T00:00:00"/>
        <d v="2024-12-23T00:00:00"/>
        <d v="2025-02-07T00:00:00"/>
        <d v="2025-04-01T00:00:00"/>
        <d v="2023-06-12T00:00:00"/>
        <d v="2024-09-03T00:00:00"/>
        <d v="2024-03-15T00:00:00"/>
        <d v="2024-12-10T00:00:00"/>
        <d v="2023-12-25T00:00:00"/>
        <d v="2024-06-03T00:00:00"/>
        <d v="2024-03-22T00:00:00"/>
        <d v="2024-12-31T00:00:00"/>
        <d v="2023-08-28T00:00:00"/>
        <d v="2024-05-15T00:00:00"/>
        <d v="2023-09-14T00:00:00"/>
        <d v="2023-11-24T00:00:00"/>
        <d v="2025-06-18T00:00:00"/>
        <d v="2023-01-19T00:00:00"/>
        <d v="2024-02-21T00:00:00"/>
        <d v="2023-04-13T00:00:00"/>
        <d v="2024-05-13T00:00:00"/>
        <d v="2025-06-17T00:00:00"/>
        <d v="2023-02-23T00:00:00"/>
        <d v="2023-02-24T00:00:00"/>
        <d v="2023-07-12T00:00:00"/>
        <d v="2024-02-19T00:00:00"/>
        <d v="2024-03-19T00:00:00"/>
        <d v="2024-07-09T00:00:00"/>
        <d v="2024-04-23T00:00:00"/>
        <d v="2024-06-11T00:00:00"/>
        <d v="2023-06-27T00:00:00"/>
        <d v="2025-07-03T00:00:00"/>
        <d v="2024-05-21T00:00:00"/>
        <d v="2023-02-22T00:00:00"/>
        <d v="2025-03-26T00:00:00"/>
        <d v="2024-07-22T00:00:00"/>
        <d v="2023-09-07T00:00:00"/>
        <d v="2025-06-20T00:00:00"/>
        <d v="2025-03-21T00:00:00"/>
        <d v="2024-07-01T00:00:00"/>
        <d v="2024-02-01T00:00:00"/>
        <d v="2023-04-28T00:00:00"/>
        <d v="2023-02-28T00:00:00"/>
        <d v="2024-06-12T00:00:00"/>
        <d v="2024-10-03T00:00:00"/>
        <d v="2025-09-25T00:00:00" u="1"/>
        <d v="2025-07-23T00:00:00" u="1"/>
        <d v="2025-08-07T00:00:00" u="1"/>
        <d v="2025-05-01T00:00:00" u="1"/>
        <d v="2023-10-18T00:00:00" u="1"/>
      </sharedItems>
      <fieldGroup par="18"/>
    </cacheField>
    <cacheField name="Categoría Producto" numFmtId="0">
      <sharedItems count="26">
        <s v="Otros Servicio"/>
        <s v="Servicio logístico"/>
        <s v="Bricks"/>
        <s v="Coatings"/>
        <s v="Piedras"/>
        <s v="Concreto"/>
        <s v="Mercaderia"/>
        <s v="Pisos"/>
        <s v="Piscinas"/>
        <s v="Servicio de Instalación"/>
        <s v="3D"/>
        <s v="Madeyra"/>
        <s v="Listones"/>
        <s v="Mosaicos"/>
        <s v="Biofílico"/>
        <s v="Saldos Producción"/>
        <s v="Deco"/>
        <s v="Aligerados" u="1"/>
        <s v="Coating" u="1"/>
        <s v="Blocks" u="1"/>
        <s v="Huellas" u="1"/>
        <s v="Decks" u="1"/>
        <s v="Piso Vecchio" u="1"/>
        <s v="Terrazo" u="1"/>
        <s v="Linea A" u="1"/>
        <s v="General" u="1"/>
      </sharedItems>
    </cacheField>
    <cacheField name="Vendedor" numFmtId="0">
      <sharedItems/>
    </cacheField>
    <cacheField name="# Documento" numFmtId="0">
      <sharedItems/>
    </cacheField>
    <cacheField name="Canal Comercial" numFmtId="0">
      <sharedItems/>
    </cacheField>
    <cacheField name="Razón Social" numFmtId="0">
      <sharedItems count="234">
        <s v="ZUHAUSE CIALTDA"/>
        <s v="EMPRESA NACIONAL DE AGUA CALIENTE HIDROTERM"/>
        <s v="SANTIAGO XAVIER GALVEZ JACOME"/>
        <s v="HERRERA TERESA"/>
        <s v="DEGRES S.A.S"/>
        <s v="TAPIA VERDESOTO JORGE FERNANDO"/>
        <s v="DALET PAZ"/>
        <s v="GABRIELA BOHORQUEZ"/>
        <s v="JOUN YET"/>
        <s v="TOBIAS GORRIS"/>
        <s v="INDUSTRIA DE PLASTICOS EXPANDIBLES PLASTEX S.A"/>
        <s v="NORMA PUERTAS"/>
        <s v="JUAN FERNANDO DELGADO"/>
        <s v="MANUFACTURAS AMERICANAS"/>
        <s v="DOTTI RATTI MARCELO JOSE"/>
        <s v="CASCO Y GUERRA ASOCIADOS CIA LTDA"/>
        <s v="DIEGO JUSTICIA"/>
        <s v="SANDRA OCHOA"/>
        <s v="ZEA MEDINA HERNAN DANIEL"/>
        <s v="COBO FRANCISCO"/>
        <s v="ACABADOS BRIKO SA"/>
        <s v="IMPORTADORA VEGA S.A."/>
        <s v="CASACES S.A."/>
        <s v="IZURIETA SILVA ROBERTO FRANCISCO"/>
        <s v="IDITRABAHAQ "/>
        <s v="CONSULTINGPACK S.A."/>
        <s v="RACINES VIZUETE JOHNNY FABIAN"/>
        <s v="FRIOEXPORT  SA"/>
        <s v="RAMON GAVILANEZ"/>
        <s v="HUGO LEON GOZALEZ"/>
        <s v="TERMALIMEX CIA LTDA"/>
        <s v="COMPANIA COMERCIAL REINA VICTORIA"/>
        <s v="CONTEXTO-AB"/>
        <s v="CASALINK S.A.S"/>
        <s v="CATTAN CONSTRUCCIONES"/>
        <s v="MARIA JUDITH SANCHEZ"/>
        <s v="DAIRA LEVOYE"/>
        <s v="INVERSIONES AHC S.C.C."/>
        <s v="VALAREZO Y VALAREZO CONSTRUCTORA VALAREZO COMPANY"/>
        <s v="HOTEL FINLANDIA"/>
        <s v="CARMEN MONTENEGRO"/>
        <s v="ANIMEDICAL CORPORATION CIA LTDA"/>
        <s v="MAURICIO FRAGA"/>
        <s v="GABRIELA IZURIETA"/>
        <s v="ANPECORP SAS"/>
        <s v="WANDEMBERG VELASTEGUI"/>
        <s v="PAULINA TERESITA GARRIDO ORTEGA"/>
        <s v="SERCUVE CIA. LTDA."/>
        <s v="DANIELA DRIAU"/>
        <s v="CHALES CHL S.A."/>
        <s v="MAURICIO MARTINEZ"/>
        <s v="ALEXANDER HEARN"/>
        <s v="FERNANDO CONSTANTE"/>
        <s v="MIRANDA LARA FAUSTO ANTONIO"/>
        <s v="Diego Salvador"/>
        <s v="FERNANDEZ CEVALLOS JUAN CARLOS"/>
        <s v="ENZO CAIOZZI LIMONCI"/>
        <s v="FELIPE GARCES"/>
        <s v="FABRICIO LUZURIAGA CHAVEZ"/>
        <s v="DARIO GUAMAN"/>
        <s v="JOSE LUIS ACOSTA"/>
        <s v="ESTEBAN PADILLA"/>
        <s v="EVVIVA S.A.S"/>
        <s v="ANDRES CEVALLOS"/>
        <s v="PRISCILA GARCES"/>
        <s v="JORGE HUGO REYES LEVOYER"/>
        <s v="GINO SCHWANGER"/>
        <s v="JAMES ADRIAN ANDRADE CUTOS"/>
        <s v="SOFIA SALAZAR"/>
        <s v="MARIA EULALIA CHIRIBOGA"/>
        <s v="MIGUEL ANGEL PERITO"/>
        <s v="DIEGO ARIAS AGUILAR"/>
        <s v="DAVID LUPERA"/>
        <s v="EMILIO BORJA VALDIVIEZO"/>
        <s v="ANA REGALADO"/>
        <s v="JENNY TRUJILLO"/>
        <s v="GONZALEZ ALTAMIRANO LUCIA CATHERINE"/>
        <s v="LUIS TORRES BARRIGA"/>
        <s v="DARIO ALVAREZ"/>
        <s v="HARO VALENCIA MARCELO ALEXANDER"/>
        <s v="CLAUDIO RENATO GONZÁLEZ PUERTAS"/>
        <s v="KUBYKA S.A"/>
        <s v="ASISTANET  S.A"/>
        <s v="MASCOMMERCE CIA.LTDA."/>
        <s v="DISEÑOS Y DECORACIONES"/>
        <s v="MIGUEL ANGEL CARMONA"/>
        <s v="ARQUITECTURA DINNOVA ARQDINN CIA.LTDA."/>
        <s v="PABLO ORDOÑEZ"/>
        <s v="OMACA"/>
        <s v="JOFFRE AGUIRRE"/>
        <s v="OLGA MARIA VERA"/>
        <s v="CARTRON SA"/>
        <s v="DANIELLA ANDRETTA SCHUMACHER"/>
        <s v="DEPROIN PS SAS"/>
        <s v="AIDA ROCIO BETANCOURT"/>
        <s v="CITRONSAFT SAS"/>
        <s v="ANDREA VELASTEGUI"/>
        <s v="LEONARDO MAURICIO CAJAS ROBLES"/>
        <s v="OLGA MARIA VERA FUENTES"/>
        <s v="Olga Yepez"/>
        <s v="Habita Cia Ltda"/>
        <s v="RUBEN ALVAREZ"/>
        <s v="ARTHOTELES ECUADOR S A"/>
        <s v="CASTILLO YAQUE SONIA ROXANA"/>
        <s v="SERRANO PROAÑO DISEÑO Y CONSTRUCCIÓN S.A."/>
        <s v="DENCER SA"/>
        <s v="MATSAREC S.A.S."/>
        <s v="ANDRES MENDOZA"/>
        <s v="ABORIGENECUADOR S.A.S"/>
        <s v="PALLARES GOMEZ DE LA TORRE JAVIER"/>
        <s v="PUMAPUCARÁ S.A"/>
        <s v="RODRIGUEZ FERNANDO"/>
        <s v="OPCODE S.A."/>
        <s v="YEPEZ JIJON DIANA ESTEFANIA"/>
        <s v="VERA SANTILLAN LUIS FERNANDO"/>
        <s v="IDEARQ ESTUDIO S.A.S"/>
        <s v="ANTONIO JAVIER QUINTANA MORENO"/>
        <s v="SERGIO DAVID VALLEJO TORO"/>
        <s v="FIGUEROA MACIAS RONALD DANIEL"/>
        <s v="JIMMY MARCELO VELEZ ORTIZ"/>
        <s v="CONSTRUCTORA XB S.C"/>
        <s v="PROYECTOS SIN LIMITES PROLIMIT CIA. LTDA."/>
        <s v="HDECO S. A. S."/>
        <s v="JUAN MANUEL CUESTA"/>
        <s v="PROTROPIC CIA. LTDA. (PRODUCTOS TROPICALES)"/>
        <s v="DAVILA ALARCON EULALIA SUSANA"/>
        <s v="GUSTAVO REGALADO NIETO"/>
        <s v="MIRANDA JAIME"/>
        <s v="JARAMILLO POZO DIEGO PATRICIO"/>
        <s v="DISEÑO ARQUITECTURA Y SOLUCIONES DASC S.A.S."/>
        <s v="EMPRESA AGROPECUARIA SAN CARLOS"/>
        <s v="VALAREZO &amp; VALAREZO PROMOTORA INMOBILIARIA"/>
        <s v="LORENA MONTALVO"/>
        <s v="HOLGER BILLY SANCHEZ SOTO"/>
        <s v="ESTELA RAMIREZ"/>
        <s v="OPALA SAS"/>
        <s v="DECONCRETESA S.A"/>
        <s v="227ITALY SAS"/>
        <s v="GALINA ROSSOVA"/>
        <s v="BENJAMIN NUÑEZ SANCHEZ"/>
        <s v="FIDEICOMISO INMOBILIARIO LA MOYA"/>
        <s v="VEGA BUSINESS S.A."/>
        <s v="CONSTRUCTORA PROHORIZON"/>
        <s v="ALVAREZ RUIZ SYLVIA DEL ROCIO"/>
        <s v="FIDEICOMISO INMOBILIARIO FERRARA"/>
        <s v="PATRICIO LUPERA A."/>
        <s v="RODRIGO SALINAS"/>
        <s v="REALMENTEPURA S.A.S."/>
        <s v="SIERRAFERTTIL CIA LTDA"/>
        <s v="FERNANDO DIAZ CHAVEZ"/>
        <s v="PROAÑO JUAN SEBASTIAN"/>
        <s v="STYLOSDKAS CIA. LTDA."/>
        <s v="XAVIER ANDRANGO"/>
        <s v="PEREZ HINOJOSA CLEMENCIA"/>
        <s v="BUCHELI CARLOS"/>
        <s v="TORRES CARLOS"/>
        <s v="ARGUELLO CASTRO ELIO KLEBER"/>
        <s v="MIGUEL CHAVEZ"/>
        <s v="VF SALUD CIA LTDA"/>
        <s v="REDROBAN ANDRADE ANGEL EDUARDO"/>
        <s v="SERGIO GERMAN GOMEZ"/>
        <s v="TORO VARGAS MARCELO GASTON"/>
        <s v="BARAHONA MARIA LUISA"/>
        <s v="LAURA CACHIGUANGO"/>
        <s v="JONAS SALTOS"/>
        <s v="SALTOS NAULA JONAS ALEXANDER"/>
        <s v="SANTILLAN BORJA RAUL FERNANDO"/>
        <s v="RODRIGO RIOFRIO"/>
        <s v="DIEGO DONOSO"/>
        <s v="JOSE ROBERTO ESCOBAR ALVAREZ"/>
        <s v="ESTEFANIA IBARRA"/>
        <s v="CRISTIAN CARPIO"/>
        <s v="MERCY LETICIA PRADO BRITO"/>
        <s v="TAMBI PUPIALES VICTOR ELIAS"/>
        <s v="YESENNYA POZO"/>
        <s v="LEXINTEL LAW FIRM S.A.S"/>
        <s v="ALVARO DUEÑAS"/>
        <s v="GABRIELA ESPINOSA JACOME"/>
        <s v="PATRICIO NIACATO"/>
        <s v="JAIME JANONY ZEAS GUTIERREZ"/>
        <s v="ROMERO GALLARDO CARLOS ALFREDO"/>
        <s v="JORGE OLIVO"/>
        <s v="BORIS ZAMBRANO"/>
        <s v="ANDRES IZURIETA"/>
        <s v="CHUQUIMARCA USHINA BLANCA DEL PILAR"/>
        <s v="VIZUETE BAUTISTA JUANITA"/>
        <s v="FIDEICOMISO EPIQ"/>
        <s v="PIMANTOUR S.A."/>
        <s v="SACHALODGE S.A."/>
        <s v="ROJAS GUADALUPE"/>
        <s v="GOMEZJURADO CASARES ALAN ESTEBAN"/>
        <s v="M&amp;H PROYECTOS Y CONSTRUCCIONES S.C.C"/>
        <s v="IVAN NAVARRETE"/>
        <s v="Marco Bedoya García"/>
        <s v="ASOCIACION DE CUENTAS EN PARTICIPACION DMI ARQUITECTURA Y CONSTRUCCION"/>
        <s v="KAROLYS GARCIA ELSA DEL CARMEN"/>
        <s v="COMPANIA LIMITADA FAMEDIC"/>
        <s v="INMOGALA SOCIEDAD CIVIL"/>
        <s v="ESTEBAN PACHECO"/>
        <s v="FRANKLIN TITO"/>
        <s v="VILLOTA PONCE PABLO XAVIER"/>
        <s v="EDGAR ALMEIDA"/>
        <s v="CARLA CABRERA"/>
        <s v="GABRIELA CRUZ"/>
        <s v="ISRAEL ORMAZA"/>
        <s v="ANA MARIA NOVILLO RAMEIX"/>
        <s v="CRISTINA TORRES"/>
        <s v="MINO PATRICIO"/>
        <s v="MARIA JOSE VACA"/>
        <s v="CARLOS AIGAJE"/>
        <s v="GABRIEL ALVAREZ"/>
        <s v="WALTER CEVALLOS"/>
        <s v="GENESIS CADENA"/>
        <s v="ANDRADE JUAN DIEGO"/>
        <s v="ADIPEC SAS"/>
        <s v="NEURALINK S.A.S."/>
        <s v="CONSTRUCTORA THALIA VICTORIA SA"/>
        <s v="Oscar Fernando Maldonado Regalado"/>
        <s v="GABRIEL FARRAYE"/>
        <s v="DE LA CRUZ TUZA CRISTIAN DAVID"/>
        <s v="PEREZ SEQUERA JOSE GREGORIO"/>
        <s v="JULIO VASQUEZ"/>
        <s v="CONTRATISTAS ACABADOS PARA LA CONSTRUCCION JANDRI S.A."/>
        <s v="ANA GABRIELA GONZALEZ DONOSO"/>
        <s v="MUBEL KONZEPT SAS"/>
        <s v="CUESTA CORTEZ MARCELO LEONARDO"/>
        <s v="CRISTIAN MALDONADO"/>
        <s v="CANSINO JORGE"/>
        <s v="FABRICA DE BATERIAS FABRIBAT CIA.LTDA."/>
        <s v="AUTOMOTORES COROSAL S.A.S"/>
        <s v="DIANA RAMIREZ"/>
        <s v="RICARDO MOSQUERA"/>
        <s v="HURTADO GARCIA KETTY DEL ROCIO"/>
        <s v="EDIT SANDOVAL"/>
      </sharedItems>
    </cacheField>
    <cacheField name="Cantidad" numFmtId="4">
      <sharedItems containsSemiMixedTypes="0" containsString="0" containsNumber="1" minValue="7.0000000000000007E-2" maxValue="901.78"/>
    </cacheField>
    <cacheField name="Producto" numFmtId="0">
      <sharedItems count="279">
        <s v="*Asesoramiento De Interiores"/>
        <s v="*Servicio Logistico"/>
        <s v="Adobebrick 15 X 45"/>
        <s v="Coating Adobe 50 X 100"/>
        <s v="Coating Adobe 60 X 170"/>
        <s v="Anclaje"/>
        <s v="Andes Ocre Piedra 10 X 20. 10 X 30. 10 X 50"/>
        <s v="Concreto Apparente Multiformato"/>
        <s v="Concreto Apparente 50 X 100"/>
        <s v="BARREDERA INSTALADA EUROPEA HARVEST VERANO NAT TENDENCIA NAT DE 60X20X2400 MM"/>
        <s v="Barredera Instalada Europea Marron Tana Toscanapetterson De 60X20X2400 Mm"/>
        <s v="Barredera Instalada Europea Otono De 60X20X2400 Mm"/>
        <s v="Barredera Instalada Europea Verano Beige"/>
        <s v="Barredora Instalada Europea Paris 100X2800 Mm"/>
        <s v="Block Etrusco Gris Oscuro 12 X 25"/>
        <s v="Block Etrusco Gris Oscuro 20 X 20"/>
        <s v="Borde Clasico 35 Atermica Arena 35 X 50"/>
        <s v="Borde Clasico 35 Crema 35 X 50"/>
        <s v="Borde Clasico 35 Atermica Gris Claro 35 X 50"/>
        <s v="Borde Clasico 35 Blanco Terrazo 35 X 50"/>
        <s v="Borde Concavo 35 Crema 35 X 50"/>
        <s v="Borde Concavo 35 Atermica Gris Claro 35 X 50"/>
        <s v="Borde Concavo 35 Blanco Terrazo 35 X 50"/>
        <s v="Borde Convexo 35 Crema 35 X 50"/>
        <s v="Borde Exterior 35 Atermica Arena 35 X 35"/>
        <s v="Borde Exterior 35 Crema 35 X 35"/>
        <s v="Borde Exterior 35 Blanco Terrazo 35 X 35"/>
        <s v="Borde Interior 35 Atermica Arena 35 X 35"/>
        <s v="Borde Interior 35 Crema 35 X 35"/>
        <s v="Borde Interior 35 Atermica Gris Claro 35 X 35"/>
        <s v="Borde Interior 35 Blanco Terrazo 35 X 35"/>
        <s v="Borde Plano ( Crema / Grezzo ) (50X100)"/>
        <s v="Borde Plano Atermica Arena 50 X 50"/>
        <s v="Borde Plano Atermica Gris Claro 50 X 50"/>
        <s v="Borde Plano Crema 50 X 50"/>
        <s v="Borde Plano Blanco Terrazo 50 X 50"/>
        <s v="Cademix Gold 25Kg"/>
        <s v="Cademix Plus 26Kg"/>
        <s v="Cademix Premium 26Kg"/>
        <s v="Caliza Arena Piedra 10 X 20. 10 X 30. 10 X 50"/>
        <s v="Caliza Blanco Concreto 10 X 20. 10 X 30. 10 X 50"/>
        <s v="Caliza Gris Claro Piedra 10 X 20. 10 X 30. 10 X 50"/>
        <s v="Cera Artyco"/>
        <s v="Cera Bs 200"/>
        <s v="Cera Grafito"/>
        <s v="Cera Madeyra Canela"/>
        <s v="Cera Madeyra Miel"/>
        <s v="CERA PARA PLACAS PREFABRICADAS"/>
        <s v="Ceramica Pune Blanco Brillo 33,3 X 100  (Pared)"/>
        <s v="Ceramica Pune Blanco Brillo Mosaico 33,3 X 100  (Pared)"/>
        <s v="Coating Corten 50 X 100"/>
        <s v="Piedra Cumbal Arena Multiformato"/>
        <s v="Piedra Cumbal Blanco Multiformato"/>
        <s v="Cumbal Gris Claro Concreto 10 X 20. 10 X 30. 10 X 50"/>
        <s v="Cumbal Gris Claro Piedra 10 X 20. 10 X 30. 10 X 50"/>
        <s v="Duna Grezzo Arena 50 X 75"/>
        <s v="Doble Borde Plano Blanco Terrazo 50 X 50"/>
        <s v="Esquinero Galeras Gris Multiformato"/>
        <s v="Esquinero Piedra Galeras Blanco"/>
        <s v="Esquinero Galeras Blanco Arenado"/>
        <s v="Esquinero Urbanbrick Bricks Arena 5 X 20 X 12. 5 X 25 X 12"/>
        <s v="Gaira Gris Oscuro Piedra 10 X 50"/>
        <s v="Gaira Ocre Piedra 10 X 50"/>
        <s v="Galeras Blanco Arenado Multiformato"/>
        <s v="Galeras Gris Multiformato"/>
        <s v="Grada Instalada Kronotex Aleman Exquisit Pluspetterson Wide Ac4"/>
        <s v="Huellas Canela 35 X 120"/>
        <s v="Infinity Blanco Paris 55 X 63.5"/>
        <s v="Inka Arena Multiformato"/>
        <s v="Inka Gris Oxidado Multiformato"/>
        <s v="Liston Grezzo Gris Claro 12 X 120"/>
        <s v="Liston Etrusco Gris Oscuro 10 X 50"/>
        <s v="Dritto Oxyden Multiformato"/>
        <s v="Liston Apparente 10 X 50"/>
        <s v="Liston Etrusco Arena 10 X 50"/>
        <s v="Liston Etrusco Blanco 10 X 50"/>
        <s v="Listones Blanco Grezzo 10 X 50"/>
        <s v="Liston Ignis Gris Oscuro 10 X 50"/>
        <s v="Liston Etrusco Gris Claro 10 X 50"/>
        <s v="Adobebrick 10 X 40"/>
        <s v="Liston Oxyden 10 X 50"/>
        <s v="Longbrick Blanco 4 X 60"/>
        <s v="Longbrick Cenizo 4 X 60"/>
        <s v="Longbrick Ladrillo 4 X 60"/>
        <s v="Deck Madeyra Canela 12 X 150"/>
        <s v="Deck Madeyra Miel 12 X 150"/>
        <s v="Madeyra Vecchia Canela Multifotmato"/>
        <s v="Madeyra Vecchia Miel Multifotmato"/>
        <s v="Manaos Canela 20 X 100"/>
        <s v="Manaos Miel 20 X 100"/>
        <s v="Marble Dark Pulido 62X121"/>
        <s v="Mosaico Etrusco Arena Multiformato"/>
        <s v="Mosaico Arena Grezzo Multiformato"/>
        <s v="Mosaico Etrusco Blanco Multiformato"/>
        <s v="Mosaico Blanco Grezzo Multiformato"/>
        <s v="Mosaico Ignis Gris Oscuro 20 X 20"/>
        <s v="Mosaico Ignis Grafito 20 X 20"/>
        <s v="Mosaico Etrusco Gris Claro Multiformato"/>
        <s v="Mosaico Gris Claro Grezzo Multiformato"/>
        <s v="Mosaico Etrusco Gris Oscuro Multiformato"/>
        <s v="Mosaico Madeyra Multiformato"/>
        <s v="Mosaico Oxyden Arrecife Multiformato"/>
        <s v="Mosaico Oxyden Multiformato"/>
        <s v="Moss Biofilico Verde 15 X 17.3 X 7 Unidades"/>
        <s v="Moss Biofilico Verde 20 X 20 X 5 Unidades"/>
        <s v="Origami Grezzo Blanco 20 X 80"/>
        <s v="Origami Grezzo Gris Claro 20 X 80"/>
        <s v="Perfil De Grada Instalado Europeo Marron Tanatoscana Petterson X 2400 Mm"/>
        <s v="PERFIL INSTALADO DE MOVIMIENTO EUROPEO HARVEST VERANO NAT TENDENCIA NAT X 1800 MM"/>
        <s v="Perfil Instalado De Movimiento Europeo Marron Tanatoscana Petterson X 1800 Mm"/>
        <s v="Perfil Instalado De Movimiento Europeo Otono X1800 Mm"/>
        <s v="Perfil Instalado De Movimiento Europeo Ubangui X 1800"/>
        <s v="Perfil Instalado De Movimiento Europeo Verano Beige X 1800 Mm"/>
        <s v="PERFIL INSTALADO DE TRANSICION EUROPEO HARVEST VERANO NAT TENDENCIA NAT X 1800 MM"/>
        <s v="Perfil Instalado De Transicion Europeo Ubangui X 1800 Mm"/>
        <s v="Perfil Instalado De Transicion Europeo V"/>
        <s v="PERFIL INSTALADO FINAL DE PARED EUROPEO HARVEST VERANO NAT TENDENCIA NAT X 1800 MM"/>
        <s v="Perfil Instalado Final De Pared Europeo Marron Tanatoscana Petterson X 1800 Mm"/>
        <s v="Perfil Instalado Final De Pared Europeo Verano Beige X 1800 Mm"/>
        <s v="Piso Arena Grezzo 50 X 50"/>
        <s v="Piso Blanco Etrusco 50 X 100"/>
        <s v="Piso Blanco Terrazo 50 X 100"/>
        <s v="Piso Crema Grezzo 50 X 100"/>
        <s v="Piso Antideslizante Crema 50 X 50"/>
        <s v="Piso Flotado Gris Claro Grezzo 50 X 50"/>
        <s v="Piso Grafito Ignis 75 X 75"/>
        <s v="Piso Grezzo Mattone 50X50"/>
        <s v="Piso Gris Claro Grezzo 30 X 120"/>
        <s v="Piso Gris Claro Grezzo 50 X 50"/>
        <s v="Piso Gris Oscuro Etrusco 20 X 100"/>
        <s v="Piso Etrusco Gris Oscuro 30 X 120"/>
        <s v="PISO INSTALADO ARTFLOOR FIX 4V AC3 MUSON 7 MM"/>
        <s v="Piso Instalado Floorpan Fix Ac3 Samyeli"/>
        <s v="Piso Instalado Kronotex Aleman Exquisit Pluspetterson Wide Ac4"/>
        <s v="Piso Instalado Kronotex Aleman Standard Roble Otono A3"/>
        <s v="Piso Laminado Kronotex Aleman Advanced Plus Verano Oscuro Ac4"/>
        <s v="Piso Terrazo Blanco 20 X 100"/>
        <s v="Piso Antideslizante Blanco Terrazo 50 X 50"/>
        <s v="Piso Rustico Rombo 15 X 26"/>
        <s v="Pizarra Grafito Rombo 17 x 17 (30 Altura)"/>
        <s v="Piso Rustico Exagono 15 x 6 L"/>
        <s v="Pizarra Ladrillo Rombo 17 x 17 (30 Altura)"/>
        <s v="Polygon Etrusco Arena 15 X 17.3"/>
        <s v="Polygon Blanco Etrusco 15 X 17.3"/>
        <s v="Polygon Blanco Paris 15 X 17.3"/>
        <s v="Polygon Etrusco Gris Claro 15 X 17.3"/>
        <s v="Porcelanato Artico Lux 60 X 120  (Pared)"/>
        <s v="Porcelanato Calacata Gold Lux 62,2 X 121,4"/>
        <s v="Porcelanato Calacata Premium Mate  60 X 120"/>
        <s v="Porcelanato Dominique Lux 60 X 120  (Pared)"/>
        <s v="Porcelanato Erebor Beige Matee 59,5 X 120   (Piso)"/>
        <s v="Porcelanato Erebor Gris Mate 59.9 X 120  (Piso)"/>
        <s v="PORCELANATO ESPANOL SLIPSTOP HORTON MOSS MATE 59.5 X 120 CM RECT MC."/>
        <s v="Porcelanato Johnston White Mate 60 X 120"/>
        <s v="Porcelanato Mysore"/>
        <s v="Porcelanato Onix Nero Lux 60 X 120  (Pared)"/>
        <s v="Porcelanato Ripley Natural Mate 30 X 150  (Piso)"/>
        <s v="Porcelanato Soft Concret Mate 62,2X123"/>
        <s v="Porcelanato Vilema Blanco Mate 23.3 X 120  (Piso)"/>
        <s v="Prisma Paris Blanco 40 X 60"/>
        <s v="Q-Bos Paris Arena 7.5 X 7.5"/>
        <s v="Q-Bos Paris Blanco 7.5 X 7.5"/>
        <s v="Rejilla 14 Atermica Arena 14 X 50"/>
        <s v="Rejilla 14 Crema 14 X 50"/>
        <s v="Rejilla 14 Atermica Gris Claro 14 X 50"/>
        <s v="Rejilla 14 Blanco Terrazo14 X 50"/>
        <s v="Rejilla 25 Atermica Arena 25 X 50"/>
        <s v="Rejilla 25 Atermica Crema 25 X 50"/>
        <s v="Rejilla 25 Atermica Terrazo Blanco 25 X 50"/>
        <s v="Removedor"/>
        <s v="Saldos (Natural/Mate) Multiformato"/>
        <s v="Scaleno Blanco Etrusco 50 X 100"/>
        <s v="Scaleno Blanco Grezzo 50 X 100"/>
        <s v="Scaleno Gris Claro Etrusco 50 X 100"/>
        <s v="Scaleno Gris Claro Grezzo 50 X 100"/>
        <s v="Scaleno Gris Oscuro Etrusco 50 X 100"/>
        <s v="Scaleno Gris Oscuro Grezzo 50 X 100"/>
        <s v="Sellador Gris Artyco"/>
        <s v="SELLADOR PROTEX SEMIBRILLANTE"/>
        <s v="Servicio de Instalacion"/>
        <s v="Servicio Logistico"/>
        <s v="Shou Sugi Ban Grafito 20 X 100"/>
        <s v="Shou Sugi Ban Gris Oscuro 20 X 100"/>
        <s v="Squadri Gris Claro Grezzo 40 X 120"/>
        <s v="Synus Blanco Grezzo 5 X 70 X 30"/>
        <s v="Terrazo Semipulido Beige Terrazo 44.8 X 44.8"/>
        <s v="Tribu Arena Grezzo 20 X 20"/>
        <s v="Tribu Arena Paris 20 X 20"/>
        <s v="Tribu Blanco Grezzo 20 X 20"/>
        <s v="Tribu Blanco Paris 20 X 20"/>
        <s v="Tribu Gris Claro Grezzo 20 X 20"/>
        <s v="Tribu Gris Claro Paris 20 X 20"/>
        <s v="Urbanbrick Arena 5 X 25"/>
        <s v="Urbanbrick Blanco 5 X 25"/>
        <s v="Urbanbrick Cenizo Ladrillo 5 X 25"/>
        <s v="Urbanbrick Gris Claro Ladrillo 5 X 25"/>
        <s v="Urbanbrick Ladrillo Ladrillo 5 X 25"/>
        <s v="Urbanbrick Terracota Ladrillo 5 X 25"/>
        <s v="Valdivia Blanco Piedra 10 X 20. 10 X 30. 10 X 50"/>
        <s v="Adobe Tierra Adobe 15 X 45" u="1"/>
        <s v="Adobe Tierra Adobe 50 X 100" u="1"/>
        <s v="Adobe Tierra Adobe 60 X 170" u="1"/>
        <s v="Apparente Con Boton Concreto Apparente 12 X 120" u="1"/>
        <s v="Apparente Concreto Apparente 12 X 120" u="1"/>
        <s v="Apparente Concreto Apparente 20 X 120" u="1"/>
        <s v="Apparente Concreto Apparente 50 X 100" u="1"/>
        <s v="Apparente Concreto Apparente 8 X 75" u="1"/>
        <s v="Apparente Concreto Apparente Multiformato" u="1"/>
        <s v="Borde Clasico 35 Atermica Crema 35 X 50" u="1"/>
        <s v="Borde Clasico 35 Terrazo Atermica Blanco 35 X 50" u="1"/>
        <s v="Borde Concavo 35 Atermica Crema 35 X 50" u="1"/>
        <s v="Borde Concavo 35 Terrazo Atermica Blanco 35 X 50" u="1"/>
        <s v="Borde Convexo 35 Atermica Crema 35 X 50" u="1"/>
        <s v="Borde Exterior 35 Atermica Crema 35 X 35" u="1"/>
        <s v="Borde Exterior 35 Terrazo Atermica Blanco 35 X 35" u="1"/>
        <s v="Borde Interior 35 Atermica Crema 35 X 35" u="1"/>
        <s v="Borde Interior 35 Terrazo Atermica Blanco 35 X 35" u="1"/>
        <s v="Borde Plano Crema Grezzo 50X50" u="1"/>
        <s v="Borde Plano Terrazo Atermica Blanco 50 X 50" u="1"/>
        <s v="Corten Corten Oxidado 50 X 100" u="1"/>
        <s v="Cumbal Arena Piedra 10 X 20. 10 X 30. 10 X 50" u="1"/>
        <s v="Cumbal Blanco Concreto 10 X 20. 10 X 30. 10 X 50" u="1"/>
        <s v="Cumbal Blanco Piedra 10 X 20. 10 X 30. 10 X 50" u="1"/>
        <s v="Duna Arena Cristally 50 X 75" u="1"/>
        <s v="Esquina Doble Borde Plano Atermica Terrazo Blanco 50 X 50" u="1"/>
        <s v="Esquinero Galera Gris Multiformato" u="1"/>
        <s v="Esquinero Piedra Galeras Blanco Arenado" u="1"/>
        <s v="Galeras Arena Piedra Multiformato" u="1"/>
        <s v="Galeras Blanco Arenado Piedra Multiformato" u="1"/>
        <s v="Galeras Gris Piedra Multiformato" u="1"/>
        <s v="Inka Arena Piedra Multiformato" u="1"/>
        <s v="Inka Gris Piedra Multiformato" u="1"/>
        <s v="Inka Ocre Piedra Multiformato" u="1"/>
        <s v="Listón Gris Oscuro Etrusco 10X50 C/0.70" u="1"/>
        <s v="Liston Oxyden Oxidado 12 X 120" u="1"/>
        <s v="Liston Oxyden Oxidado 5.5 X 60" u="1"/>
        <s v="Listones Apparente 10 X 50" u="1"/>
        <s v="Listones Arena Etrusco 10 X 50" u="1"/>
        <s v="Listones Blanco Etrusco 10 X 50" u="1"/>
        <s v="Listones Grafito Ignis 10 X 50" u="1"/>
        <s v="Listones Gris Claro Etrusco 10 X 50" u="1"/>
        <s v="Listones Gris Oscuro Etrusco 10 X 50" u="1"/>
        <s v="Listones Gris Oscuro Ignis 10 X 50" u="1"/>
        <s v="Listones Ladrillo Adobe 10 X 40" u="1"/>
        <s v="Listones Oxidado 10 X 50" u="1"/>
        <s v="Listones Tierra Adobe 10 X 40" u="1"/>
        <s v="Longbrick Blanco Ladrillo 4 X 60" u="1"/>
        <s v="Longbrick Ladrillo Ladrillo 4 X 60" u="1"/>
        <s v="Madeyra Canela Madera 12 X 150" u="1"/>
        <s v="Madeyra Tabaco 20 x 100" u="1"/>
        <s v="Madeyra Tabaco Madera 12 X 150" u="1"/>
        <s v="Madeyra Vecchia Canela Madera 20 X 100" u="1"/>
        <s v="Madeyra Vecchia Canela Madera 20 X 150" u="1"/>
        <s v="Madeyra Vecchia Canela Madera 37 X 150" u="1"/>
        <s v="Madeyra Vecchia Canela Madera Multiformato20 X 100. 20 X 150. 37 X 150" u="1"/>
        <s v="Manaos Canela Madera 20 X 100" u="1"/>
        <s v="Mosaico Arena Etrusco Multiformato" u="1"/>
        <s v="Mosaico Blanco Etrusco Multiformato" u="1"/>
        <s v="Mosaico Grafito Ignis 20 X 20" u="1"/>
        <s v="Mosaico Gris Claro Etrusco Multiformato" u="1"/>
        <s v="Mosaico Gris Oscuro Etrusco Multiformato" u="1"/>
        <s v="Mosaico Madeyra Tabaco Mongo Canela Multiformato" u="1"/>
        <s v="Mosaico Oxyden Ocre Oxidado Multiformato" u="1"/>
        <s v="Origami Blanco Grezzo 20 X 80" u="1"/>
        <s v="Origami Gris Claro Grezzo 20 X 80" u="1"/>
        <s v="Piso Crema Grezzo 50 X 50" u="1"/>
        <s v="Piso Gris Oscuro Etrusco 30 X 120" u="1"/>
        <s v="Piso Terrazo Blanco 50 X 50" u="1"/>
        <s v="Pizarra Grafito Rombo 15 x 15 (26 Altura)" u="1"/>
        <s v="Pizarra Ladrillo Hexagonal 15 x 15" u="1"/>
        <s v="Polygon Arena Marmoleado 15 X 17.3" u="1"/>
        <s v="Polygon Gris Claro Etrusco 15 X 17.3" u="1"/>
        <s v="Prisma Blanco Paris 40 X 60" u="1"/>
        <s v="Q-Bos Arena Marmoleado 7.5 X 7.5" u="1"/>
        <s v="Q-Bos Blanco Marmoleado 7.5 X 7.5" u="1"/>
        <s v="Rejilla 14 Atermica Crema 14 X 50" u="1"/>
        <s v="Rejilla 14 Atermica Terrazo Blanco 14 X 50" u="1"/>
        <s v="Anticipo para Futuras Entregas de Productos de Concreto Arquitectónico" u="1"/>
        <s v="Terrazo Semipulido Beige Terrazo 49 X 90" u="1"/>
      </sharedItems>
    </cacheField>
    <cacheField name="PVP" numFmtId="43">
      <sharedItems containsSemiMixedTypes="0" containsString="0" containsNumber="1" minValue="0.01" maxValue="34192.282480000002"/>
    </cacheField>
    <cacheField name="Descuento" numFmtId="43">
      <sharedItems containsSemiMixedTypes="0" containsString="0" containsNumber="1" minValue="0" maxValue="8364.5439999999999"/>
    </cacheField>
    <cacheField name="Neto" numFmtId="43">
      <sharedItems containsSemiMixedTypes="0" containsString="0" containsNumber="1" minValue="0" maxValue="26669.98"/>
    </cacheField>
    <cacheField name="Costo Venta" numFmtId="43">
      <sharedItems containsString="0" containsBlank="1" containsNumber="1" minValue="0" maxValue="13868.705988899999"/>
    </cacheField>
    <cacheField name="Costo Uni." numFmtId="43">
      <sharedItems containsSemiMixedTypes="0" containsString="0" containsNumber="1" minValue="0" maxValue="32.689894999999993"/>
    </cacheField>
    <cacheField name="Conversión" numFmtId="4">
      <sharedItems containsSemiMixedTypes="0" containsString="0" containsNumber="1" minValue="7.0000000000000007E-2" maxValue="1"/>
    </cacheField>
    <cacheField name="M2" numFmtId="0">
      <sharedItems containsSemiMixedTypes="0" containsString="0" containsNumber="1" minValue="7.0000000000000007E-2" maxValue="901.78"/>
    </cacheField>
    <cacheField name="Rentabilidad" numFmtId="43">
      <sharedItems containsSemiMixedTypes="0" containsString="0" containsNumber="1" minValue="-537.434619" maxValue="12801.2740111"/>
    </cacheField>
    <cacheField name="Meses (Fecha de Emisión)" numFmtId="0" databaseField="0">
      <fieldGroup base="0">
        <rangePr groupBy="months" startDate="2023-01-05T00:00:00" endDate="2025-10-01T00:00:00"/>
        <groupItems count="14">
          <s v="&lt;5/1/202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10/2025"/>
        </groupItems>
      </fieldGroup>
    </cacheField>
    <cacheField name="Trimestres (Fecha de Emisión)" numFmtId="0" databaseField="0">
      <fieldGroup base="0">
        <rangePr groupBy="quarters" startDate="2023-01-05T00:00:00" endDate="2025-10-01T00:00:00"/>
        <groupItems count="6">
          <s v="&lt;5/1/2023"/>
          <s v="Trim.1"/>
          <s v="Trim.2"/>
          <s v="Trim.3"/>
          <s v="Trim.4"/>
          <s v="&gt;1/10/2025"/>
        </groupItems>
      </fieldGroup>
    </cacheField>
    <cacheField name="Años (Fecha de Emisión)" numFmtId="0" databaseField="0">
      <fieldGroup base="0">
        <rangePr groupBy="years" startDate="2023-01-05T00:00:00" endDate="2025-10-01T00:00:00"/>
        <groupItems count="5">
          <s v="&lt;5/1/2023"/>
          <s v="2023"/>
          <s v="2024"/>
          <s v="2025"/>
          <s v="&gt;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6">
  <r>
    <x v="0"/>
    <x v="0"/>
    <s v="OFICINA"/>
    <s v="001-001-000000032"/>
    <s v="Distribuidores"/>
    <x v="0"/>
    <n v="1"/>
    <x v="0"/>
    <n v="267.86"/>
    <n v="0"/>
    <n v="267.86"/>
    <m/>
    <n v="0"/>
    <n v="1"/>
    <n v="1"/>
    <n v="267.86"/>
  </r>
  <r>
    <x v="0"/>
    <x v="0"/>
    <s v="OFICINA"/>
    <s v="001-001-000000033"/>
    <s v="Directo"/>
    <x v="1"/>
    <n v="1"/>
    <x v="0"/>
    <n v="357.14"/>
    <n v="0"/>
    <n v="357.14"/>
    <m/>
    <n v="0"/>
    <n v="1"/>
    <n v="1"/>
    <n v="357.14"/>
  </r>
  <r>
    <x v="1"/>
    <x v="0"/>
    <s v="OFICINA"/>
    <s v="001-001-000000047"/>
    <s v="Distribuidores"/>
    <x v="0"/>
    <n v="1"/>
    <x v="0"/>
    <n v="267.86"/>
    <n v="0"/>
    <n v="267.86"/>
    <m/>
    <n v="0"/>
    <n v="1"/>
    <n v="1"/>
    <n v="267.86"/>
  </r>
  <r>
    <x v="1"/>
    <x v="0"/>
    <s v="OFICINA"/>
    <s v="001-001-000000048"/>
    <s v="Directo"/>
    <x v="1"/>
    <n v="1"/>
    <x v="0"/>
    <n v="357.14"/>
    <n v="0"/>
    <n v="357.14"/>
    <m/>
    <n v="0"/>
    <n v="1"/>
    <n v="1"/>
    <n v="357.14"/>
  </r>
  <r>
    <x v="2"/>
    <x v="0"/>
    <s v="OFICINA"/>
    <s v="001-001-000000070"/>
    <s v="Distribuidores"/>
    <x v="0"/>
    <n v="1"/>
    <x v="0"/>
    <n v="267.86"/>
    <n v="0"/>
    <n v="267.86"/>
    <m/>
    <n v="0"/>
    <n v="1"/>
    <n v="1"/>
    <n v="267.86"/>
  </r>
  <r>
    <x v="2"/>
    <x v="0"/>
    <s v="OFICINA"/>
    <s v="001-001-000000071"/>
    <s v="Directo"/>
    <x v="1"/>
    <n v="1"/>
    <x v="0"/>
    <n v="357.14"/>
    <n v="0"/>
    <n v="357.14"/>
    <m/>
    <n v="0"/>
    <n v="1"/>
    <n v="1"/>
    <n v="357.14"/>
  </r>
  <r>
    <x v="3"/>
    <x v="0"/>
    <s v="OFICINA"/>
    <s v="001-001-000000115"/>
    <s v="Distribuidores"/>
    <x v="0"/>
    <n v="1"/>
    <x v="0"/>
    <n v="267.86"/>
    <n v="0"/>
    <n v="267.86"/>
    <m/>
    <n v="0"/>
    <n v="1"/>
    <n v="1"/>
    <n v="267.86"/>
  </r>
  <r>
    <x v="3"/>
    <x v="0"/>
    <s v="OFICINA"/>
    <s v="001-001-000000116"/>
    <s v="Directo"/>
    <x v="1"/>
    <n v="1"/>
    <x v="0"/>
    <n v="357.14"/>
    <n v="0"/>
    <n v="357.14"/>
    <m/>
    <n v="0"/>
    <n v="1"/>
    <n v="1"/>
    <n v="357.14"/>
  </r>
  <r>
    <x v="4"/>
    <x v="0"/>
    <s v="OFICINA"/>
    <s v="001-001-000000160"/>
    <s v="Distribuidores"/>
    <x v="0"/>
    <n v="1"/>
    <x v="0"/>
    <n v="267.86"/>
    <n v="0"/>
    <n v="267.86"/>
    <m/>
    <n v="0"/>
    <n v="1"/>
    <n v="1"/>
    <n v="267.86"/>
  </r>
  <r>
    <x v="4"/>
    <x v="0"/>
    <s v="OFICINA"/>
    <s v="001-001-000000161"/>
    <s v="Directo"/>
    <x v="1"/>
    <n v="1"/>
    <x v="0"/>
    <n v="357.14"/>
    <n v="0"/>
    <n v="357.14"/>
    <m/>
    <n v="0"/>
    <n v="1"/>
    <n v="1"/>
    <n v="357.14"/>
  </r>
  <r>
    <x v="5"/>
    <x v="0"/>
    <s v="MOPOSITA GUITARRA ENMA PATRICIA"/>
    <s v="001-001-000000169"/>
    <s v="Directo"/>
    <x v="2"/>
    <n v="1"/>
    <x v="0"/>
    <n v="300"/>
    <n v="0"/>
    <n v="300"/>
    <m/>
    <n v="0"/>
    <n v="1"/>
    <n v="1"/>
    <n v="300"/>
  </r>
  <r>
    <x v="6"/>
    <x v="0"/>
    <s v="OFICINA"/>
    <s v="001-001-000000194"/>
    <s v="Distribuidores"/>
    <x v="0"/>
    <n v="1"/>
    <x v="0"/>
    <n v="267.86"/>
    <n v="0"/>
    <n v="267.86"/>
    <m/>
    <n v="0"/>
    <n v="1"/>
    <n v="1"/>
    <n v="267.86"/>
  </r>
  <r>
    <x v="6"/>
    <x v="0"/>
    <s v="OFICINA"/>
    <s v="001-001-000000195"/>
    <s v="Directo"/>
    <x v="1"/>
    <n v="1"/>
    <x v="0"/>
    <n v="357.14"/>
    <n v="0"/>
    <n v="357.14"/>
    <m/>
    <n v="0"/>
    <n v="1"/>
    <n v="1"/>
    <n v="357.14"/>
  </r>
  <r>
    <x v="7"/>
    <x v="0"/>
    <s v="OFICINA"/>
    <s v="001-001-000000235"/>
    <s v="Directo"/>
    <x v="1"/>
    <n v="1"/>
    <x v="0"/>
    <n v="357.14"/>
    <n v="0"/>
    <n v="357.14"/>
    <m/>
    <n v="0"/>
    <n v="1"/>
    <n v="1"/>
    <n v="357.14"/>
  </r>
  <r>
    <x v="7"/>
    <x v="0"/>
    <s v="OFICINA"/>
    <s v="001-001-000000236"/>
    <s v="Distribuidores"/>
    <x v="0"/>
    <n v="1"/>
    <x v="0"/>
    <n v="267.86"/>
    <n v="0"/>
    <n v="267.86"/>
    <m/>
    <n v="0"/>
    <n v="1"/>
    <n v="1"/>
    <n v="267.86"/>
  </r>
  <r>
    <x v="8"/>
    <x v="0"/>
    <s v="OFICINA"/>
    <s v="001-001-000000260"/>
    <s v="Directo"/>
    <x v="1"/>
    <n v="1"/>
    <x v="0"/>
    <n v="357.14"/>
    <n v="0"/>
    <n v="357.14"/>
    <m/>
    <n v="0"/>
    <n v="1"/>
    <n v="1"/>
    <n v="357.14"/>
  </r>
  <r>
    <x v="8"/>
    <x v="0"/>
    <s v="OFICINA"/>
    <s v="001-001-000000261"/>
    <s v="Distribuidores"/>
    <x v="0"/>
    <n v="1"/>
    <x v="0"/>
    <n v="267.86"/>
    <n v="0"/>
    <n v="267.86"/>
    <m/>
    <n v="0"/>
    <n v="1"/>
    <n v="1"/>
    <n v="267.86"/>
  </r>
  <r>
    <x v="9"/>
    <x v="0"/>
    <s v="OFICINA"/>
    <s v="001-001-000000290"/>
    <s v="Distribuidores"/>
    <x v="0"/>
    <n v="1"/>
    <x v="0"/>
    <n v="267.86"/>
    <n v="0"/>
    <n v="267.86"/>
    <m/>
    <n v="0"/>
    <n v="1"/>
    <n v="1"/>
    <n v="267.86"/>
  </r>
  <r>
    <x v="9"/>
    <x v="0"/>
    <s v="OFICINA"/>
    <s v="001-001-000000291"/>
    <s v="Directo"/>
    <x v="1"/>
    <n v="1"/>
    <x v="0"/>
    <n v="357.14"/>
    <n v="0"/>
    <n v="357.14"/>
    <m/>
    <n v="0"/>
    <n v="1"/>
    <n v="1"/>
    <n v="357.14"/>
  </r>
  <r>
    <x v="10"/>
    <x v="0"/>
    <s v="OFICINA"/>
    <s v="001-001-000000322"/>
    <s v="Directo"/>
    <x v="1"/>
    <n v="1"/>
    <x v="0"/>
    <n v="357.14"/>
    <n v="0"/>
    <n v="357.14"/>
    <m/>
    <n v="0"/>
    <n v="1"/>
    <n v="1"/>
    <n v="357.14"/>
  </r>
  <r>
    <x v="10"/>
    <x v="0"/>
    <s v="OFICINA"/>
    <s v="001-001-000000323"/>
    <s v="Distribuidores"/>
    <x v="0"/>
    <n v="1"/>
    <x v="0"/>
    <n v="267.86"/>
    <n v="0"/>
    <n v="267.86"/>
    <m/>
    <n v="0"/>
    <n v="1"/>
    <n v="1"/>
    <n v="267.86"/>
  </r>
  <r>
    <x v="11"/>
    <x v="0"/>
    <s v="OFICINA"/>
    <s v="001-001-000000348"/>
    <s v="Directo"/>
    <x v="1"/>
    <n v="1"/>
    <x v="0"/>
    <n v="357.14"/>
    <n v="0"/>
    <n v="357.14"/>
    <m/>
    <n v="0"/>
    <n v="1"/>
    <n v="1"/>
    <n v="357.14"/>
  </r>
  <r>
    <x v="11"/>
    <x v="0"/>
    <s v="OFICINA"/>
    <s v="001-001-000000349"/>
    <s v="Distribuidores"/>
    <x v="0"/>
    <n v="1"/>
    <x v="0"/>
    <n v="267.86"/>
    <n v="0"/>
    <n v="267.86"/>
    <m/>
    <n v="0"/>
    <n v="1"/>
    <n v="1"/>
    <n v="267.86"/>
  </r>
  <r>
    <x v="12"/>
    <x v="0"/>
    <s v="OFICINA"/>
    <s v="001-001-000000380"/>
    <s v="Directo"/>
    <x v="1"/>
    <n v="1"/>
    <x v="0"/>
    <n v="357.14"/>
    <n v="0"/>
    <n v="357.14"/>
    <m/>
    <n v="0"/>
    <n v="1"/>
    <n v="1"/>
    <n v="357.14"/>
  </r>
  <r>
    <x v="13"/>
    <x v="0"/>
    <s v="OFICINA"/>
    <s v="001-001-000000386"/>
    <s v="Distribuidores"/>
    <x v="0"/>
    <n v="1"/>
    <x v="0"/>
    <n v="267.86"/>
    <n v="0"/>
    <n v="267.86"/>
    <m/>
    <n v="0"/>
    <n v="1"/>
    <n v="1"/>
    <n v="267.86"/>
  </r>
  <r>
    <x v="14"/>
    <x v="0"/>
    <s v="OFICINA"/>
    <s v="001-001-000000411"/>
    <s v="Distribuidores"/>
    <x v="0"/>
    <n v="1"/>
    <x v="0"/>
    <n v="267.86"/>
    <n v="0"/>
    <n v="267.86"/>
    <m/>
    <n v="0"/>
    <n v="1"/>
    <n v="1"/>
    <n v="267.86"/>
  </r>
  <r>
    <x v="14"/>
    <x v="0"/>
    <s v="OFICINA"/>
    <s v="001-001-000000412"/>
    <s v="Directo"/>
    <x v="1"/>
    <n v="1"/>
    <x v="0"/>
    <n v="357.14"/>
    <n v="0"/>
    <n v="357.14"/>
    <m/>
    <n v="0"/>
    <n v="1"/>
    <n v="1"/>
    <n v="357.14"/>
  </r>
  <r>
    <x v="15"/>
    <x v="0"/>
    <s v="OFICINA"/>
    <s v="001-001-000000426"/>
    <s v="Directo"/>
    <x v="1"/>
    <n v="1"/>
    <x v="0"/>
    <n v="357.14"/>
    <n v="0"/>
    <n v="357.14"/>
    <m/>
    <n v="0"/>
    <n v="1"/>
    <n v="1"/>
    <n v="357.14"/>
  </r>
  <r>
    <x v="16"/>
    <x v="0"/>
    <s v="OFICINA"/>
    <s v="001-001-000000431"/>
    <s v="Distribuidores"/>
    <x v="0"/>
    <n v="1"/>
    <x v="0"/>
    <n v="267.86"/>
    <n v="0"/>
    <n v="267.86"/>
    <m/>
    <n v="0"/>
    <n v="1"/>
    <n v="1"/>
    <n v="267.86"/>
  </r>
  <r>
    <x v="17"/>
    <x v="0"/>
    <s v="OFICINA"/>
    <s v="001-001-000000449"/>
    <s v="Distribuidores"/>
    <x v="0"/>
    <n v="1"/>
    <x v="0"/>
    <n v="267.86"/>
    <n v="0"/>
    <n v="267.86"/>
    <m/>
    <n v="0"/>
    <n v="1"/>
    <n v="1"/>
    <n v="267.86"/>
  </r>
  <r>
    <x v="18"/>
    <x v="0"/>
    <s v="OFICINA"/>
    <s v="001-001-000000452"/>
    <s v="Directo"/>
    <x v="1"/>
    <n v="1"/>
    <x v="0"/>
    <n v="178.57"/>
    <n v="0"/>
    <n v="178.57"/>
    <m/>
    <n v="0"/>
    <n v="1"/>
    <n v="1"/>
    <n v="178.57"/>
  </r>
  <r>
    <x v="19"/>
    <x v="0"/>
    <s v="OFICINA"/>
    <s v="001-001-000000477"/>
    <s v="Distribuidores"/>
    <x v="0"/>
    <n v="1"/>
    <x v="0"/>
    <n v="267.86114600000002"/>
    <n v="6.9911459999999996"/>
    <n v="260.87"/>
    <m/>
    <n v="0"/>
    <n v="1"/>
    <n v="1"/>
    <n v="260.87"/>
  </r>
  <r>
    <x v="20"/>
    <x v="0"/>
    <s v="OFICINA"/>
    <s v="001-001-000000509"/>
    <s v="Distribuidores"/>
    <x v="0"/>
    <n v="1"/>
    <x v="0"/>
    <n v="267.86114600000002"/>
    <n v="6.9911459999999996"/>
    <n v="260.87"/>
    <m/>
    <n v="0"/>
    <n v="1"/>
    <n v="1"/>
    <n v="260.87"/>
  </r>
  <r>
    <x v="21"/>
    <x v="0"/>
    <s v="OFICINA"/>
    <s v="001-001-000000548"/>
    <s v="Distribuidores"/>
    <x v="0"/>
    <n v="1"/>
    <x v="0"/>
    <n v="267.86114600000002"/>
    <n v="6.9911459999999996"/>
    <n v="260.87"/>
    <m/>
    <n v="0"/>
    <n v="1"/>
    <n v="1"/>
    <n v="260.87"/>
  </r>
  <r>
    <x v="22"/>
    <x v="0"/>
    <s v="OFICINA"/>
    <s v="001-001-000000572"/>
    <s v="Distribuidores"/>
    <x v="0"/>
    <n v="1"/>
    <x v="0"/>
    <n v="267.86114600000002"/>
    <n v="6.9911459999999996"/>
    <n v="260.87"/>
    <m/>
    <n v="0"/>
    <n v="1"/>
    <n v="1"/>
    <n v="260.87"/>
  </r>
  <r>
    <x v="23"/>
    <x v="1"/>
    <s v="SERRANO GARRIDO GIOVANNA DEL ROCIO"/>
    <s v="001-001-000000006"/>
    <s v="Directo"/>
    <x v="3"/>
    <n v="1"/>
    <x v="1"/>
    <n v="25"/>
    <n v="0"/>
    <n v="25"/>
    <m/>
    <n v="0"/>
    <n v="1"/>
    <n v="1"/>
    <n v="25"/>
  </r>
  <r>
    <x v="24"/>
    <x v="1"/>
    <s v="SERRANO GARRIDO GIOVANNA DEL ROCIO"/>
    <s v="001-001-000000007"/>
    <s v="Directo"/>
    <x v="3"/>
    <n v="1"/>
    <x v="1"/>
    <n v="25"/>
    <n v="0"/>
    <n v="25"/>
    <m/>
    <n v="0"/>
    <n v="1"/>
    <n v="1"/>
    <n v="25"/>
  </r>
  <r>
    <x v="24"/>
    <x v="1"/>
    <s v="OFICINA"/>
    <s v="001-001-000000008"/>
    <s v="Distribuidores"/>
    <x v="4"/>
    <n v="1"/>
    <x v="1"/>
    <n v="240"/>
    <n v="0"/>
    <n v="240"/>
    <m/>
    <n v="0"/>
    <n v="1"/>
    <n v="1"/>
    <n v="240"/>
  </r>
  <r>
    <x v="25"/>
    <x v="1"/>
    <s v="BALLADARES PEREZ REINA JACQUELINE"/>
    <s v="001-001-000000010"/>
    <s v="Directo"/>
    <x v="5"/>
    <n v="1"/>
    <x v="1"/>
    <n v="80"/>
    <n v="0"/>
    <n v="80"/>
    <m/>
    <n v="0"/>
    <n v="1"/>
    <n v="1"/>
    <n v="80"/>
  </r>
  <r>
    <x v="26"/>
    <x v="1"/>
    <s v="BALLADARES PEREZ REINA JACQUELINE"/>
    <s v="001-001-000000011"/>
    <s v="Directo"/>
    <x v="6"/>
    <n v="1"/>
    <x v="1"/>
    <n v="30"/>
    <n v="0"/>
    <n v="30"/>
    <m/>
    <n v="0"/>
    <n v="1"/>
    <n v="1"/>
    <n v="30"/>
  </r>
  <r>
    <x v="26"/>
    <x v="1"/>
    <s v="BALLADARES PEREZ REINA JACQUELINE"/>
    <s v="001-001-000000013"/>
    <s v="Directo"/>
    <x v="7"/>
    <n v="1"/>
    <x v="1"/>
    <n v="50"/>
    <n v="0"/>
    <n v="50"/>
    <m/>
    <n v="0"/>
    <n v="1"/>
    <n v="1"/>
    <n v="50"/>
  </r>
  <r>
    <x v="27"/>
    <x v="1"/>
    <s v="OFICINA"/>
    <s v="001-001-000000015"/>
    <s v="Directo"/>
    <x v="8"/>
    <n v="1"/>
    <x v="1"/>
    <n v="25"/>
    <n v="0"/>
    <n v="25"/>
    <m/>
    <n v="0"/>
    <n v="1"/>
    <n v="1"/>
    <n v="25"/>
  </r>
  <r>
    <x v="28"/>
    <x v="1"/>
    <s v="BALLADARES PEREZ REINA JACQUELINE"/>
    <s v="001-001-000000018"/>
    <s v="Directo"/>
    <x v="9"/>
    <n v="1"/>
    <x v="1"/>
    <n v="25"/>
    <n v="0"/>
    <n v="25"/>
    <m/>
    <n v="0"/>
    <n v="1"/>
    <n v="1"/>
    <n v="25"/>
  </r>
  <r>
    <x v="28"/>
    <x v="1"/>
    <s v="BALLADARES PEREZ REINA JACQUELINE"/>
    <s v="001-001-000000019"/>
    <s v="Directo"/>
    <x v="10"/>
    <n v="1"/>
    <x v="1"/>
    <n v="30"/>
    <n v="0"/>
    <n v="30"/>
    <m/>
    <n v="0"/>
    <n v="1"/>
    <n v="1"/>
    <n v="30"/>
  </r>
  <r>
    <x v="29"/>
    <x v="1"/>
    <s v="SERRANO GARRIDO GIOVANNA DEL ROCIO"/>
    <s v="001-001-000000024"/>
    <s v="Directo"/>
    <x v="11"/>
    <n v="1"/>
    <x v="1"/>
    <n v="0.01"/>
    <n v="0.01"/>
    <n v="0"/>
    <m/>
    <n v="0"/>
    <n v="1"/>
    <n v="1"/>
    <n v="0"/>
  </r>
  <r>
    <x v="29"/>
    <x v="1"/>
    <s v="BALLADARES PEREZ REINA JACQUELINE"/>
    <s v="001-001-000000026"/>
    <s v="Directo"/>
    <x v="12"/>
    <n v="1"/>
    <x v="1"/>
    <n v="240"/>
    <n v="0"/>
    <n v="240"/>
    <m/>
    <n v="0"/>
    <n v="1"/>
    <n v="1"/>
    <n v="240"/>
  </r>
  <r>
    <x v="30"/>
    <x v="1"/>
    <s v="OFICINA"/>
    <s v="001-001-000000027"/>
    <s v="Arquitectos"/>
    <x v="13"/>
    <n v="1"/>
    <x v="1"/>
    <n v="40"/>
    <n v="0"/>
    <n v="40"/>
    <m/>
    <n v="0"/>
    <n v="1"/>
    <n v="1"/>
    <n v="40"/>
  </r>
  <r>
    <x v="31"/>
    <x v="1"/>
    <s v="SERRANO GARRIDO GIOVANNA DEL ROCIO"/>
    <s v="001-001-000000036"/>
    <s v="Directo"/>
    <x v="14"/>
    <n v="1"/>
    <x v="1"/>
    <n v="20"/>
    <n v="0"/>
    <n v="20"/>
    <m/>
    <n v="0"/>
    <n v="1"/>
    <n v="1"/>
    <n v="20"/>
  </r>
  <r>
    <x v="31"/>
    <x v="1"/>
    <s v="SERRANO GARRIDO GIOVANNA DEL ROCIO"/>
    <s v="001-001-000000037"/>
    <s v="Constructores"/>
    <x v="15"/>
    <n v="1"/>
    <x v="1"/>
    <n v="30"/>
    <n v="0"/>
    <n v="30"/>
    <m/>
    <n v="0"/>
    <n v="1"/>
    <n v="1"/>
    <n v="30"/>
  </r>
  <r>
    <x v="32"/>
    <x v="1"/>
    <s v="OFICINA"/>
    <s v="001-001-000000040"/>
    <s v="Directo"/>
    <x v="16"/>
    <n v="1"/>
    <x v="1"/>
    <n v="80"/>
    <n v="0"/>
    <n v="80"/>
    <m/>
    <n v="0"/>
    <n v="1"/>
    <n v="1"/>
    <n v="80"/>
  </r>
  <r>
    <x v="33"/>
    <x v="1"/>
    <s v="OFICINA"/>
    <s v="001-001-000000041"/>
    <s v="Arquitectos"/>
    <x v="17"/>
    <n v="1"/>
    <x v="1"/>
    <n v="40"/>
    <n v="0"/>
    <n v="40"/>
    <m/>
    <n v="0"/>
    <n v="1"/>
    <n v="1"/>
    <n v="40"/>
  </r>
  <r>
    <x v="34"/>
    <x v="1"/>
    <s v="JULIO VASQUEZ"/>
    <s v="001-001-000000045"/>
    <s v="Directo"/>
    <x v="18"/>
    <n v="1"/>
    <x v="1"/>
    <n v="450"/>
    <n v="0"/>
    <n v="450"/>
    <m/>
    <n v="0"/>
    <n v="1"/>
    <n v="1"/>
    <n v="450"/>
  </r>
  <r>
    <x v="35"/>
    <x v="1"/>
    <s v="SERRANO GARRIDO GIOVANNA DEL ROCIO"/>
    <s v="001-001-000000046"/>
    <s v="Arquitectos"/>
    <x v="19"/>
    <n v="1"/>
    <x v="1"/>
    <n v="60"/>
    <n v="0"/>
    <n v="60"/>
    <m/>
    <n v="0"/>
    <n v="1"/>
    <n v="1"/>
    <n v="60"/>
  </r>
  <r>
    <x v="36"/>
    <x v="1"/>
    <s v="SERRANO GARRIDO GIOVANNA DEL ROCIO"/>
    <s v="001-001-000000054"/>
    <s v="Distribuidores"/>
    <x v="20"/>
    <n v="1"/>
    <x v="1"/>
    <n v="0.01"/>
    <n v="0"/>
    <n v="0.01"/>
    <m/>
    <n v="0"/>
    <n v="1"/>
    <n v="1"/>
    <n v="0.01"/>
  </r>
  <r>
    <x v="36"/>
    <x v="1"/>
    <s v="SERRANO GARRIDO GIOVANNA DEL ROCIO"/>
    <s v="001-001-000000055"/>
    <s v="Distribuidores"/>
    <x v="21"/>
    <n v="1"/>
    <x v="1"/>
    <n v="0.01"/>
    <n v="0.01"/>
    <n v="0"/>
    <m/>
    <n v="0"/>
    <n v="1"/>
    <n v="1"/>
    <n v="0"/>
  </r>
  <r>
    <x v="37"/>
    <x v="1"/>
    <s v="SERRANO GARRIDO GIOVANNA DEL ROCIO"/>
    <s v="001-001-000000057"/>
    <s v="Constructores"/>
    <x v="22"/>
    <n v="1"/>
    <x v="1"/>
    <n v="40"/>
    <n v="0"/>
    <n v="40"/>
    <m/>
    <n v="0"/>
    <n v="1"/>
    <n v="1"/>
    <n v="40"/>
  </r>
  <r>
    <x v="38"/>
    <x v="1"/>
    <s v="SERRANO GARRIDO GIOVANNA DEL ROCIO"/>
    <s v="001-001-000000063"/>
    <s v="Distribuidores"/>
    <x v="20"/>
    <n v="1"/>
    <x v="1"/>
    <n v="0.01"/>
    <n v="0"/>
    <n v="0.01"/>
    <m/>
    <n v="0"/>
    <n v="1"/>
    <n v="1"/>
    <n v="0.01"/>
  </r>
  <r>
    <x v="39"/>
    <x v="1"/>
    <s v="SERRANO GARRIDO GIOVANNA DEL ROCIO"/>
    <s v="001-001-000000067"/>
    <s v="Arquitectos"/>
    <x v="23"/>
    <n v="1"/>
    <x v="1"/>
    <n v="30"/>
    <n v="0"/>
    <n v="30"/>
    <m/>
    <n v="0"/>
    <n v="1"/>
    <n v="1"/>
    <n v="30"/>
  </r>
  <r>
    <x v="39"/>
    <x v="1"/>
    <s v="SERRANO GARRIDO GIOVANNA DEL ROCIO"/>
    <s v="001-001-000000068"/>
    <s v="Directo"/>
    <x v="24"/>
    <n v="1"/>
    <x v="1"/>
    <n v="25"/>
    <n v="0"/>
    <n v="25"/>
    <m/>
    <n v="0"/>
    <n v="1"/>
    <n v="1"/>
    <n v="25"/>
  </r>
  <r>
    <x v="40"/>
    <x v="1"/>
    <s v="OFICINA"/>
    <s v="001-001-000000069"/>
    <s v="Distribuidores"/>
    <x v="25"/>
    <n v="1"/>
    <x v="1"/>
    <n v="25"/>
    <n v="0"/>
    <n v="25"/>
    <m/>
    <n v="0"/>
    <n v="1"/>
    <n v="1"/>
    <n v="25"/>
  </r>
  <r>
    <x v="41"/>
    <x v="1"/>
    <s v="MOPOSITA GUITARRA ENMA PATRICIA"/>
    <s v="001-001-000000101"/>
    <s v="Directo"/>
    <x v="26"/>
    <n v="1"/>
    <x v="1"/>
    <n v="200"/>
    <n v="0"/>
    <n v="200"/>
    <m/>
    <n v="0"/>
    <n v="1"/>
    <n v="1"/>
    <n v="200"/>
  </r>
  <r>
    <x v="42"/>
    <x v="1"/>
    <s v="MOPOSITA GUITARRA ENMA PATRICIA"/>
    <s v="001-001-000000105"/>
    <s v="Directo"/>
    <x v="27"/>
    <n v="1"/>
    <x v="1"/>
    <n v="20"/>
    <n v="0"/>
    <n v="20"/>
    <m/>
    <n v="0"/>
    <n v="1"/>
    <n v="1"/>
    <n v="20"/>
  </r>
  <r>
    <x v="43"/>
    <x v="1"/>
    <s v="MOPOSITA GUITARRA ENMA PATRICIA"/>
    <s v="001-001-000000107"/>
    <s v="Directo"/>
    <x v="28"/>
    <n v="1"/>
    <x v="1"/>
    <n v="25"/>
    <n v="0"/>
    <n v="25"/>
    <m/>
    <n v="0"/>
    <n v="1"/>
    <n v="1"/>
    <n v="25"/>
  </r>
  <r>
    <x v="3"/>
    <x v="1"/>
    <s v="SERRANO GARRIDO GIOVANNA DEL ROCIO"/>
    <s v="001-001-000000114"/>
    <s v="Directo"/>
    <x v="29"/>
    <n v="1"/>
    <x v="1"/>
    <n v="175"/>
    <n v="0"/>
    <n v="175"/>
    <m/>
    <n v="0"/>
    <n v="1"/>
    <n v="1"/>
    <n v="175"/>
  </r>
  <r>
    <x v="3"/>
    <x v="1"/>
    <s v="MOPOSITA GUITARRA ENMA PATRICIA"/>
    <s v="001-001-000000117"/>
    <s v="Directo"/>
    <x v="30"/>
    <n v="1"/>
    <x v="1"/>
    <n v="40"/>
    <n v="0"/>
    <n v="40"/>
    <m/>
    <n v="0"/>
    <n v="1"/>
    <n v="1"/>
    <n v="40"/>
  </r>
  <r>
    <x v="44"/>
    <x v="1"/>
    <s v="MOPOSITA GUITARRA ENMA PATRICIA"/>
    <s v="001-001-000000123"/>
    <s v="Directo"/>
    <x v="31"/>
    <n v="1"/>
    <x v="1"/>
    <n v="20"/>
    <n v="0"/>
    <n v="20"/>
    <m/>
    <n v="0"/>
    <n v="1"/>
    <n v="1"/>
    <n v="20"/>
  </r>
  <r>
    <x v="45"/>
    <x v="1"/>
    <s v="SERRANO GARRIDO GIOVANNA DEL ROCIO"/>
    <s v="001-001-000000127"/>
    <s v="Distribuidores"/>
    <x v="32"/>
    <n v="1"/>
    <x v="1"/>
    <n v="200"/>
    <n v="0"/>
    <n v="200"/>
    <m/>
    <n v="0"/>
    <n v="1"/>
    <n v="1"/>
    <n v="200"/>
  </r>
  <r>
    <x v="46"/>
    <x v="1"/>
    <s v="SERRANO GARRIDO GIOVANNA DEL ROCIO"/>
    <s v="001-001-000000128"/>
    <s v="Directo"/>
    <x v="16"/>
    <n v="1"/>
    <x v="1"/>
    <n v="40"/>
    <n v="0"/>
    <n v="40"/>
    <m/>
    <n v="0"/>
    <n v="1"/>
    <n v="1"/>
    <n v="40"/>
  </r>
  <r>
    <x v="47"/>
    <x v="1"/>
    <s v="SERRANO GARRIDO GIOVANNA DEL ROCIO"/>
    <s v="001-001-000000131"/>
    <s v="Distribuidores"/>
    <x v="33"/>
    <n v="1"/>
    <x v="1"/>
    <n v="120"/>
    <n v="0"/>
    <n v="120"/>
    <m/>
    <n v="0"/>
    <n v="1"/>
    <n v="1"/>
    <n v="120"/>
  </r>
  <r>
    <x v="47"/>
    <x v="1"/>
    <s v="OFICINA"/>
    <s v="001-001-000000132"/>
    <s v="Constructores"/>
    <x v="34"/>
    <n v="1"/>
    <x v="1"/>
    <n v="70"/>
    <n v="0"/>
    <n v="70"/>
    <m/>
    <n v="0"/>
    <n v="1"/>
    <n v="1"/>
    <n v="70"/>
  </r>
  <r>
    <x v="48"/>
    <x v="1"/>
    <s v="MOPOSITA GUITARRA ENMA PATRICIA"/>
    <s v="001-001-000000151"/>
    <s v="Directo"/>
    <x v="35"/>
    <n v="1"/>
    <x v="1"/>
    <n v="40"/>
    <n v="0"/>
    <n v="40"/>
    <m/>
    <n v="0"/>
    <n v="1"/>
    <n v="1"/>
    <n v="40"/>
  </r>
  <r>
    <x v="48"/>
    <x v="1"/>
    <s v="MOPOSITA GUITARRA ENMA PATRICIA"/>
    <s v="001-001-000000152"/>
    <s v="Directo"/>
    <x v="36"/>
    <n v="1"/>
    <x v="1"/>
    <n v="25"/>
    <n v="0"/>
    <n v="25"/>
    <m/>
    <n v="0"/>
    <n v="1"/>
    <n v="1"/>
    <n v="25"/>
  </r>
  <r>
    <x v="49"/>
    <x v="1"/>
    <s v="SERRANO GARRIDO GIOVANNA DEL ROCIO"/>
    <s v="001-001-000000159"/>
    <s v="Constructores"/>
    <x v="37"/>
    <n v="1"/>
    <x v="1"/>
    <n v="135"/>
    <n v="0"/>
    <n v="135"/>
    <m/>
    <n v="0"/>
    <n v="1"/>
    <n v="1"/>
    <n v="135"/>
  </r>
  <r>
    <x v="50"/>
    <x v="1"/>
    <s v="SERRANO GARRIDO GIOVANNA DEL ROCIO"/>
    <s v="001-001-000000163"/>
    <s v="Constructores"/>
    <x v="38"/>
    <n v="1"/>
    <x v="1"/>
    <n v="60"/>
    <n v="0"/>
    <n v="60"/>
    <m/>
    <n v="0"/>
    <n v="1"/>
    <n v="1"/>
    <n v="60"/>
  </r>
  <r>
    <x v="51"/>
    <x v="1"/>
    <s v="SERRANO GARRIDO GIOVANNA DEL ROCIO"/>
    <s v="001-001-000000166"/>
    <s v="Arquitectos"/>
    <x v="39"/>
    <n v="1"/>
    <x v="1"/>
    <n v="30"/>
    <n v="0"/>
    <n v="30"/>
    <m/>
    <n v="0"/>
    <n v="1"/>
    <n v="1"/>
    <n v="30"/>
  </r>
  <r>
    <x v="5"/>
    <x v="1"/>
    <s v="MOPOSITA GUITARRA ENMA PATRICIA"/>
    <s v="001-001-000000169"/>
    <s v="Directo"/>
    <x v="2"/>
    <n v="1"/>
    <x v="1"/>
    <n v="80"/>
    <n v="0"/>
    <n v="80"/>
    <m/>
    <n v="0"/>
    <n v="1"/>
    <n v="1"/>
    <n v="80"/>
  </r>
  <r>
    <x v="52"/>
    <x v="1"/>
    <s v="MOPOSITA GUITARRA ENMA PATRICIA"/>
    <s v="001-001-000000170"/>
    <s v="Directo"/>
    <x v="40"/>
    <n v="1"/>
    <x v="1"/>
    <n v="30"/>
    <n v="0"/>
    <n v="30"/>
    <m/>
    <n v="0"/>
    <n v="1"/>
    <n v="1"/>
    <n v="30"/>
  </r>
  <r>
    <x v="52"/>
    <x v="1"/>
    <s v="MOPOSITA GUITARRA ENMA PATRICIA"/>
    <s v="001-001-000000171"/>
    <s v="Directo"/>
    <x v="41"/>
    <n v="1"/>
    <x v="1"/>
    <n v="50"/>
    <n v="0"/>
    <n v="50"/>
    <m/>
    <n v="0"/>
    <n v="1"/>
    <n v="1"/>
    <n v="50"/>
  </r>
  <r>
    <x v="53"/>
    <x v="1"/>
    <s v="MOPOSITA GUITARRA ENMA PATRICIA"/>
    <s v="001-001-000000173"/>
    <s v="Arquitectos"/>
    <x v="13"/>
    <n v="1"/>
    <x v="1"/>
    <n v="210"/>
    <n v="0"/>
    <n v="210"/>
    <m/>
    <n v="0"/>
    <n v="1"/>
    <n v="1"/>
    <n v="210"/>
  </r>
  <r>
    <x v="54"/>
    <x v="1"/>
    <s v="MOPOSITA GUITARRA ENMA PATRICIA"/>
    <s v="001-001-000000177"/>
    <s v="Directo"/>
    <x v="42"/>
    <n v="1"/>
    <x v="1"/>
    <n v="25"/>
    <n v="0"/>
    <n v="25"/>
    <m/>
    <n v="0"/>
    <n v="1"/>
    <n v="1"/>
    <n v="25"/>
  </r>
  <r>
    <x v="55"/>
    <x v="1"/>
    <s v="SERRANO GARRIDO GIOVANNA DEL ROCIO"/>
    <s v="001-001-000000178"/>
    <s v="Directo"/>
    <x v="43"/>
    <n v="1"/>
    <x v="1"/>
    <n v="35"/>
    <n v="0"/>
    <n v="35"/>
    <m/>
    <n v="0"/>
    <n v="1"/>
    <n v="1"/>
    <n v="35"/>
  </r>
  <r>
    <x v="56"/>
    <x v="1"/>
    <s v="SERRANO GARRIDO GIOVANNA DEL ROCIO"/>
    <s v="001-001-000000185"/>
    <s v="Directo"/>
    <x v="44"/>
    <n v="1"/>
    <x v="1"/>
    <n v="200"/>
    <n v="0"/>
    <n v="200"/>
    <m/>
    <n v="0"/>
    <n v="1"/>
    <n v="1"/>
    <n v="200"/>
  </r>
  <r>
    <x v="57"/>
    <x v="1"/>
    <s v="SERRANO GARRIDO GIOVANNA DEL ROCIO"/>
    <s v="001-001-000000186"/>
    <s v="Constructores"/>
    <x v="38"/>
    <n v="1"/>
    <x v="1"/>
    <n v="60"/>
    <n v="0"/>
    <n v="60"/>
    <m/>
    <n v="0"/>
    <n v="1"/>
    <n v="1"/>
    <n v="60"/>
  </r>
  <r>
    <x v="58"/>
    <x v="1"/>
    <s v="SERRANO GARRIDO GIOVANNA DEL ROCIO"/>
    <s v="001-001-000000196"/>
    <s v="Distribuidores"/>
    <x v="45"/>
    <n v="1"/>
    <x v="1"/>
    <n v="150"/>
    <n v="0"/>
    <n v="150"/>
    <m/>
    <n v="0"/>
    <n v="1"/>
    <n v="1"/>
    <n v="150"/>
  </r>
  <r>
    <x v="59"/>
    <x v="1"/>
    <s v="MOPOSITA GUITARRA ENMA PATRICIA"/>
    <s v="001-001-000000207"/>
    <s v="Directo"/>
    <x v="46"/>
    <n v="1"/>
    <x v="1"/>
    <n v="25"/>
    <n v="0"/>
    <n v="25"/>
    <m/>
    <n v="0"/>
    <n v="1"/>
    <n v="1"/>
    <n v="25"/>
  </r>
  <r>
    <x v="60"/>
    <x v="1"/>
    <s v="MOPOSITA GUITARRA ENMA PATRICIA"/>
    <s v="001-001-000000222"/>
    <s v="Directo"/>
    <x v="26"/>
    <n v="1"/>
    <x v="1"/>
    <n v="30"/>
    <n v="0"/>
    <n v="30"/>
    <m/>
    <n v="0"/>
    <n v="1"/>
    <n v="1"/>
    <n v="30"/>
  </r>
  <r>
    <x v="60"/>
    <x v="1"/>
    <s v="SERRANO GARRIDO GIOVANNA DEL ROCIO"/>
    <s v="001-001-000000223"/>
    <s v="Directo"/>
    <x v="47"/>
    <n v="1"/>
    <x v="1"/>
    <n v="60"/>
    <n v="0"/>
    <n v="60"/>
    <m/>
    <n v="0"/>
    <n v="1"/>
    <n v="1"/>
    <n v="60"/>
  </r>
  <r>
    <x v="60"/>
    <x v="1"/>
    <s v="MOPOSITA GUITARRA ENMA PATRICIA"/>
    <s v="001-001-000000224"/>
    <s v="Directo"/>
    <x v="48"/>
    <n v="1"/>
    <x v="1"/>
    <n v="40"/>
    <n v="0"/>
    <n v="40"/>
    <m/>
    <n v="0"/>
    <n v="1"/>
    <n v="1"/>
    <n v="40"/>
  </r>
  <r>
    <x v="61"/>
    <x v="1"/>
    <s v="MOPOSITA GUITARRA ENMA PATRICIA"/>
    <s v="001-001-000000226"/>
    <s v="Directo"/>
    <x v="49"/>
    <n v="1"/>
    <x v="1"/>
    <n v="140"/>
    <n v="0"/>
    <n v="140"/>
    <m/>
    <n v="0"/>
    <n v="1"/>
    <n v="1"/>
    <n v="140"/>
  </r>
  <r>
    <x v="62"/>
    <x v="1"/>
    <s v="MOPOSITA GUITARRA ENMA PATRICIA"/>
    <s v="001-001-000000228"/>
    <s v="Directo"/>
    <x v="50"/>
    <n v="1"/>
    <x v="1"/>
    <n v="60"/>
    <n v="0"/>
    <n v="60"/>
    <m/>
    <n v="0"/>
    <n v="1"/>
    <n v="1"/>
    <n v="60"/>
  </r>
  <r>
    <x v="63"/>
    <x v="1"/>
    <s v="MOPOSITA GUITARRA ENMA PATRICIA"/>
    <s v="001-001-000000231"/>
    <s v="Directo"/>
    <x v="51"/>
    <n v="1"/>
    <x v="1"/>
    <n v="25"/>
    <n v="0"/>
    <n v="25"/>
    <m/>
    <n v="0"/>
    <n v="1"/>
    <n v="1"/>
    <n v="25"/>
  </r>
  <r>
    <x v="64"/>
    <x v="1"/>
    <s v="SERRANO GARRIDO GIOVANNA DEL ROCIO"/>
    <s v="001-001-000000233"/>
    <s v="Directo"/>
    <x v="51"/>
    <n v="1"/>
    <x v="1"/>
    <n v="20"/>
    <n v="0"/>
    <n v="20"/>
    <m/>
    <n v="0"/>
    <n v="1"/>
    <n v="1"/>
    <n v="20"/>
  </r>
  <r>
    <x v="64"/>
    <x v="1"/>
    <s v="MOPOSITA GUITARRA ENMA PATRICIA"/>
    <s v="001-001-000000234"/>
    <s v="Directo"/>
    <x v="52"/>
    <n v="1"/>
    <x v="1"/>
    <n v="30"/>
    <n v="0"/>
    <n v="30"/>
    <m/>
    <n v="0"/>
    <n v="1"/>
    <n v="1"/>
    <n v="30"/>
  </r>
  <r>
    <x v="65"/>
    <x v="1"/>
    <s v="ANDRADE CHECA DIANA LUCIA"/>
    <s v="001-001-000000238"/>
    <s v="Directo"/>
    <x v="53"/>
    <n v="1"/>
    <x v="1"/>
    <n v="40"/>
    <n v="0"/>
    <n v="40"/>
    <m/>
    <n v="0"/>
    <n v="1"/>
    <n v="1"/>
    <n v="40"/>
  </r>
  <r>
    <x v="65"/>
    <x v="1"/>
    <s v="MOPOSITA GUITARRA ENMA PATRICIA"/>
    <s v="001-001-000000239"/>
    <s v="Directo"/>
    <x v="51"/>
    <n v="1"/>
    <x v="1"/>
    <n v="25"/>
    <n v="0"/>
    <n v="25"/>
    <m/>
    <n v="0"/>
    <n v="1"/>
    <n v="1"/>
    <n v="25"/>
  </r>
  <r>
    <x v="66"/>
    <x v="1"/>
    <s v="ANDRADE CHECA DIANA LUCIA"/>
    <s v="001-001-000000241"/>
    <s v="Directo"/>
    <x v="54"/>
    <n v="1"/>
    <x v="1"/>
    <n v="5"/>
    <n v="0"/>
    <n v="5"/>
    <m/>
    <n v="0"/>
    <n v="1"/>
    <n v="1"/>
    <n v="5"/>
  </r>
  <r>
    <x v="67"/>
    <x v="1"/>
    <s v="MOPOSITA GUITARRA ENMA PATRICIA"/>
    <s v="001-001-000000243"/>
    <s v="Distribuidores"/>
    <x v="33"/>
    <n v="1"/>
    <x v="1"/>
    <n v="30"/>
    <n v="0"/>
    <n v="30"/>
    <m/>
    <n v="0"/>
    <n v="1"/>
    <n v="1"/>
    <n v="30"/>
  </r>
  <r>
    <x v="68"/>
    <x v="1"/>
    <s v="MOPOSITA GUITARRA ENMA PATRICIA"/>
    <s v="001-001-000000244"/>
    <s v="Distribuidores"/>
    <x v="33"/>
    <n v="1"/>
    <x v="1"/>
    <n v="30"/>
    <n v="0"/>
    <n v="30"/>
    <m/>
    <n v="0"/>
    <n v="1"/>
    <n v="1"/>
    <n v="30"/>
  </r>
  <r>
    <x v="69"/>
    <x v="1"/>
    <s v="ANDRADE CHECA DIANA LUCIA"/>
    <s v="001-001-000000248"/>
    <s v="Directo"/>
    <x v="54"/>
    <n v="1"/>
    <x v="1"/>
    <n v="5"/>
    <n v="0"/>
    <n v="5"/>
    <m/>
    <n v="0"/>
    <n v="1"/>
    <n v="1"/>
    <n v="5"/>
  </r>
  <r>
    <x v="70"/>
    <x v="1"/>
    <s v="MOPOSITA GUITARRA ENMA PATRICIA"/>
    <s v="001-001-000000250"/>
    <s v="Directo"/>
    <x v="2"/>
    <n v="1"/>
    <x v="1"/>
    <n v="80"/>
    <n v="0"/>
    <n v="80"/>
    <m/>
    <n v="0"/>
    <n v="1"/>
    <n v="1"/>
    <n v="80"/>
  </r>
  <r>
    <x v="71"/>
    <x v="1"/>
    <s v="MOPOSITA GUITARRA ENMA PATRICIA"/>
    <s v="001-001-000000253"/>
    <s v="Directo"/>
    <x v="55"/>
    <n v="1"/>
    <x v="1"/>
    <n v="40"/>
    <n v="0"/>
    <n v="40"/>
    <m/>
    <n v="0"/>
    <n v="1"/>
    <n v="1"/>
    <n v="40"/>
  </r>
  <r>
    <x v="72"/>
    <x v="1"/>
    <s v="ANDRADE CHECA DIANA LUCIA"/>
    <s v="001-001-000000269"/>
    <s v="Directo"/>
    <x v="56"/>
    <n v="1"/>
    <x v="1"/>
    <n v="40"/>
    <n v="0"/>
    <n v="40"/>
    <m/>
    <n v="0"/>
    <n v="1"/>
    <n v="1"/>
    <n v="40"/>
  </r>
  <r>
    <x v="73"/>
    <x v="1"/>
    <s v="ANDRADE CHECA DIANA LUCIA"/>
    <s v="001-001-000000272"/>
    <s v="Directo"/>
    <x v="57"/>
    <n v="1"/>
    <x v="1"/>
    <n v="40"/>
    <n v="0"/>
    <n v="40"/>
    <m/>
    <n v="0"/>
    <n v="1"/>
    <n v="1"/>
    <n v="40"/>
  </r>
  <r>
    <x v="73"/>
    <x v="1"/>
    <s v="ANDRADE CHECA DIANA LUCIA"/>
    <s v="001-001-000000273"/>
    <s v="Directo"/>
    <x v="54"/>
    <n v="1"/>
    <x v="1"/>
    <n v="5"/>
    <n v="0"/>
    <n v="5"/>
    <m/>
    <n v="0"/>
    <n v="1"/>
    <n v="1"/>
    <n v="5"/>
  </r>
  <r>
    <x v="74"/>
    <x v="1"/>
    <s v="ANDRADE CHECA DIANA LUCIA"/>
    <s v="001-001-000000274"/>
    <s v="Directo"/>
    <x v="58"/>
    <n v="1"/>
    <x v="1"/>
    <n v="30"/>
    <n v="0"/>
    <n v="30"/>
    <m/>
    <n v="0"/>
    <n v="1"/>
    <n v="1"/>
    <n v="30"/>
  </r>
  <r>
    <x v="75"/>
    <x v="1"/>
    <s v="ANDRADE CHECA DIANA LUCIA"/>
    <s v="001-001-000000278"/>
    <s v="Directo"/>
    <x v="59"/>
    <n v="1"/>
    <x v="1"/>
    <n v="30"/>
    <n v="0"/>
    <n v="30"/>
    <m/>
    <n v="0"/>
    <n v="1"/>
    <n v="1"/>
    <n v="30"/>
  </r>
  <r>
    <x v="76"/>
    <x v="1"/>
    <s v="ANDRADE CHECA DIANA LUCIA"/>
    <s v="001-001-000000279"/>
    <s v="Directo"/>
    <x v="60"/>
    <n v="1"/>
    <x v="1"/>
    <n v="25"/>
    <n v="0"/>
    <n v="25"/>
    <m/>
    <n v="0"/>
    <n v="1"/>
    <n v="1"/>
    <n v="25"/>
  </r>
  <r>
    <x v="77"/>
    <x v="1"/>
    <s v="ANDRADE CHECA DIANA LUCIA"/>
    <s v="001-001-000000280"/>
    <s v="Directo"/>
    <x v="61"/>
    <n v="1"/>
    <x v="1"/>
    <n v="30"/>
    <n v="0"/>
    <n v="30"/>
    <m/>
    <n v="0"/>
    <n v="1"/>
    <n v="1"/>
    <n v="30"/>
  </r>
  <r>
    <x v="78"/>
    <x v="1"/>
    <s v="ANDRADE CHECA DIANA LUCIA"/>
    <s v="001-001-000000282"/>
    <s v="Directo"/>
    <x v="62"/>
    <n v="1"/>
    <x v="1"/>
    <n v="350"/>
    <n v="0"/>
    <n v="350"/>
    <m/>
    <n v="0"/>
    <n v="1"/>
    <n v="1"/>
    <n v="350"/>
  </r>
  <r>
    <x v="79"/>
    <x v="1"/>
    <s v="ANDRADE CHECA DIANA LUCIA"/>
    <s v="001-001-000000296"/>
    <s v="Directo"/>
    <x v="63"/>
    <n v="1"/>
    <x v="1"/>
    <n v="90"/>
    <n v="0"/>
    <n v="90"/>
    <m/>
    <n v="0"/>
    <n v="1"/>
    <n v="1"/>
    <n v="90"/>
  </r>
  <r>
    <x v="80"/>
    <x v="1"/>
    <s v="ANDRADE CHECA DIANA LUCIA"/>
    <s v="001-001-000000305"/>
    <s v="Directo"/>
    <x v="64"/>
    <n v="1"/>
    <x v="1"/>
    <n v="60"/>
    <n v="0"/>
    <n v="60"/>
    <m/>
    <n v="0"/>
    <n v="1"/>
    <n v="1"/>
    <n v="60"/>
  </r>
  <r>
    <x v="80"/>
    <x v="1"/>
    <s v="ANDRADE CHECA DIANA LUCIA"/>
    <s v="001-001-000000307"/>
    <s v="Directo"/>
    <x v="65"/>
    <n v="1"/>
    <x v="1"/>
    <n v="45"/>
    <n v="0"/>
    <n v="45"/>
    <m/>
    <n v="0"/>
    <n v="1"/>
    <n v="1"/>
    <n v="45"/>
  </r>
  <r>
    <x v="81"/>
    <x v="1"/>
    <s v="CASTILLO YAQUE SONIA ROXANA"/>
    <s v="001-001-000000308"/>
    <s v="Directo"/>
    <x v="66"/>
    <n v="1"/>
    <x v="1"/>
    <n v="44.65"/>
    <n v="0"/>
    <n v="44.65"/>
    <m/>
    <n v="0"/>
    <n v="1"/>
    <n v="1"/>
    <n v="44.65"/>
  </r>
  <r>
    <x v="82"/>
    <x v="1"/>
    <s v="ANDRADE CHECA DIANA LUCIA"/>
    <s v="001-001-000000312"/>
    <s v="Directo"/>
    <x v="67"/>
    <n v="1"/>
    <x v="1"/>
    <n v="60"/>
    <n v="0"/>
    <n v="60"/>
    <m/>
    <n v="0"/>
    <n v="1"/>
    <n v="1"/>
    <n v="60"/>
  </r>
  <r>
    <x v="83"/>
    <x v="1"/>
    <s v="ANDRADE CHECA DIANA LUCIA"/>
    <s v="001-001-000000314"/>
    <s v="Arquitectos"/>
    <x v="39"/>
    <n v="1"/>
    <x v="1"/>
    <n v="30"/>
    <n v="0"/>
    <n v="30"/>
    <m/>
    <n v="0"/>
    <n v="1"/>
    <n v="1"/>
    <n v="30"/>
  </r>
  <r>
    <x v="84"/>
    <x v="1"/>
    <s v="ANDRADE CHECA DIANA LUCIA"/>
    <s v="001-001-000000315"/>
    <s v="Directo"/>
    <x v="68"/>
    <n v="1"/>
    <x v="1"/>
    <n v="50"/>
    <n v="0"/>
    <n v="50"/>
    <m/>
    <n v="0"/>
    <n v="1"/>
    <n v="1"/>
    <n v="50"/>
  </r>
  <r>
    <x v="84"/>
    <x v="1"/>
    <s v="ANDRADE CHECA DIANA LUCIA"/>
    <s v="001-001-000000317"/>
    <s v="Directo"/>
    <x v="69"/>
    <n v="1"/>
    <x v="1"/>
    <n v="30"/>
    <n v="0"/>
    <n v="30"/>
    <m/>
    <n v="0"/>
    <n v="1"/>
    <n v="1"/>
    <n v="30"/>
  </r>
  <r>
    <x v="85"/>
    <x v="1"/>
    <s v="ANDRADE CHECA DIANA LUCIA"/>
    <s v="001-001-000000320"/>
    <s v="Directo"/>
    <x v="57"/>
    <n v="1"/>
    <x v="1"/>
    <n v="30"/>
    <n v="0"/>
    <n v="30"/>
    <m/>
    <n v="0"/>
    <n v="1"/>
    <n v="1"/>
    <n v="30"/>
  </r>
  <r>
    <x v="86"/>
    <x v="1"/>
    <s v="ANDRADE CHECA DIANA LUCIA"/>
    <s v="001-001-000000329"/>
    <s v="Directo"/>
    <x v="70"/>
    <n v="1"/>
    <x v="1"/>
    <n v="60"/>
    <n v="0"/>
    <n v="60"/>
    <m/>
    <n v="0"/>
    <n v="1"/>
    <n v="1"/>
    <n v="60"/>
  </r>
  <r>
    <x v="87"/>
    <x v="1"/>
    <s v="MOPOSITA GUITARRA ENMA PATRICIA"/>
    <s v="001-001-000000334"/>
    <s v="Arquitectos"/>
    <x v="13"/>
    <n v="1"/>
    <x v="1"/>
    <n v="50"/>
    <n v="0"/>
    <n v="50"/>
    <m/>
    <n v="0"/>
    <n v="1"/>
    <n v="1"/>
    <n v="50"/>
  </r>
  <r>
    <x v="88"/>
    <x v="1"/>
    <s v="ANDRADE CHECA DIANA LUCIA"/>
    <s v="001-001-000000339"/>
    <s v="Directo"/>
    <x v="71"/>
    <n v="1"/>
    <x v="1"/>
    <n v="40"/>
    <n v="0"/>
    <n v="40"/>
    <m/>
    <n v="0"/>
    <n v="1"/>
    <n v="1"/>
    <n v="40"/>
  </r>
  <r>
    <x v="89"/>
    <x v="1"/>
    <s v="ANDRADE CHECA DIANA LUCIA"/>
    <s v="001-001-000000343"/>
    <s v="Directo"/>
    <x v="72"/>
    <n v="1"/>
    <x v="1"/>
    <n v="60"/>
    <n v="0"/>
    <n v="60"/>
    <m/>
    <n v="0"/>
    <n v="1"/>
    <n v="1"/>
    <n v="60"/>
  </r>
  <r>
    <x v="90"/>
    <x v="1"/>
    <s v="CASTILLO YAQUE SONIA ROXANA"/>
    <s v="001-001-000000355"/>
    <s v="Arquitectos"/>
    <x v="73"/>
    <n v="1"/>
    <x v="1"/>
    <n v="200"/>
    <n v="0"/>
    <n v="200"/>
    <m/>
    <n v="0"/>
    <n v="1"/>
    <n v="1"/>
    <n v="200"/>
  </r>
  <r>
    <x v="91"/>
    <x v="1"/>
    <s v="MOPOSITA GUITARRA ENMA PATRICIA"/>
    <s v="001-001-000000359"/>
    <s v="Directo"/>
    <x v="74"/>
    <n v="1"/>
    <x v="1"/>
    <n v="40"/>
    <n v="0"/>
    <n v="40"/>
    <m/>
    <n v="0"/>
    <n v="1"/>
    <n v="1"/>
    <n v="40"/>
  </r>
  <r>
    <x v="91"/>
    <x v="1"/>
    <s v="ANDRADE CHECA DIANA LUCIA"/>
    <s v="001-001-000000360"/>
    <s v="Directo"/>
    <x v="69"/>
    <n v="1"/>
    <x v="1"/>
    <n v="30"/>
    <n v="0"/>
    <n v="30"/>
    <m/>
    <n v="0"/>
    <n v="1"/>
    <n v="1"/>
    <n v="30"/>
  </r>
  <r>
    <x v="91"/>
    <x v="1"/>
    <s v="ANDRADE CHECA DIANA LUCIA"/>
    <s v="001-001-000000361"/>
    <s v="Directo"/>
    <x v="69"/>
    <n v="1"/>
    <x v="1"/>
    <n v="30"/>
    <n v="0"/>
    <n v="30"/>
    <m/>
    <n v="0"/>
    <n v="1"/>
    <n v="1"/>
    <n v="30"/>
  </r>
  <r>
    <x v="92"/>
    <x v="1"/>
    <s v="ANDRADE CHECA DIANA LUCIA"/>
    <s v="001-001-000000366"/>
    <s v="Directo"/>
    <x v="65"/>
    <n v="1"/>
    <x v="1"/>
    <n v="90"/>
    <n v="0"/>
    <n v="90"/>
    <m/>
    <n v="0"/>
    <n v="1"/>
    <n v="1"/>
    <n v="90"/>
  </r>
  <r>
    <x v="93"/>
    <x v="1"/>
    <s v="ANDRADE CHECA DIANA LUCIA"/>
    <s v="001-001-000000371"/>
    <s v="Directo"/>
    <x v="75"/>
    <n v="1"/>
    <x v="1"/>
    <n v="120"/>
    <n v="0"/>
    <n v="120"/>
    <m/>
    <n v="0"/>
    <n v="1"/>
    <n v="1"/>
    <n v="120"/>
  </r>
  <r>
    <x v="94"/>
    <x v="1"/>
    <s v="MOPOSITA GUITARRA ENMA PATRICIA"/>
    <s v="001-001-000000374"/>
    <s v="Arquitectos"/>
    <x v="76"/>
    <n v="1"/>
    <x v="1"/>
    <n v="80"/>
    <n v="0"/>
    <n v="80"/>
    <m/>
    <n v="0"/>
    <n v="1"/>
    <n v="1"/>
    <n v="80"/>
  </r>
  <r>
    <x v="95"/>
    <x v="1"/>
    <s v="ANDRADE CHECA DIANA LUCIA"/>
    <s v="001-001-000000393"/>
    <s v="Directo"/>
    <x v="70"/>
    <n v="1"/>
    <x v="1"/>
    <n v="40"/>
    <n v="0"/>
    <n v="40"/>
    <m/>
    <n v="0"/>
    <n v="1"/>
    <n v="1"/>
    <n v="40"/>
  </r>
  <r>
    <x v="95"/>
    <x v="1"/>
    <s v="CASTILLO YAQUE SONIA ROXANA"/>
    <s v="001-001-000000394"/>
    <s v="Directo"/>
    <x v="77"/>
    <n v="1"/>
    <x v="1"/>
    <n v="325"/>
    <n v="0"/>
    <n v="325"/>
    <m/>
    <n v="0"/>
    <n v="1"/>
    <n v="1"/>
    <n v="325"/>
  </r>
  <r>
    <x v="96"/>
    <x v="1"/>
    <s v="OFICINA"/>
    <s v="001-001-000000397"/>
    <s v="Directo"/>
    <x v="78"/>
    <n v="1"/>
    <x v="1"/>
    <n v="60"/>
    <n v="0"/>
    <n v="60"/>
    <m/>
    <n v="0"/>
    <n v="1"/>
    <n v="1"/>
    <n v="60"/>
  </r>
  <r>
    <x v="97"/>
    <x v="1"/>
    <s v="ANDRADE CHECA DIANA LUCIA"/>
    <s v="001-001-000000398"/>
    <s v="Directo"/>
    <x v="79"/>
    <n v="1"/>
    <x v="1"/>
    <n v="40"/>
    <n v="0"/>
    <n v="40"/>
    <m/>
    <n v="0"/>
    <n v="1"/>
    <n v="1"/>
    <n v="40"/>
  </r>
  <r>
    <x v="14"/>
    <x v="1"/>
    <s v="ANDRADE CHECA DIANA LUCIA"/>
    <s v="001-001-000000414"/>
    <s v="Directo"/>
    <x v="80"/>
    <n v="1"/>
    <x v="1"/>
    <n v="110"/>
    <n v="0"/>
    <n v="110"/>
    <m/>
    <n v="0"/>
    <n v="1"/>
    <n v="1"/>
    <n v="110"/>
  </r>
  <r>
    <x v="98"/>
    <x v="1"/>
    <s v="MOPOSITA GUITARRA ENMA PATRICIA"/>
    <s v="001-001-000000417"/>
    <s v="Constructores"/>
    <x v="38"/>
    <n v="1"/>
    <x v="1"/>
    <n v="60"/>
    <n v="0"/>
    <n v="60"/>
    <m/>
    <n v="0"/>
    <n v="1"/>
    <n v="1"/>
    <n v="60"/>
  </r>
  <r>
    <x v="99"/>
    <x v="1"/>
    <s v="MOPOSITA GUITARRA ENMA PATRICIA"/>
    <s v="001-001-000000419"/>
    <s v="Directo"/>
    <x v="81"/>
    <n v="1"/>
    <x v="1"/>
    <n v="40"/>
    <n v="0"/>
    <n v="40"/>
    <m/>
    <n v="0"/>
    <n v="1"/>
    <n v="1"/>
    <n v="40"/>
  </r>
  <r>
    <x v="100"/>
    <x v="1"/>
    <s v="MOPOSITA GUITARRA ENMA PATRICIA"/>
    <s v="001-001-000000420"/>
    <s v="Arquitectos"/>
    <x v="13"/>
    <n v="1"/>
    <x v="1"/>
    <n v="50"/>
    <n v="0"/>
    <n v="50"/>
    <m/>
    <n v="0"/>
    <n v="1"/>
    <n v="1"/>
    <n v="50"/>
  </r>
  <r>
    <x v="100"/>
    <x v="1"/>
    <s v="MOPOSITA GUITARRA ENMA PATRICIA"/>
    <s v="001-001-000000421"/>
    <s v="Arquitectos"/>
    <x v="13"/>
    <n v="1"/>
    <x v="1"/>
    <n v="50"/>
    <n v="0"/>
    <n v="50"/>
    <m/>
    <n v="0"/>
    <n v="1"/>
    <n v="1"/>
    <n v="50"/>
  </r>
  <r>
    <x v="100"/>
    <x v="1"/>
    <s v="MOPOSITA GUITARRA ENMA PATRICIA"/>
    <s v="001-001-000000423"/>
    <s v="Directo"/>
    <x v="82"/>
    <n v="1"/>
    <x v="1"/>
    <n v="50"/>
    <n v="0"/>
    <n v="50"/>
    <m/>
    <n v="0"/>
    <n v="1"/>
    <n v="1"/>
    <n v="50"/>
  </r>
  <r>
    <x v="101"/>
    <x v="1"/>
    <s v="MOPOSITA GUITARRA ENMA PATRICIA"/>
    <s v="001-001-000000435"/>
    <s v="Directo"/>
    <x v="83"/>
    <n v="1"/>
    <x v="1"/>
    <n v="120"/>
    <n v="0"/>
    <n v="120"/>
    <m/>
    <n v="0"/>
    <n v="1"/>
    <n v="1"/>
    <n v="120"/>
  </r>
  <r>
    <x v="101"/>
    <x v="1"/>
    <s v="CASTILLO YAQUE SONIA ROXANA"/>
    <s v="001-001-000000434"/>
    <s v="Arquitectos"/>
    <x v="84"/>
    <n v="1"/>
    <x v="1"/>
    <n v="150"/>
    <n v="0"/>
    <n v="150"/>
    <m/>
    <n v="0"/>
    <n v="1"/>
    <n v="1"/>
    <n v="150"/>
  </r>
  <r>
    <x v="102"/>
    <x v="1"/>
    <s v="MOPOSITA GUITARRA ENMA PATRICIA"/>
    <s v="001-001-000000440"/>
    <s v="Directo"/>
    <x v="85"/>
    <n v="1"/>
    <x v="1"/>
    <n v="50"/>
    <n v="0"/>
    <n v="50"/>
    <m/>
    <n v="0"/>
    <n v="1"/>
    <n v="1"/>
    <n v="50"/>
  </r>
  <r>
    <x v="102"/>
    <x v="1"/>
    <s v="MOPOSITA GUITARRA ENMA PATRICIA"/>
    <s v="001-001-000000441"/>
    <s v="Arquitectos"/>
    <x v="86"/>
    <n v="1"/>
    <x v="1"/>
    <n v="300"/>
    <n v="0"/>
    <n v="300"/>
    <m/>
    <n v="0"/>
    <n v="1"/>
    <n v="1"/>
    <n v="300"/>
  </r>
  <r>
    <x v="103"/>
    <x v="1"/>
    <s v="MOPOSITA GUITARRA ENMA PATRICIA"/>
    <s v="001-001-000000445"/>
    <s v="Directo"/>
    <x v="87"/>
    <n v="1"/>
    <x v="1"/>
    <n v="40"/>
    <n v="0"/>
    <n v="40"/>
    <m/>
    <n v="0"/>
    <n v="1"/>
    <n v="1"/>
    <n v="40"/>
  </r>
  <r>
    <x v="103"/>
    <x v="1"/>
    <s v="MOPOSITA GUITARRA ENMA PATRICIA"/>
    <s v="001-001-000000446"/>
    <s v="Directo"/>
    <x v="87"/>
    <n v="1"/>
    <x v="1"/>
    <n v="10"/>
    <n v="0"/>
    <n v="10"/>
    <m/>
    <n v="0"/>
    <n v="1"/>
    <n v="1"/>
    <n v="10"/>
  </r>
  <r>
    <x v="17"/>
    <x v="1"/>
    <s v="OFICINA"/>
    <s v="001-001-000000450"/>
    <s v="Directo"/>
    <x v="88"/>
    <n v="1"/>
    <x v="1"/>
    <n v="30"/>
    <n v="0"/>
    <n v="30"/>
    <m/>
    <n v="0"/>
    <n v="1"/>
    <n v="1"/>
    <n v="30"/>
  </r>
  <r>
    <x v="104"/>
    <x v="1"/>
    <s v="OFICINA"/>
    <s v="001-001-000000455"/>
    <s v="Directo"/>
    <x v="89"/>
    <n v="1"/>
    <x v="1"/>
    <n v="30"/>
    <n v="0"/>
    <n v="30"/>
    <m/>
    <n v="0"/>
    <n v="1"/>
    <n v="1"/>
    <n v="30"/>
  </r>
  <r>
    <x v="105"/>
    <x v="1"/>
    <s v="CASTILLO YAQUE SONIA ROXANA"/>
    <s v="001-001-000000463"/>
    <s v="Distribuidores"/>
    <x v="90"/>
    <n v="1"/>
    <x v="1"/>
    <n v="130"/>
    <n v="0"/>
    <n v="130"/>
    <m/>
    <n v="0"/>
    <n v="1"/>
    <n v="1"/>
    <n v="130"/>
  </r>
  <r>
    <x v="105"/>
    <x v="1"/>
    <s v="MOPOSITA GUITARRA ENMA PATRICIA"/>
    <s v="001-001-000000460"/>
    <s v="Directo"/>
    <x v="91"/>
    <n v="1"/>
    <x v="1"/>
    <n v="25"/>
    <n v="0"/>
    <n v="25"/>
    <m/>
    <n v="0"/>
    <n v="1"/>
    <n v="1"/>
    <n v="25"/>
  </r>
  <r>
    <x v="106"/>
    <x v="1"/>
    <s v="OFICINA"/>
    <s v="001-001-000000464"/>
    <s v="Directo"/>
    <x v="92"/>
    <n v="1"/>
    <x v="1"/>
    <n v="30"/>
    <n v="0"/>
    <n v="30"/>
    <m/>
    <n v="0"/>
    <n v="1"/>
    <n v="1"/>
    <n v="30"/>
  </r>
  <r>
    <x v="107"/>
    <x v="1"/>
    <s v="MOPOSITA GUITARRA ENMA PATRICIA"/>
    <s v="001-001-000000474"/>
    <s v="Arquitectos"/>
    <x v="13"/>
    <n v="1"/>
    <x v="1"/>
    <n v="60"/>
    <n v="0"/>
    <n v="60"/>
    <m/>
    <n v="0"/>
    <n v="1"/>
    <n v="1"/>
    <n v="60"/>
  </r>
  <r>
    <x v="108"/>
    <x v="1"/>
    <s v="MOPOSITA GUITARRA ENMA PATRICIA"/>
    <s v="001-001-000000487"/>
    <s v="Arquitectos"/>
    <x v="13"/>
    <n v="1"/>
    <x v="1"/>
    <n v="100"/>
    <n v="0"/>
    <n v="100"/>
    <m/>
    <n v="0"/>
    <n v="1"/>
    <n v="1"/>
    <n v="100"/>
  </r>
  <r>
    <x v="109"/>
    <x v="1"/>
    <s v="MOPOSITA GUITARRA ENMA PATRICIA"/>
    <s v="001-001-000000496"/>
    <s v="Directo"/>
    <x v="93"/>
    <n v="1"/>
    <x v="1"/>
    <n v="30"/>
    <n v="0"/>
    <n v="30"/>
    <m/>
    <n v="0"/>
    <n v="1"/>
    <n v="1"/>
    <n v="30"/>
  </r>
  <r>
    <x v="110"/>
    <x v="1"/>
    <s v="CASTILLO YAQUE SONIA ROXANA"/>
    <s v="001-001-000000497"/>
    <s v="Arquitectos"/>
    <x v="84"/>
    <n v="1"/>
    <x v="1"/>
    <n v="150"/>
    <n v="0"/>
    <n v="150"/>
    <m/>
    <n v="0"/>
    <n v="1"/>
    <n v="1"/>
    <n v="150"/>
  </r>
  <r>
    <x v="111"/>
    <x v="1"/>
    <s v="MOPOSITA GUITARRA ENMA PATRICIA"/>
    <s v="001-001-000000501"/>
    <s v="Directo"/>
    <x v="94"/>
    <n v="1"/>
    <x v="1"/>
    <n v="30"/>
    <n v="0"/>
    <n v="30"/>
    <m/>
    <n v="0"/>
    <n v="1"/>
    <n v="1"/>
    <n v="30"/>
  </r>
  <r>
    <x v="112"/>
    <x v="1"/>
    <s v="MOPOSITA GUITARRA ENMA PATRICIA"/>
    <s v="001-001-000000510"/>
    <s v="Directo"/>
    <x v="95"/>
    <n v="1"/>
    <x v="1"/>
    <n v="120"/>
    <n v="0"/>
    <n v="120"/>
    <m/>
    <n v="0"/>
    <n v="1"/>
    <n v="1"/>
    <n v="120"/>
  </r>
  <r>
    <x v="113"/>
    <x v="1"/>
    <s v="MOPOSITA GUITARRA ENMA PATRICIA"/>
    <s v="001-001-000000527"/>
    <s v="Arquitectos"/>
    <x v="86"/>
    <n v="1"/>
    <x v="1"/>
    <n v="210"/>
    <n v="0"/>
    <n v="210"/>
    <m/>
    <n v="0"/>
    <n v="1"/>
    <n v="1"/>
    <n v="210"/>
  </r>
  <r>
    <x v="114"/>
    <x v="1"/>
    <s v="MOPOSITA GUITARRA ENMA PATRICIA"/>
    <s v="001-001-000000536"/>
    <s v="Arquitectos"/>
    <x v="13"/>
    <n v="1"/>
    <x v="1"/>
    <n v="30"/>
    <n v="0"/>
    <n v="30"/>
    <m/>
    <n v="0"/>
    <n v="1"/>
    <n v="1"/>
    <n v="30"/>
  </r>
  <r>
    <x v="115"/>
    <x v="1"/>
    <s v="OFICINA"/>
    <s v="001-001-000000546"/>
    <s v="Directo"/>
    <x v="96"/>
    <n v="1"/>
    <x v="1"/>
    <n v="80"/>
    <n v="0"/>
    <n v="80"/>
    <m/>
    <n v="0"/>
    <n v="1"/>
    <n v="1"/>
    <n v="80"/>
  </r>
  <r>
    <x v="21"/>
    <x v="1"/>
    <s v="OFICINA"/>
    <s v="001-001-000000549"/>
    <s v="Directo"/>
    <x v="97"/>
    <n v="1"/>
    <x v="1"/>
    <n v="100"/>
    <n v="0"/>
    <n v="100"/>
    <m/>
    <n v="0"/>
    <n v="1"/>
    <n v="1"/>
    <n v="100"/>
  </r>
  <r>
    <x v="116"/>
    <x v="1"/>
    <s v="OFICINA"/>
    <s v="001-001-000000560"/>
    <s v="Distribuidores"/>
    <x v="98"/>
    <n v="1"/>
    <x v="1"/>
    <n v="40"/>
    <n v="0"/>
    <n v="40"/>
    <m/>
    <n v="0"/>
    <n v="1"/>
    <n v="1"/>
    <n v="40"/>
  </r>
  <r>
    <x v="117"/>
    <x v="1"/>
    <s v="OFICINA"/>
    <s v="001-001-000000571"/>
    <s v="Arquitectos"/>
    <x v="13"/>
    <n v="1"/>
    <x v="1"/>
    <n v="70"/>
    <n v="0"/>
    <n v="70"/>
    <m/>
    <n v="0"/>
    <n v="1"/>
    <n v="1"/>
    <n v="70"/>
  </r>
  <r>
    <x v="118"/>
    <x v="1"/>
    <s v="OFICINA"/>
    <s v="001-001-000000588"/>
    <s v="Distribuidores"/>
    <x v="33"/>
    <n v="1"/>
    <x v="1"/>
    <n v="30"/>
    <n v="0"/>
    <n v="30"/>
    <m/>
    <n v="0"/>
    <n v="1"/>
    <n v="1"/>
    <n v="30"/>
  </r>
  <r>
    <x v="119"/>
    <x v="1"/>
    <s v="OFICINA"/>
    <s v="001-001-000000590"/>
    <s v="Distribuidores"/>
    <x v="98"/>
    <n v="1"/>
    <x v="1"/>
    <n v="100"/>
    <n v="0"/>
    <n v="100"/>
    <m/>
    <n v="0"/>
    <n v="1"/>
    <n v="1"/>
    <n v="100"/>
  </r>
  <r>
    <x v="120"/>
    <x v="1"/>
    <s v="OFICINA"/>
    <s v="001-001-000000593"/>
    <s v="Directo"/>
    <x v="99"/>
    <n v="1"/>
    <x v="1"/>
    <n v="50"/>
    <n v="0"/>
    <n v="50"/>
    <m/>
    <n v="0"/>
    <n v="1"/>
    <n v="1"/>
    <n v="50"/>
  </r>
  <r>
    <x v="120"/>
    <x v="1"/>
    <s v="JULIO VASQUEZ"/>
    <s v="001-001-000000594"/>
    <s v="Directo"/>
    <x v="100"/>
    <n v="1"/>
    <x v="1"/>
    <n v="30"/>
    <n v="0"/>
    <n v="30"/>
    <m/>
    <n v="0"/>
    <n v="1"/>
    <n v="1"/>
    <n v="30"/>
  </r>
  <r>
    <x v="120"/>
    <x v="1"/>
    <s v="OFICINA"/>
    <s v="001-001-000000595"/>
    <s v="Directo"/>
    <x v="101"/>
    <n v="1"/>
    <x v="1"/>
    <n v="30"/>
    <n v="0"/>
    <n v="30"/>
    <m/>
    <n v="0"/>
    <n v="1"/>
    <n v="1"/>
    <n v="30"/>
  </r>
  <r>
    <x v="121"/>
    <x v="1"/>
    <s v="OFICINA"/>
    <s v="001-001-000000597"/>
    <s v="Arquitectos"/>
    <x v="13"/>
    <n v="1"/>
    <x v="1"/>
    <n v="70"/>
    <n v="0"/>
    <n v="70"/>
    <m/>
    <n v="0"/>
    <n v="1"/>
    <n v="1"/>
    <n v="70"/>
  </r>
  <r>
    <x v="122"/>
    <x v="1"/>
    <s v="OFICINA"/>
    <s v="001-001-000000603"/>
    <s v="Arquitectos"/>
    <x v="102"/>
    <n v="1"/>
    <x v="1"/>
    <n v="300"/>
    <n v="0"/>
    <n v="300"/>
    <m/>
    <n v="0"/>
    <n v="1"/>
    <n v="1"/>
    <n v="300"/>
  </r>
  <r>
    <x v="123"/>
    <x v="1"/>
    <s v="OFICINA"/>
    <s v="001-001-000000612"/>
    <s v="Arquitectos"/>
    <x v="13"/>
    <n v="1"/>
    <x v="1"/>
    <n v="200"/>
    <n v="0"/>
    <n v="200"/>
    <m/>
    <n v="0"/>
    <n v="1"/>
    <n v="1"/>
    <n v="200"/>
  </r>
  <r>
    <x v="124"/>
    <x v="1"/>
    <s v="JULIO VASQUEZ"/>
    <s v="001-001-000000616"/>
    <s v="Arquitectos"/>
    <x v="103"/>
    <n v="1"/>
    <x v="1"/>
    <n v="200"/>
    <n v="0"/>
    <n v="200"/>
    <m/>
    <n v="0"/>
    <n v="1"/>
    <n v="1"/>
    <n v="200"/>
  </r>
  <r>
    <x v="125"/>
    <x v="1"/>
    <s v="OFICINA"/>
    <s v="001-001-000000633"/>
    <s v="Distribuidores"/>
    <x v="45"/>
    <n v="1"/>
    <x v="1"/>
    <n v="40"/>
    <n v="0"/>
    <n v="40"/>
    <m/>
    <n v="0"/>
    <n v="1"/>
    <n v="1"/>
    <n v="40"/>
  </r>
  <r>
    <x v="126"/>
    <x v="1"/>
    <s v="JULIO VASQUEZ"/>
    <s v="001-001-000000635"/>
    <s v="Constructores"/>
    <x v="104"/>
    <n v="1"/>
    <x v="1"/>
    <n v="30"/>
    <n v="0"/>
    <n v="30"/>
    <m/>
    <n v="0"/>
    <n v="1"/>
    <n v="1"/>
    <n v="30"/>
  </r>
  <r>
    <x v="127"/>
    <x v="1"/>
    <s v="OFICINA"/>
    <s v="001-001-000000636"/>
    <s v="Arquitectos"/>
    <x v="102"/>
    <n v="1"/>
    <x v="1"/>
    <n v="100"/>
    <n v="0"/>
    <n v="100"/>
    <m/>
    <n v="0"/>
    <n v="1"/>
    <n v="1"/>
    <n v="100"/>
  </r>
  <r>
    <x v="128"/>
    <x v="1"/>
    <s v="OFICINA"/>
    <s v="001-001-000000640"/>
    <s v="Directo"/>
    <x v="105"/>
    <n v="1"/>
    <x v="1"/>
    <n v="150"/>
    <n v="0"/>
    <n v="150"/>
    <m/>
    <n v="0"/>
    <n v="1"/>
    <n v="1"/>
    <n v="150"/>
  </r>
  <r>
    <x v="129"/>
    <x v="1"/>
    <s v="OFICINA"/>
    <s v="001-001-000000642"/>
    <s v="Distribuidores"/>
    <x v="98"/>
    <n v="1"/>
    <x v="1"/>
    <n v="30"/>
    <n v="0"/>
    <n v="30"/>
    <m/>
    <n v="0"/>
    <n v="1"/>
    <n v="1"/>
    <n v="30"/>
  </r>
  <r>
    <x v="130"/>
    <x v="1"/>
    <s v="OFICINA"/>
    <s v="001-001-000000653"/>
    <s v="Distribuidores"/>
    <x v="98"/>
    <n v="1"/>
    <x v="1"/>
    <n v="60"/>
    <n v="0"/>
    <n v="60"/>
    <m/>
    <n v="0"/>
    <n v="1"/>
    <n v="1"/>
    <n v="60"/>
  </r>
  <r>
    <x v="131"/>
    <x v="1"/>
    <s v="OFICINA"/>
    <s v="001-001-000000654"/>
    <s v="Distribuidores"/>
    <x v="98"/>
    <n v="1"/>
    <x v="1"/>
    <n v="50"/>
    <n v="0"/>
    <n v="50"/>
    <m/>
    <n v="0"/>
    <n v="1"/>
    <n v="1"/>
    <n v="50"/>
  </r>
  <r>
    <x v="132"/>
    <x v="1"/>
    <s v="OFICINA"/>
    <s v="001-001-000000659"/>
    <s v="Directo"/>
    <x v="106"/>
    <n v="1"/>
    <x v="1"/>
    <n v="40"/>
    <n v="0"/>
    <n v="40"/>
    <m/>
    <n v="0"/>
    <n v="1"/>
    <n v="1"/>
    <n v="40"/>
  </r>
  <r>
    <x v="133"/>
    <x v="1"/>
    <s v="OFICINA"/>
    <s v="001-001-000000666"/>
    <s v="Directo"/>
    <x v="107"/>
    <n v="1"/>
    <x v="1"/>
    <n v="20"/>
    <n v="0"/>
    <n v="20"/>
    <m/>
    <n v="0"/>
    <n v="1"/>
    <n v="1"/>
    <n v="20"/>
  </r>
  <r>
    <x v="133"/>
    <x v="1"/>
    <s v="CASTILLO YAQUE SONIA ROXANA"/>
    <s v="001-001-000000667"/>
    <s v="Arquitectos"/>
    <x v="103"/>
    <n v="1"/>
    <x v="1"/>
    <n v="300"/>
    <n v="0"/>
    <n v="300"/>
    <m/>
    <n v="0"/>
    <n v="1"/>
    <n v="1"/>
    <n v="300"/>
  </r>
  <r>
    <x v="134"/>
    <x v="1"/>
    <s v="OFICINA"/>
    <s v="001-001-000000673"/>
    <s v="Arquitectos"/>
    <x v="108"/>
    <n v="1"/>
    <x v="1"/>
    <n v="50"/>
    <n v="0"/>
    <n v="50"/>
    <m/>
    <n v="0"/>
    <n v="1"/>
    <n v="1"/>
    <n v="50"/>
  </r>
  <r>
    <x v="135"/>
    <x v="1"/>
    <s v="OFICINA"/>
    <s v="001-001-000000680"/>
    <s v="Directo"/>
    <x v="106"/>
    <n v="1"/>
    <x v="1"/>
    <n v="20"/>
    <n v="0"/>
    <n v="20"/>
    <m/>
    <n v="0"/>
    <n v="1"/>
    <n v="1"/>
    <n v="20"/>
  </r>
  <r>
    <x v="136"/>
    <x v="1"/>
    <s v="OFICINA"/>
    <s v="001-001-000000686"/>
    <s v="Directo"/>
    <x v="109"/>
    <n v="1"/>
    <x v="1"/>
    <n v="25"/>
    <n v="0"/>
    <n v="25"/>
    <m/>
    <n v="0"/>
    <n v="1"/>
    <n v="1"/>
    <n v="25"/>
  </r>
  <r>
    <x v="136"/>
    <x v="1"/>
    <s v="JULIO VASQUEZ"/>
    <s v="001-001-000000688"/>
    <s v="Arquitectos"/>
    <x v="103"/>
    <n v="1"/>
    <x v="1"/>
    <n v="350"/>
    <n v="0"/>
    <n v="350"/>
    <m/>
    <n v="0"/>
    <n v="1"/>
    <n v="1"/>
    <n v="350"/>
  </r>
  <r>
    <x v="137"/>
    <x v="1"/>
    <s v="OFICINA"/>
    <s v="001-001-000000689"/>
    <s v="Directo"/>
    <x v="110"/>
    <n v="1"/>
    <x v="1"/>
    <n v="100"/>
    <n v="0"/>
    <n v="100"/>
    <m/>
    <n v="0"/>
    <n v="1"/>
    <n v="1"/>
    <n v="100"/>
  </r>
  <r>
    <x v="137"/>
    <x v="1"/>
    <s v="OFICINA"/>
    <s v="001-001-000000692"/>
    <s v="Directo"/>
    <x v="111"/>
    <n v="1"/>
    <x v="1"/>
    <n v="25"/>
    <n v="0"/>
    <n v="25"/>
    <m/>
    <n v="0"/>
    <n v="1"/>
    <n v="1"/>
    <n v="25"/>
  </r>
  <r>
    <x v="138"/>
    <x v="1"/>
    <s v="OFICINA"/>
    <s v="001-001-000000696"/>
    <s v="Arquitectos"/>
    <x v="13"/>
    <n v="1"/>
    <x v="1"/>
    <n v="40"/>
    <n v="0"/>
    <n v="40"/>
    <m/>
    <n v="0"/>
    <n v="1"/>
    <n v="1"/>
    <n v="40"/>
  </r>
  <r>
    <x v="139"/>
    <x v="1"/>
    <s v="OFICINA"/>
    <s v="001-001-000000705"/>
    <s v="Directo"/>
    <x v="112"/>
    <n v="1"/>
    <x v="1"/>
    <n v="40"/>
    <n v="0"/>
    <n v="40"/>
    <m/>
    <n v="0"/>
    <n v="1"/>
    <n v="1"/>
    <n v="40"/>
  </r>
  <r>
    <x v="140"/>
    <x v="1"/>
    <s v="OFICINA"/>
    <s v="001-001-000000709"/>
    <s v="Constructores"/>
    <x v="104"/>
    <n v="1"/>
    <x v="1"/>
    <n v="50"/>
    <n v="0"/>
    <n v="50"/>
    <m/>
    <n v="0"/>
    <n v="1"/>
    <n v="1"/>
    <n v="50"/>
  </r>
  <r>
    <x v="141"/>
    <x v="1"/>
    <s v="OFICINA"/>
    <s v="001-001-000000714"/>
    <s v="Directo"/>
    <x v="113"/>
    <n v="1"/>
    <x v="1"/>
    <n v="30"/>
    <n v="0"/>
    <n v="30"/>
    <m/>
    <n v="0"/>
    <n v="1"/>
    <n v="1"/>
    <n v="30"/>
  </r>
  <r>
    <x v="141"/>
    <x v="1"/>
    <s v="OFICINA"/>
    <s v="001-001-000000712"/>
    <s v="Distribuidores"/>
    <x v="114"/>
    <n v="1"/>
    <x v="1"/>
    <n v="40"/>
    <n v="0"/>
    <n v="40"/>
    <m/>
    <n v="0"/>
    <n v="1"/>
    <n v="1"/>
    <n v="40"/>
  </r>
  <r>
    <x v="142"/>
    <x v="1"/>
    <s v="OFICINA"/>
    <s v="001-001-000000720"/>
    <s v="Distribuidores"/>
    <x v="114"/>
    <n v="1"/>
    <x v="1"/>
    <n v="160"/>
    <n v="0"/>
    <n v="160"/>
    <m/>
    <n v="0"/>
    <n v="1"/>
    <n v="1"/>
    <n v="160"/>
  </r>
  <r>
    <x v="142"/>
    <x v="1"/>
    <s v="OFICINA"/>
    <s v="001-001-000000719"/>
    <s v="Distribuidores"/>
    <x v="115"/>
    <n v="1"/>
    <x v="1"/>
    <n v="70"/>
    <n v="0"/>
    <n v="70"/>
    <m/>
    <n v="0"/>
    <n v="1"/>
    <n v="1"/>
    <n v="70"/>
  </r>
  <r>
    <x v="143"/>
    <x v="1"/>
    <s v="OFICINA"/>
    <s v="001-001-000000739"/>
    <s v="Distribuidores"/>
    <x v="114"/>
    <n v="1"/>
    <x v="1"/>
    <n v="10"/>
    <n v="0"/>
    <n v="10"/>
    <m/>
    <n v="0"/>
    <n v="1"/>
    <n v="1"/>
    <n v="10"/>
  </r>
  <r>
    <x v="144"/>
    <x v="1"/>
    <s v="OFICINA"/>
    <s v="001-001-000000741"/>
    <s v="Distribuidores"/>
    <x v="115"/>
    <n v="1"/>
    <x v="1"/>
    <n v="100"/>
    <n v="0"/>
    <n v="100"/>
    <m/>
    <n v="0"/>
    <n v="1"/>
    <n v="1"/>
    <n v="100"/>
  </r>
  <r>
    <x v="145"/>
    <x v="1"/>
    <s v="OFICINA"/>
    <s v="001-001-000000754"/>
    <s v="Arquitectos"/>
    <x v="13"/>
    <n v="1"/>
    <x v="1"/>
    <n v="100"/>
    <n v="0"/>
    <n v="100"/>
    <m/>
    <n v="0"/>
    <n v="1"/>
    <n v="1"/>
    <n v="100"/>
  </r>
  <r>
    <x v="146"/>
    <x v="1"/>
    <s v="OFICINA"/>
    <s v="001-001-000000777"/>
    <s v="Directo"/>
    <x v="116"/>
    <n v="1"/>
    <x v="1"/>
    <n v="50"/>
    <n v="0"/>
    <n v="50"/>
    <m/>
    <n v="0"/>
    <n v="1"/>
    <n v="1"/>
    <n v="50"/>
  </r>
  <r>
    <x v="147"/>
    <x v="1"/>
    <s v="OFICINA"/>
    <s v="001-001-000000778"/>
    <s v="Directo"/>
    <x v="117"/>
    <n v="1"/>
    <x v="1"/>
    <n v="60"/>
    <n v="0"/>
    <n v="60"/>
    <m/>
    <n v="0"/>
    <n v="1"/>
    <n v="1"/>
    <n v="60"/>
  </r>
  <r>
    <x v="148"/>
    <x v="1"/>
    <s v="OFICINA"/>
    <s v="001-001-000000793"/>
    <s v="Directo"/>
    <x v="118"/>
    <n v="1"/>
    <x v="1"/>
    <n v="150"/>
    <n v="0"/>
    <n v="150"/>
    <m/>
    <n v="0"/>
    <n v="1"/>
    <n v="1"/>
    <n v="150"/>
  </r>
  <r>
    <x v="149"/>
    <x v="1"/>
    <s v="OFICINA"/>
    <s v="001-001-000000794"/>
    <s v="Arquitectos"/>
    <x v="103"/>
    <n v="1"/>
    <x v="1"/>
    <n v="200"/>
    <n v="0"/>
    <n v="200"/>
    <m/>
    <n v="0"/>
    <n v="1"/>
    <n v="1"/>
    <n v="200"/>
  </r>
  <r>
    <x v="150"/>
    <x v="1"/>
    <s v="OFICINA"/>
    <s v="001-001-000000795"/>
    <s v="Arquitectos"/>
    <x v="13"/>
    <n v="1"/>
    <x v="1"/>
    <n v="60"/>
    <n v="0"/>
    <n v="60"/>
    <m/>
    <n v="0"/>
    <n v="1"/>
    <n v="1"/>
    <n v="60"/>
  </r>
  <r>
    <x v="151"/>
    <x v="1"/>
    <s v="OFICINA"/>
    <s v="001-001-000000804"/>
    <s v="Directo"/>
    <x v="119"/>
    <n v="1"/>
    <x v="1"/>
    <n v="100"/>
    <n v="0"/>
    <n v="100"/>
    <m/>
    <n v="0"/>
    <n v="1"/>
    <n v="1"/>
    <n v="100"/>
  </r>
  <r>
    <x v="152"/>
    <x v="1"/>
    <s v="OFICINA"/>
    <s v="001-001-000000813"/>
    <s v="Arquitectos"/>
    <x v="13"/>
    <n v="1"/>
    <x v="1"/>
    <n v="60"/>
    <n v="0"/>
    <n v="60"/>
    <m/>
    <n v="0"/>
    <n v="1"/>
    <n v="1"/>
    <n v="60"/>
  </r>
  <r>
    <x v="153"/>
    <x v="1"/>
    <s v="OFICINA"/>
    <s v="001-001-000000816"/>
    <s v="Constructores"/>
    <x v="120"/>
    <n v="1"/>
    <x v="1"/>
    <n v="200"/>
    <n v="0"/>
    <n v="200"/>
    <m/>
    <n v="0"/>
    <n v="1"/>
    <n v="1"/>
    <n v="200"/>
  </r>
  <r>
    <x v="153"/>
    <x v="1"/>
    <s v="OFICINA"/>
    <s v="001-001-000000818"/>
    <s v="Distribuidores"/>
    <x v="45"/>
    <n v="1"/>
    <x v="1"/>
    <n v="250"/>
    <n v="0"/>
    <n v="250"/>
    <m/>
    <n v="0"/>
    <n v="1"/>
    <n v="1"/>
    <n v="250"/>
  </r>
  <r>
    <x v="154"/>
    <x v="1"/>
    <s v="OFICINA"/>
    <s v="001-001-000000830"/>
    <s v="Directo"/>
    <x v="119"/>
    <n v="1"/>
    <x v="1"/>
    <n v="200"/>
    <n v="0"/>
    <n v="200"/>
    <m/>
    <n v="0"/>
    <n v="1"/>
    <n v="1"/>
    <n v="200"/>
  </r>
  <r>
    <x v="155"/>
    <x v="1"/>
    <s v="OFICINA"/>
    <s v="001-001-000000838"/>
    <s v="Distribuidores"/>
    <x v="98"/>
    <n v="2"/>
    <x v="1"/>
    <n v="1200"/>
    <n v="1200"/>
    <n v="0"/>
    <m/>
    <n v="0"/>
    <n v="1"/>
    <n v="2"/>
    <n v="0"/>
  </r>
  <r>
    <x v="156"/>
    <x v="1"/>
    <s v="OFICINA"/>
    <s v="001-001-000000856"/>
    <s v="Directo"/>
    <x v="121"/>
    <n v="1"/>
    <x v="1"/>
    <n v="60"/>
    <n v="0"/>
    <n v="60"/>
    <m/>
    <n v="0"/>
    <n v="1"/>
    <n v="1"/>
    <n v="60"/>
  </r>
  <r>
    <x v="156"/>
    <x v="1"/>
    <s v="OFICINA"/>
    <s v="001-001-000000857"/>
    <s v="Distribuidores"/>
    <x v="45"/>
    <n v="1"/>
    <x v="1"/>
    <n v="60"/>
    <n v="0"/>
    <n v="60"/>
    <m/>
    <n v="0"/>
    <n v="1"/>
    <n v="1"/>
    <n v="60"/>
  </r>
  <r>
    <x v="157"/>
    <x v="1"/>
    <s v="OFICINA"/>
    <s v="001-001-000000858"/>
    <s v="Distribuidores"/>
    <x v="122"/>
    <n v="1"/>
    <x v="1"/>
    <n v="50"/>
    <n v="0"/>
    <n v="50"/>
    <m/>
    <n v="0"/>
    <n v="1"/>
    <n v="1"/>
    <n v="50"/>
  </r>
  <r>
    <x v="158"/>
    <x v="1"/>
    <s v="OFICINA"/>
    <s v="001-001-000000862"/>
    <s v="Directo"/>
    <x v="123"/>
    <n v="2"/>
    <x v="1"/>
    <n v="500"/>
    <n v="500"/>
    <n v="0"/>
    <m/>
    <n v="0"/>
    <n v="1"/>
    <n v="2"/>
    <n v="0"/>
  </r>
  <r>
    <x v="159"/>
    <x v="1"/>
    <s v="OFICINA"/>
    <s v="001-001-000000871"/>
    <s v="Directo"/>
    <x v="124"/>
    <n v="1"/>
    <x v="1"/>
    <n v="200"/>
    <n v="200"/>
    <n v="0"/>
    <m/>
    <n v="0"/>
    <n v="1"/>
    <n v="1"/>
    <n v="0"/>
  </r>
  <r>
    <x v="160"/>
    <x v="1"/>
    <s v="OFICINA"/>
    <s v="001-001-000000880"/>
    <s v="Distribuidores"/>
    <x v="125"/>
    <n v="1"/>
    <x v="1"/>
    <n v="30"/>
    <n v="30"/>
    <n v="0"/>
    <m/>
    <n v="0"/>
    <n v="1"/>
    <n v="1"/>
    <n v="0"/>
  </r>
  <r>
    <x v="161"/>
    <x v="1"/>
    <s v="OFICINA"/>
    <s v="001-001-000000881"/>
    <s v="Distribuidores"/>
    <x v="98"/>
    <n v="1"/>
    <x v="1"/>
    <n v="30"/>
    <n v="0"/>
    <n v="30"/>
    <m/>
    <n v="0"/>
    <n v="1"/>
    <n v="1"/>
    <n v="30"/>
  </r>
  <r>
    <x v="162"/>
    <x v="1"/>
    <s v="OFICINA"/>
    <s v="001-001-000000887"/>
    <s v="Directo"/>
    <x v="126"/>
    <n v="1"/>
    <x v="1"/>
    <n v="80"/>
    <n v="0"/>
    <n v="80"/>
    <m/>
    <n v="0"/>
    <n v="1"/>
    <n v="1"/>
    <n v="80"/>
  </r>
  <r>
    <x v="163"/>
    <x v="1"/>
    <s v="OFICINA"/>
    <s v="001-001-000000896"/>
    <s v="Arquitectos"/>
    <x v="13"/>
    <n v="1"/>
    <x v="1"/>
    <n v="30"/>
    <n v="0"/>
    <n v="30"/>
    <m/>
    <n v="0"/>
    <n v="1"/>
    <n v="1"/>
    <n v="30"/>
  </r>
  <r>
    <x v="164"/>
    <x v="1"/>
    <s v="OFICINA"/>
    <s v="001-001-000000908"/>
    <s v="Arquitectos"/>
    <x v="13"/>
    <n v="1"/>
    <x v="1"/>
    <n v="75"/>
    <n v="0"/>
    <n v="75"/>
    <m/>
    <n v="0"/>
    <n v="1"/>
    <n v="1"/>
    <n v="75"/>
  </r>
  <r>
    <x v="164"/>
    <x v="1"/>
    <s v="OFICINA"/>
    <s v="001-001-000000909"/>
    <s v="Arquitectos"/>
    <x v="13"/>
    <n v="1"/>
    <x v="1"/>
    <n v="75"/>
    <n v="0"/>
    <n v="75"/>
    <m/>
    <n v="0"/>
    <n v="1"/>
    <n v="1"/>
    <n v="75"/>
  </r>
  <r>
    <x v="164"/>
    <x v="1"/>
    <s v="OFICINA"/>
    <s v="001-001-000000910"/>
    <s v="Arquitectos"/>
    <x v="127"/>
    <n v="1"/>
    <x v="1"/>
    <n v="50"/>
    <n v="0"/>
    <n v="50"/>
    <m/>
    <n v="0"/>
    <n v="1"/>
    <n v="1"/>
    <n v="50"/>
  </r>
  <r>
    <x v="165"/>
    <x v="1"/>
    <s v="OFICINA"/>
    <s v="001-001-000000913"/>
    <s v="Distribuidores"/>
    <x v="128"/>
    <n v="1"/>
    <x v="1"/>
    <n v="400"/>
    <n v="400"/>
    <n v="0"/>
    <m/>
    <n v="0"/>
    <n v="1"/>
    <n v="1"/>
    <n v="0"/>
  </r>
  <r>
    <x v="166"/>
    <x v="1"/>
    <s v="OFICINA"/>
    <s v="001-001-000000915"/>
    <s v="Distribuidores"/>
    <x v="128"/>
    <n v="3"/>
    <x v="1"/>
    <n v="450"/>
    <n v="450"/>
    <n v="0"/>
    <m/>
    <n v="0"/>
    <n v="1"/>
    <n v="3"/>
    <n v="0"/>
  </r>
  <r>
    <x v="96"/>
    <x v="2"/>
    <s v="OFICINA"/>
    <s v="001-001-000000397"/>
    <s v="Directo"/>
    <x v="78"/>
    <n v="22"/>
    <x v="2"/>
    <n v="855.35599999999999"/>
    <n v="85.536000000000001"/>
    <n v="769.82"/>
    <n v="146.841442"/>
    <n v="6.6746109999999996"/>
    <n v="1"/>
    <n v="22"/>
    <n v="622.97855800000002"/>
  </r>
  <r>
    <x v="105"/>
    <x v="2"/>
    <s v="MOPOSITA GUITARRA ENMA PATRICIA"/>
    <s v="001-001-000000460"/>
    <s v="Directo"/>
    <x v="91"/>
    <n v="10"/>
    <x v="2"/>
    <n v="388.79599999999999"/>
    <n v="46.655999999999999"/>
    <n v="342.14"/>
    <n v="53.023350000000001"/>
    <n v="5.3023350000000002"/>
    <n v="1"/>
    <n v="10"/>
    <n v="289.11664999999999"/>
  </r>
  <r>
    <x v="107"/>
    <x v="2"/>
    <s v="MOPOSITA GUITARRA ENMA PATRICIA"/>
    <s v="001-001-000000472"/>
    <s v="Directo"/>
    <x v="91"/>
    <n v="4"/>
    <x v="2"/>
    <n v="155.52000000000001"/>
    <n v="0"/>
    <n v="155.52000000000001"/>
    <n v="20.424151999999999"/>
    <n v="5.1060379999999999"/>
    <n v="1"/>
    <n v="4"/>
    <n v="135.09584800000002"/>
  </r>
  <r>
    <x v="167"/>
    <x v="2"/>
    <s v="OFICINA"/>
    <s v="001-001-000000584"/>
    <s v="Distribuidores"/>
    <x v="21"/>
    <n v="25.92"/>
    <x v="2"/>
    <n v="890.35320000000002"/>
    <n v="311.6232"/>
    <n v="578.73"/>
    <n v="132.57823392"/>
    <n v="5.1149009999999997"/>
    <n v="1"/>
    <n v="25.92"/>
    <n v="446.15176608000002"/>
  </r>
  <r>
    <x v="168"/>
    <x v="3"/>
    <s v="OFICINA"/>
    <s v="001-001-000000539"/>
    <s v="Distribuidores"/>
    <x v="20"/>
    <n v="32"/>
    <x v="3"/>
    <n v="1583.3620000000001"/>
    <n v="712.51199999999994"/>
    <n v="870.85"/>
    <n v="148.32"/>
    <n v="4.6349999999999998"/>
    <n v="1"/>
    <n v="32"/>
    <n v="722.53"/>
  </r>
  <r>
    <x v="169"/>
    <x v="3"/>
    <s v="OFICINA"/>
    <s v="001-001-000000617"/>
    <s v="Distribuidores"/>
    <x v="21"/>
    <n v="28.5"/>
    <x v="3"/>
    <n v="1410.183"/>
    <n v="493.56299999999999"/>
    <n v="916.62"/>
    <n v="136.25998200000001"/>
    <n v="4.7810519999999999"/>
    <n v="1"/>
    <n v="28.5"/>
    <n v="780.36001799999997"/>
  </r>
  <r>
    <x v="83"/>
    <x v="3"/>
    <s v="ANDRADE CHECA DIANA LUCIA"/>
    <s v="001-001-000000313"/>
    <s v="Directo"/>
    <x v="57"/>
    <n v="12.24"/>
    <x v="4"/>
    <n v="734.39728000000002"/>
    <n v="140.41728000000001"/>
    <n v="593.98"/>
    <n v="63.959752799999997"/>
    <n v="5.2254699999999996"/>
    <n v="1"/>
    <n v="12.24"/>
    <n v="530.02024719999997"/>
  </r>
  <r>
    <x v="84"/>
    <x v="3"/>
    <s v="ANDRADE CHECA DIANA LUCIA"/>
    <s v="001-001-000000315"/>
    <s v="Directo"/>
    <x v="68"/>
    <n v="6.12"/>
    <x v="4"/>
    <n v="367.20000000000005"/>
    <n v="36.72"/>
    <n v="330.48"/>
    <n v="31.979876399999998"/>
    <n v="5.2254699999999996"/>
    <n v="1"/>
    <n v="6.12"/>
    <n v="298.50012359999999"/>
  </r>
  <r>
    <x v="86"/>
    <x v="3"/>
    <s v="ANDRADE CHECA DIANA LUCIA"/>
    <s v="001-001-000000327"/>
    <s v="Directo"/>
    <x v="57"/>
    <n v="1.02"/>
    <x v="4"/>
    <n v="61.2"/>
    <n v="10.71"/>
    <n v="50.49"/>
    <n v="5.3313931200000004"/>
    <n v="5.2268560000000006"/>
    <n v="1"/>
    <n v="1.02"/>
    <n v="45.158606880000001"/>
  </r>
  <r>
    <x v="89"/>
    <x v="3"/>
    <s v="ANDRADE CHECA DIANA LUCIA"/>
    <s v="001-001-000000342"/>
    <s v="Arquitectos"/>
    <x v="129"/>
    <n v="3.06"/>
    <x v="4"/>
    <n v="183.60000000000002"/>
    <n v="55.08"/>
    <n v="128.52000000000001"/>
    <n v="15.997582080000001"/>
    <n v="5.2279680000000006"/>
    <n v="1"/>
    <n v="3.06"/>
    <n v="112.52241792000001"/>
  </r>
  <r>
    <x v="170"/>
    <x v="3"/>
    <s v="ANDRADE CHECA DIANA LUCIA"/>
    <s v="001-001-000000390"/>
    <s v="Arquitectos"/>
    <x v="129"/>
    <n v="1.02"/>
    <x v="4"/>
    <n v="61.2"/>
    <n v="21.42"/>
    <n v="39.78"/>
    <n v="5.3330944799999997"/>
    <n v="5.2285239999999993"/>
    <n v="1"/>
    <n v="1.02"/>
    <n v="34.446905520000001"/>
  </r>
  <r>
    <x v="33"/>
    <x v="0"/>
    <s v="OFICINA"/>
    <s v="001-001-000000041"/>
    <s v="Arquitectos"/>
    <x v="17"/>
    <n v="13"/>
    <x v="5"/>
    <n v="104"/>
    <n v="8.32"/>
    <n v="95.68"/>
    <m/>
    <n v="0"/>
    <n v="1"/>
    <n v="13"/>
    <n v="95.68"/>
  </r>
  <r>
    <x v="26"/>
    <x v="4"/>
    <s v="SERRANO GARRIDO GIOVANNA DEL ROCIO"/>
    <s v="001-001-000000014"/>
    <s v="Distribuidores"/>
    <x v="20"/>
    <n v="51.36"/>
    <x v="6"/>
    <n v="1807.8651999999997"/>
    <n v="632.75519999999995"/>
    <n v="1175.1099999999999"/>
    <n v="295.24660655999998"/>
    <n v="5.7485709999999992"/>
    <n v="1"/>
    <n v="51.36"/>
    <n v="879.86339343999998"/>
  </r>
  <r>
    <x v="28"/>
    <x v="4"/>
    <s v="BALLADARES PEREZ REINA JACQUELINE"/>
    <s v="001-001-000000017"/>
    <s v="Directo"/>
    <x v="130"/>
    <n v="16.32"/>
    <x v="6"/>
    <n v="574.45712000000003"/>
    <n v="45.957120000000003"/>
    <n v="528.5"/>
    <n v="96.729145919999993"/>
    <n v="5.9270309999999995"/>
    <n v="1"/>
    <n v="16.32"/>
    <n v="431.77085407999999"/>
  </r>
  <r>
    <x v="171"/>
    <x v="4"/>
    <s v="SERRANO GARRIDO GIOVANNA DEL ROCIO"/>
    <s v="001-001-000000084"/>
    <s v="Distribuidores"/>
    <x v="21"/>
    <n v="40.32"/>
    <x v="6"/>
    <n v="1419.2624000000001"/>
    <n v="496.74239999999998"/>
    <n v="922.52"/>
    <n v="235.72842048000001"/>
    <n v="5.8464390000000002"/>
    <n v="1"/>
    <n v="40.32"/>
    <n v="686.79157951999991"/>
  </r>
  <r>
    <x v="172"/>
    <x v="4"/>
    <s v="SERRANO GARRIDO GIOVANNA DEL ROCIO"/>
    <s v="001-001-000000087"/>
    <s v="Distribuidores"/>
    <x v="21"/>
    <n v="33.6"/>
    <x v="6"/>
    <n v="1182.722"/>
    <n v="413.952"/>
    <n v="768.77"/>
    <n v="196.4403504"/>
    <n v="5.8464390000000002"/>
    <n v="1"/>
    <n v="33.6"/>
    <n v="572.32964960000004"/>
  </r>
  <r>
    <x v="173"/>
    <x v="4"/>
    <s v="SERRANO GARRIDO GIOVANNA DEL ROCIO"/>
    <s v="001-001-000000096"/>
    <s v="Distribuidores"/>
    <x v="21"/>
    <n v="6.38"/>
    <x v="6"/>
    <n v="224.58159999999998"/>
    <n v="78.601600000000005"/>
    <n v="145.97999999999999"/>
    <n v="37.300280819999998"/>
    <n v="5.8464389999999993"/>
    <n v="1"/>
    <n v="6.38"/>
    <n v="108.67971917999999"/>
  </r>
  <r>
    <x v="174"/>
    <x v="4"/>
    <s v="SERRANO GARRIDO GIOVANNA DEL ROCIO"/>
    <s v="001-001-000000118"/>
    <s v="Distribuidores"/>
    <x v="20"/>
    <n v="9.6"/>
    <x v="6"/>
    <n v="326.39999999999998"/>
    <n v="114.24"/>
    <n v="212.16"/>
    <n v="57.48"/>
    <n v="5.9874999999999998"/>
    <n v="1"/>
    <n v="9.6"/>
    <n v="154.68"/>
  </r>
  <r>
    <x v="175"/>
    <x v="4"/>
    <s v="MOPOSITA GUITARRA ENMA PATRICIA"/>
    <s v="001-001-000000324"/>
    <s v="Distribuidores"/>
    <x v="20"/>
    <n v="10.08"/>
    <x v="6"/>
    <n v="346.2516"/>
    <n v="155.8116"/>
    <n v="190.44"/>
    <n v="58.638686399999997"/>
    <n v="5.8173300000000001"/>
    <n v="1"/>
    <n v="10.08"/>
    <n v="131.80131360000001"/>
  </r>
  <r>
    <x v="176"/>
    <x v="4"/>
    <s v="OFICINA"/>
    <s v="001-001-000000738"/>
    <s v="Distribuidores"/>
    <x v="20"/>
    <n v="0.96"/>
    <x v="6"/>
    <n v="32.979199999999999"/>
    <n v="14.8392"/>
    <n v="18.14"/>
    <n v="4.6716105600000004"/>
    <n v="4.8662610000000006"/>
    <n v="1"/>
    <n v="0.96"/>
    <n v="13.468389439999999"/>
  </r>
  <r>
    <x v="57"/>
    <x v="5"/>
    <s v="SERRANO GARRIDO GIOVANNA DEL ROCIO"/>
    <s v="001-001-000000186"/>
    <s v="Constructores"/>
    <x v="38"/>
    <n v="17.28"/>
    <x v="7"/>
    <n v="725.76"/>
    <n v="181.44"/>
    <n v="544.32000000000005"/>
    <n v="55.949823360000003"/>
    <n v="3.2378369999999999"/>
    <n v="1"/>
    <n v="17.28"/>
    <n v="488.37017664000007"/>
  </r>
  <r>
    <x v="177"/>
    <x v="5"/>
    <s v="MOPOSITA GUITARRA ENMA PATRICIA"/>
    <s v="001-001-000000255"/>
    <s v="Constructores"/>
    <x v="131"/>
    <n v="8.64"/>
    <x v="7"/>
    <n v="366.68039999999996"/>
    <n v="91.670400000000001"/>
    <n v="275.01"/>
    <n v="27.76337856"/>
    <n v="3.2133539999999998"/>
    <n v="1"/>
    <n v="8.64"/>
    <n v="247.24662143999998"/>
  </r>
  <r>
    <x v="50"/>
    <x v="5"/>
    <s v="SERRANO GARRIDO GIOVANNA DEL ROCIO"/>
    <s v="001-001-000000163"/>
    <s v="Constructores"/>
    <x v="38"/>
    <n v="27.79"/>
    <x v="7"/>
    <n v="1167.175"/>
    <n v="291.79500000000002"/>
    <n v="875.38"/>
    <n v="97.661702250000005"/>
    <n v="3.5142750000000005"/>
    <n v="1"/>
    <n v="27.79"/>
    <n v="777.71829775000003"/>
  </r>
  <r>
    <x v="57"/>
    <x v="5"/>
    <s v="SERRANO GARRIDO GIOVANNA DEL ROCIO"/>
    <s v="001-001-000000186"/>
    <s v="Constructores"/>
    <x v="38"/>
    <n v="64.8"/>
    <x v="7"/>
    <n v="2721.6"/>
    <n v="680.4"/>
    <n v="2041.2"/>
    <n v="209.5773264"/>
    <n v="3.2342180000000003"/>
    <n v="1"/>
    <n v="64.8"/>
    <n v="1831.6226736000001"/>
  </r>
  <r>
    <x v="177"/>
    <x v="5"/>
    <s v="MOPOSITA GUITARRA ENMA PATRICIA"/>
    <s v="001-001-000000255"/>
    <s v="Constructores"/>
    <x v="131"/>
    <n v="24.19"/>
    <x v="7"/>
    <n v="1026.6159"/>
    <n v="256.65589999999997"/>
    <n v="769.96"/>
    <n v="77.819133239999999"/>
    <n v="3.216996"/>
    <n v="1"/>
    <n v="24.19"/>
    <n v="692.14086675999999"/>
  </r>
  <r>
    <x v="178"/>
    <x v="5"/>
    <s v="MOPOSITA GUITARRA ENMA PATRICIA"/>
    <s v="001-001-000000344"/>
    <s v="Distribuidores"/>
    <x v="21"/>
    <n v="1.3"/>
    <x v="7"/>
    <n v="55.170199999999994"/>
    <n v="19.310199999999998"/>
    <n v="35.86"/>
    <n v="4.1182479000000001"/>
    <n v="3.1678829999999998"/>
    <n v="1"/>
    <n v="1.3"/>
    <n v="31.741752099999999"/>
  </r>
  <r>
    <x v="178"/>
    <x v="5"/>
    <s v="MOPOSITA GUITARRA ENMA PATRICIA"/>
    <s v="001-001-000000344"/>
    <s v="Distribuidores"/>
    <x v="21"/>
    <n v="1.3"/>
    <x v="7"/>
    <n v="55.170199999999994"/>
    <n v="19.310199999999998"/>
    <n v="35.86"/>
    <n v="4.1182479000000001"/>
    <n v="3.1678829999999998"/>
    <n v="1"/>
    <n v="1.3"/>
    <n v="31.741752099999999"/>
  </r>
  <r>
    <x v="179"/>
    <x v="5"/>
    <s v="MOPOSITA GUITARRA ENMA PATRICIA"/>
    <s v="001-001-000000365"/>
    <s v="Distribuidores"/>
    <x v="21"/>
    <n v="1.02"/>
    <x v="7"/>
    <n v="43.291080000000001"/>
    <n v="15.15108"/>
    <n v="28.14"/>
    <n v="3.2312406600000001"/>
    <n v="3.1678830000000002"/>
    <n v="1"/>
    <n v="1.02"/>
    <n v="24.90875934"/>
  </r>
  <r>
    <x v="179"/>
    <x v="5"/>
    <s v="MOPOSITA GUITARRA ENMA PATRICIA"/>
    <s v="001-001-000000365"/>
    <s v="Distribuidores"/>
    <x v="21"/>
    <n v="1.1599999999999999"/>
    <x v="7"/>
    <n v="49.230640000000001"/>
    <n v="17.230640000000001"/>
    <n v="32"/>
    <n v="3.6747442800000001"/>
    <n v="3.1678830000000002"/>
    <n v="1"/>
    <n v="1.1599999999999999"/>
    <n v="28.325255720000001"/>
  </r>
  <r>
    <x v="98"/>
    <x v="5"/>
    <s v="MOPOSITA GUITARRA ENMA PATRICIA"/>
    <s v="001-001-000000417"/>
    <s v="Constructores"/>
    <x v="38"/>
    <n v="19.54"/>
    <x v="7"/>
    <n v="829.27940000000001"/>
    <n v="207.3194"/>
    <n v="621.96"/>
    <n v="56.18768034"/>
    <n v="2.875521"/>
    <n v="1"/>
    <n v="19.54"/>
    <n v="565.77231965999999"/>
  </r>
  <r>
    <x v="180"/>
    <x v="5"/>
    <s v="MOPOSITA GUITARRA ENMA PATRICIA"/>
    <s v="001-001-000000489"/>
    <s v="Constructores"/>
    <x v="38"/>
    <n v="5.18"/>
    <x v="7"/>
    <n v="201.39967999999999"/>
    <n v="40.279679999999999"/>
    <n v="161.12"/>
    <n v="15.186998539999999"/>
    <n v="2.9318529999999998"/>
    <n v="1"/>
    <n v="5.18"/>
    <n v="145.93300146000001"/>
  </r>
  <r>
    <x v="181"/>
    <x v="5"/>
    <s v="OFICINA"/>
    <s v="001-001-000000703"/>
    <s v="Directo"/>
    <x v="132"/>
    <n v="0.57999999999999996"/>
    <x v="7"/>
    <n v="22.55"/>
    <n v="0"/>
    <n v="22.55"/>
    <n v="1.6274394000000001"/>
    <n v="2.8059300000000005"/>
    <n v="1"/>
    <n v="0.57999999999999996"/>
    <n v="20.922560600000001"/>
  </r>
  <r>
    <x v="182"/>
    <x v="5"/>
    <s v="OFICINA"/>
    <s v="001-001-000000745"/>
    <s v="Distribuidores"/>
    <x v="21"/>
    <n v="25.06"/>
    <x v="7"/>
    <n v="974.32983999999999"/>
    <n v="292.29984000000002"/>
    <n v="682.03"/>
    <n v="51.677554180000001"/>
    <n v="2.0621530000000003"/>
    <n v="1"/>
    <n v="25.06"/>
    <n v="630.35244581999996"/>
  </r>
  <r>
    <x v="183"/>
    <x v="5"/>
    <s v="OFICINA"/>
    <s v="001-001-000000782"/>
    <s v="Distribuidores"/>
    <x v="21"/>
    <n v="1.01"/>
    <x v="7"/>
    <n v="39.27064"/>
    <n v="11.78064"/>
    <n v="27.49"/>
    <n v="2.08277453"/>
    <n v="2.0621529999999999"/>
    <n v="1"/>
    <n v="1.01"/>
    <n v="25.40722547"/>
  </r>
  <r>
    <x v="183"/>
    <x v="5"/>
    <s v="OFICINA"/>
    <s v="001-001-000000782"/>
    <s v="Distribuidores"/>
    <x v="21"/>
    <n v="3.02"/>
    <x v="7"/>
    <n v="117.41528"/>
    <n v="35.225279999999998"/>
    <n v="82.19"/>
    <n v="6.2277020600000004"/>
    <n v="2.0621529999999999"/>
    <n v="1"/>
    <n v="3.02"/>
    <n v="75.962297939999999"/>
  </r>
  <r>
    <x v="178"/>
    <x v="5"/>
    <s v="MOPOSITA GUITARRA ENMA PATRICIA"/>
    <s v="001-001-000000344"/>
    <s v="Distribuidores"/>
    <x v="21"/>
    <n v="1.44"/>
    <x v="7"/>
    <n v="61.109759999999994"/>
    <n v="21.389759999999999"/>
    <n v="39.72"/>
    <n v="4.41065664"/>
    <n v="3.0629560000000002"/>
    <n v="1"/>
    <n v="1.44"/>
    <n v="35.30934336"/>
  </r>
  <r>
    <x v="179"/>
    <x v="5"/>
    <s v="MOPOSITA GUITARRA ENMA PATRICIA"/>
    <s v="001-001-000000365"/>
    <s v="Distribuidores"/>
    <x v="21"/>
    <n v="1.44"/>
    <x v="7"/>
    <n v="61.109759999999994"/>
    <n v="21.389759999999999"/>
    <n v="39.72"/>
    <n v="4.41065664"/>
    <n v="3.0629560000000002"/>
    <n v="1"/>
    <n v="1.44"/>
    <n v="35.30934336"/>
  </r>
  <r>
    <x v="30"/>
    <x v="5"/>
    <s v="OFICINA"/>
    <s v="001-001-000000027"/>
    <s v="Arquitectos"/>
    <x v="13"/>
    <n v="28"/>
    <x v="8"/>
    <n v="1176"/>
    <n v="94.08"/>
    <n v="1081.92"/>
    <n v="97.16"/>
    <n v="3.4699999999999998"/>
    <n v="1"/>
    <n v="28"/>
    <n v="984.7600000000001"/>
  </r>
  <r>
    <x v="48"/>
    <x v="5"/>
    <s v="MOPOSITA GUITARRA ENMA PATRICIA"/>
    <s v="001-001-000000152"/>
    <s v="Directo"/>
    <x v="36"/>
    <n v="11.5"/>
    <x v="8"/>
    <n v="483"/>
    <n v="33.81"/>
    <n v="449.19"/>
    <n v="31.638708000000001"/>
    <n v="2.7511920000000001"/>
    <n v="1"/>
    <n v="11.5"/>
    <n v="417.55129199999999"/>
  </r>
  <r>
    <x v="53"/>
    <x v="5"/>
    <s v="MOPOSITA GUITARRA ENMA PATRICIA"/>
    <s v="001-001-000000173"/>
    <s v="Arquitectos"/>
    <x v="13"/>
    <n v="40"/>
    <x v="8"/>
    <n v="1680"/>
    <n v="252"/>
    <n v="1428"/>
    <n v="110.04768"/>
    <n v="2.7511920000000001"/>
    <n v="1"/>
    <n v="40"/>
    <n v="1317.9523200000001"/>
  </r>
  <r>
    <x v="184"/>
    <x v="5"/>
    <s v="MOPOSITA GUITARRA ENMA PATRICIA"/>
    <s v="001-001-000000262"/>
    <s v="Distribuidores"/>
    <x v="20"/>
    <n v="60"/>
    <x v="8"/>
    <n v="2520"/>
    <n v="882"/>
    <n v="1638"/>
    <n v="167.46786"/>
    <n v="2.791131"/>
    <n v="1"/>
    <n v="60"/>
    <n v="1470.53214"/>
  </r>
  <r>
    <x v="84"/>
    <x v="5"/>
    <s v="ANDRADE CHECA DIANA LUCIA"/>
    <s v="001-001-000000317"/>
    <s v="Directo"/>
    <x v="69"/>
    <n v="7.5"/>
    <x v="8"/>
    <n v="318.29500000000002"/>
    <n v="15.914999999999999"/>
    <n v="302.38"/>
    <n v="21.019545000000001"/>
    <n v="2.8026059999999999"/>
    <n v="1"/>
    <n v="7.5"/>
    <n v="281.360455"/>
  </r>
  <r>
    <x v="87"/>
    <x v="5"/>
    <s v="MOPOSITA GUITARRA ENMA PATRICIA"/>
    <s v="001-001-000000334"/>
    <s v="Arquitectos"/>
    <x v="13"/>
    <n v="6"/>
    <x v="8"/>
    <n v="254.64400000000001"/>
    <n v="25.463999999999999"/>
    <n v="229.18"/>
    <n v="16.930782000000001"/>
    <n v="2.8217970000000001"/>
    <n v="1"/>
    <n v="6"/>
    <n v="212.24921800000001"/>
  </r>
  <r>
    <x v="185"/>
    <x v="5"/>
    <s v="MOPOSITA GUITARRA ENMA PATRICIA"/>
    <s v="001-001-000000337"/>
    <s v="Distribuidores"/>
    <x v="20"/>
    <n v="5"/>
    <x v="8"/>
    <n v="212.2"/>
    <n v="74.27"/>
    <n v="137.93"/>
    <n v="14.10802"/>
    <n v="2.8216039999999998"/>
    <n v="1"/>
    <n v="5"/>
    <n v="123.82198000000001"/>
  </r>
  <r>
    <x v="91"/>
    <x v="5"/>
    <s v="ANDRADE CHECA DIANA LUCIA"/>
    <s v="001-001-000000360"/>
    <s v="Directo"/>
    <x v="69"/>
    <n v="9"/>
    <x v="8"/>
    <n v="381.95800000000003"/>
    <n v="19.097999999999999"/>
    <n v="362.86"/>
    <n v="24.940736999999999"/>
    <n v="2.7711929999999998"/>
    <n v="1"/>
    <n v="9"/>
    <n v="337.919263"/>
  </r>
  <r>
    <x v="91"/>
    <x v="5"/>
    <s v="ANDRADE CHECA DIANA LUCIA"/>
    <s v="001-001-000000361"/>
    <s v="Directo"/>
    <x v="69"/>
    <n v="5"/>
    <x v="8"/>
    <n v="212.2"/>
    <n v="10.61"/>
    <n v="201.59"/>
    <n v="13.855964999999999"/>
    <n v="2.7711929999999998"/>
    <n v="1"/>
    <n v="5"/>
    <n v="187.73403500000001"/>
  </r>
  <r>
    <x v="186"/>
    <x v="5"/>
    <s v="ANDRADE CHECA DIANA LUCIA"/>
    <s v="001-001-000000368"/>
    <s v="Directo"/>
    <x v="69"/>
    <n v="1"/>
    <x v="8"/>
    <n v="42.442"/>
    <n v="2.1219999999999999"/>
    <n v="40.32"/>
    <n v="2.789685"/>
    <n v="2.789685"/>
    <n v="1"/>
    <n v="1"/>
    <n v="37.530315000000002"/>
  </r>
  <r>
    <x v="93"/>
    <x v="5"/>
    <s v="MOPOSITA GUITARRA ENMA PATRICIA"/>
    <s v="001-001-000000370"/>
    <s v="Distribuidores"/>
    <x v="20"/>
    <n v="25.5"/>
    <x v="8"/>
    <n v="1082.2170000000001"/>
    <n v="378.77699999999999"/>
    <n v="703.44"/>
    <n v="71.136967499999997"/>
    <n v="2.789685"/>
    <n v="1"/>
    <n v="25.5"/>
    <n v="632.30303250000009"/>
  </r>
  <r>
    <x v="14"/>
    <x v="5"/>
    <s v="ANDRADE CHECA DIANA LUCIA"/>
    <s v="001-001-000000414"/>
    <s v="Directo"/>
    <x v="80"/>
    <n v="10"/>
    <x v="8"/>
    <n v="424.4"/>
    <n v="84.88"/>
    <n v="339.52"/>
    <n v="36.69782"/>
    <n v="3.6697820000000001"/>
    <n v="1"/>
    <n v="10"/>
    <n v="302.82218"/>
  </r>
  <r>
    <x v="100"/>
    <x v="5"/>
    <s v="MOPOSITA GUITARRA ENMA PATRICIA"/>
    <s v="001-001-000000420"/>
    <s v="Arquitectos"/>
    <x v="13"/>
    <n v="40"/>
    <x v="8"/>
    <n v="1697.6"/>
    <n v="339.52"/>
    <n v="1358.08"/>
    <n v="122.89700000000001"/>
    <n v="3.072425"/>
    <n v="1"/>
    <n v="40"/>
    <n v="1235.183"/>
  </r>
  <r>
    <x v="100"/>
    <x v="5"/>
    <s v="MOPOSITA GUITARRA ENMA PATRICIA"/>
    <s v="001-001-000000421"/>
    <s v="Arquitectos"/>
    <x v="13"/>
    <n v="40"/>
    <x v="8"/>
    <n v="1697.6"/>
    <n v="339.52"/>
    <n v="1358.08"/>
    <n v="122.89700000000001"/>
    <n v="3.072425"/>
    <n v="1"/>
    <n v="40"/>
    <n v="1235.183"/>
  </r>
  <r>
    <x v="102"/>
    <x v="5"/>
    <s v="MOPOSITA GUITARRA ENMA PATRICIA"/>
    <s v="001-001-000000440"/>
    <s v="Directo"/>
    <x v="85"/>
    <n v="18"/>
    <x v="8"/>
    <n v="763.91759999999999"/>
    <n v="22.9176"/>
    <n v="741"/>
    <n v="56.188332000000003"/>
    <n v="3.1215740000000003"/>
    <n v="1"/>
    <n v="18"/>
    <n v="684.81166800000005"/>
  </r>
  <r>
    <x v="102"/>
    <x v="5"/>
    <s v="MOPOSITA GUITARRA ENMA PATRICIA"/>
    <s v="001-001-000000441"/>
    <s v="Arquitectos"/>
    <x v="86"/>
    <n v="100"/>
    <x v="8"/>
    <n v="4244"/>
    <n v="1273.2"/>
    <n v="2970.8"/>
    <n v="312.1574"/>
    <n v="3.1215739999999998"/>
    <n v="1"/>
    <n v="100"/>
    <n v="2658.6426000000001"/>
  </r>
  <r>
    <x v="187"/>
    <x v="5"/>
    <s v="MOPOSITA GUITARRA ENMA PATRICIA"/>
    <s v="001-001-000000444"/>
    <s v="Distribuidores"/>
    <x v="20"/>
    <n v="2"/>
    <x v="8"/>
    <n v="84.878"/>
    <n v="29.707999999999998"/>
    <n v="55.17"/>
    <n v="6.3578939999999999"/>
    <n v="3.178947"/>
    <n v="1"/>
    <n v="2"/>
    <n v="48.812106"/>
  </r>
  <r>
    <x v="188"/>
    <x v="5"/>
    <s v="CASTILLO YAQUE SONIA ROXANA"/>
    <s v="001-001-000000466"/>
    <s v="Directo"/>
    <x v="133"/>
    <n v="4"/>
    <x v="8"/>
    <n v="178.12479999999999"/>
    <n v="7.1247999999999996"/>
    <n v="171"/>
    <n v="9.9030319999999996"/>
    <n v="2.4757579999999999"/>
    <n v="1"/>
    <n v="4"/>
    <n v="161.096968"/>
  </r>
  <r>
    <x v="107"/>
    <x v="5"/>
    <s v="MOPOSITA GUITARRA ENMA PATRICIA"/>
    <s v="001-001-000000473"/>
    <s v="Arquitectos"/>
    <x v="13"/>
    <n v="20"/>
    <x v="8"/>
    <n v="777.6"/>
    <n v="9.7200000000000006"/>
    <n v="767.88"/>
    <n v="49.515160000000002"/>
    <n v="2.4757579999999999"/>
    <n v="1"/>
    <n v="20"/>
    <n v="718.36483999999996"/>
  </r>
  <r>
    <x v="108"/>
    <x v="5"/>
    <s v="MOPOSITA GUITARRA ENMA PATRICIA"/>
    <s v="001-001-000000486"/>
    <s v="Arquitectos"/>
    <x v="13"/>
    <n v="15"/>
    <x v="8"/>
    <n v="583.20000000000005"/>
    <n v="116.64"/>
    <n v="466.56"/>
    <n v="37.136369999999999"/>
    <n v="2.4757579999999999"/>
    <n v="1"/>
    <n v="15"/>
    <n v="429.42363"/>
  </r>
  <r>
    <x v="111"/>
    <x v="5"/>
    <s v="MOPOSITA GUITARRA ENMA PATRICIA"/>
    <s v="001-001-000000502"/>
    <s v="Distribuidores"/>
    <x v="20"/>
    <n v="10.5"/>
    <x v="8"/>
    <n v="408.24400000000003"/>
    <n v="142.88399999999999"/>
    <n v="265.36"/>
    <n v="28.0282065"/>
    <n v="2.6693530000000001"/>
    <n v="1"/>
    <n v="10.5"/>
    <n v="237.3317935"/>
  </r>
  <r>
    <x v="189"/>
    <x v="5"/>
    <s v="MOPOSITA GUITARRA ENMA PATRICIA"/>
    <s v="001-001-000000517"/>
    <s v="Directo"/>
    <x v="134"/>
    <n v="10"/>
    <x v="8"/>
    <n v="388.8"/>
    <n v="38.880000000000003"/>
    <n v="349.92"/>
    <n v="27.091889999999999"/>
    <n v="2.7091889999999998"/>
    <n v="1"/>
    <n v="10"/>
    <n v="322.82811000000004"/>
  </r>
  <r>
    <x v="190"/>
    <x v="5"/>
    <s v="MOPOSITA GUITARRA ENMA PATRICIA"/>
    <s v="001-001-000000522"/>
    <s v="Distribuidores"/>
    <x v="20"/>
    <n v="50"/>
    <x v="8"/>
    <n v="1944"/>
    <n v="680.4"/>
    <n v="1263.5999999999999"/>
    <n v="135.5692"/>
    <n v="2.7113839999999998"/>
    <n v="1"/>
    <n v="50"/>
    <n v="1128.0308"/>
  </r>
  <r>
    <x v="113"/>
    <x v="5"/>
    <s v="MOPOSITA GUITARRA ENMA PATRICIA"/>
    <s v="001-001-000000527"/>
    <s v="Arquitectos"/>
    <x v="86"/>
    <n v="33"/>
    <x v="8"/>
    <n v="1283.0419999999999"/>
    <n v="384.91199999999998"/>
    <n v="898.13"/>
    <n v="90.562824000000006"/>
    <n v="2.7443280000000003"/>
    <n v="1"/>
    <n v="33"/>
    <n v="807.56717600000002"/>
  </r>
  <r>
    <x v="114"/>
    <x v="5"/>
    <s v="MOPOSITA GUITARRA ENMA PATRICIA"/>
    <s v="001-001-000000536"/>
    <s v="Arquitectos"/>
    <x v="13"/>
    <n v="18"/>
    <x v="8"/>
    <n v="699.83799999999997"/>
    <n v="139.96799999999999"/>
    <n v="559.87"/>
    <n v="49.216715999999998"/>
    <n v="2.7342619999999997"/>
    <n v="1"/>
    <n v="18"/>
    <n v="510.65328399999999"/>
  </r>
  <r>
    <x v="116"/>
    <x v="5"/>
    <s v="OFICINA"/>
    <s v="001-001-000000559"/>
    <s v="Distribuidores"/>
    <x v="20"/>
    <n v="15"/>
    <x v="8"/>
    <n v="583.20000000000005"/>
    <n v="262.44"/>
    <n v="320.76"/>
    <n v="40.899900000000002"/>
    <n v="2.7266600000000003"/>
    <n v="1"/>
    <n v="15"/>
    <n v="279.86009999999999"/>
  </r>
  <r>
    <x v="191"/>
    <x v="5"/>
    <s v="OFICINA"/>
    <s v="001-001-000000564"/>
    <s v="Distribuidores"/>
    <x v="20"/>
    <n v="18"/>
    <x v="8"/>
    <n v="699.83799999999997"/>
    <n v="314.928"/>
    <n v="384.91"/>
    <n v="49.079880000000003"/>
    <n v="2.7266600000000003"/>
    <n v="1"/>
    <n v="18"/>
    <n v="335.83012000000002"/>
  </r>
  <r>
    <x v="117"/>
    <x v="5"/>
    <s v="OFICINA"/>
    <s v="001-001-000000569"/>
    <s v="Distribuidores"/>
    <x v="20"/>
    <n v="5"/>
    <x v="8"/>
    <n v="194.4"/>
    <n v="87.48"/>
    <n v="106.92"/>
    <n v="14.890470000000001"/>
    <n v="2.978094"/>
    <n v="1"/>
    <n v="5"/>
    <n v="92.029529999999994"/>
  </r>
  <r>
    <x v="117"/>
    <x v="5"/>
    <s v="OFICINA"/>
    <s v="001-001-000000570"/>
    <s v="Distribuidores"/>
    <x v="20"/>
    <n v="8"/>
    <x v="8"/>
    <n v="311.03800000000001"/>
    <n v="139.96799999999999"/>
    <n v="171.07"/>
    <n v="23.824752"/>
    <n v="2.978094"/>
    <n v="1"/>
    <n v="8"/>
    <n v="147.245248"/>
  </r>
  <r>
    <x v="117"/>
    <x v="5"/>
    <s v="OFICINA"/>
    <s v="001-001-000000571"/>
    <s v="Arquitectos"/>
    <x v="13"/>
    <n v="8"/>
    <x v="8"/>
    <n v="311.03800000000001"/>
    <n v="62.207999999999998"/>
    <n v="248.83"/>
    <n v="23.641711999999998"/>
    <n v="2.9552139999999998"/>
    <n v="1"/>
    <n v="8"/>
    <n v="225.188288"/>
  </r>
  <r>
    <x v="192"/>
    <x v="5"/>
    <s v="OFICINA"/>
    <s v="001-001-000000580"/>
    <s v="Distribuidores"/>
    <x v="20"/>
    <n v="64"/>
    <x v="8"/>
    <n v="2488.3239999999996"/>
    <n v="1119.7439999999999"/>
    <n v="1368.58"/>
    <n v="186.54015999999999"/>
    <n v="2.9146899999999998"/>
    <n v="1"/>
    <n v="64"/>
    <n v="1182.0398399999999"/>
  </r>
  <r>
    <x v="120"/>
    <x v="5"/>
    <s v="JULIO VASQUEZ"/>
    <s v="001-001-000000594"/>
    <s v="Directo"/>
    <x v="100"/>
    <n v="12"/>
    <x v="8"/>
    <n v="466.56399999999996"/>
    <n v="69.983999999999995"/>
    <n v="396.58"/>
    <n v="33.723576000000001"/>
    <n v="2.810298"/>
    <n v="1"/>
    <n v="12"/>
    <n v="362.856424"/>
  </r>
  <r>
    <x v="121"/>
    <x v="5"/>
    <s v="OFICINA"/>
    <s v="001-001-000000597"/>
    <s v="Arquitectos"/>
    <x v="13"/>
    <n v="18"/>
    <x v="8"/>
    <n v="699.83799999999997"/>
    <n v="139.96799999999999"/>
    <n v="559.87"/>
    <n v="50.268707999999997"/>
    <n v="2.7927059999999999"/>
    <n v="1"/>
    <n v="18"/>
    <n v="509.601292"/>
  </r>
  <r>
    <x v="193"/>
    <x v="5"/>
    <s v="OFICINA"/>
    <s v="001-001-000000611"/>
    <s v="Distribuidores"/>
    <x v="20"/>
    <n v="7"/>
    <x v="8"/>
    <n v="272.16199999999998"/>
    <n v="122.47199999999999"/>
    <n v="149.69"/>
    <n v="20.529285000000002"/>
    <n v="2.9327550000000002"/>
    <n v="1"/>
    <n v="7"/>
    <n v="129.16071499999998"/>
  </r>
  <r>
    <x v="123"/>
    <x v="5"/>
    <s v="OFICINA"/>
    <s v="001-001-000000612"/>
    <s v="Arquitectos"/>
    <x v="13"/>
    <n v="17"/>
    <x v="8"/>
    <n v="660.96199999999999"/>
    <n v="132.19200000000001"/>
    <n v="528.77"/>
    <n v="50.521687999999997"/>
    <n v="2.9718640000000001"/>
    <n v="1"/>
    <n v="17"/>
    <n v="478.248312"/>
  </r>
  <r>
    <x v="123"/>
    <x v="5"/>
    <s v="OFICINA"/>
    <s v="001-001-000000613"/>
    <s v="Arquitectos"/>
    <x v="13"/>
    <n v="25"/>
    <x v="8"/>
    <n v="972"/>
    <n v="194.4"/>
    <n v="777.6"/>
    <n v="74.296599999999998"/>
    <n v="2.9718640000000001"/>
    <n v="1"/>
    <n v="25"/>
    <n v="703.30340000000001"/>
  </r>
  <r>
    <x v="194"/>
    <x v="5"/>
    <s v="OFICINA"/>
    <s v="001-001-000000638"/>
    <s v="Directo"/>
    <x v="112"/>
    <n v="100"/>
    <x v="8"/>
    <n v="3888"/>
    <n v="777.6"/>
    <n v="3110.4"/>
    <n v="297.18639999999999"/>
    <n v="2.9718640000000001"/>
    <n v="1"/>
    <n v="100"/>
    <n v="2813.2136"/>
  </r>
  <r>
    <x v="138"/>
    <x v="5"/>
    <s v="OFICINA"/>
    <s v="001-001-000000696"/>
    <s v="Arquitectos"/>
    <x v="13"/>
    <n v="2.5"/>
    <x v="8"/>
    <n v="97.2"/>
    <n v="19.440000000000001"/>
    <n v="77.760000000000005"/>
    <n v="6.6916525"/>
    <n v="2.6766610000000002"/>
    <n v="1"/>
    <n v="2.5"/>
    <n v="71.068347500000002"/>
  </r>
  <r>
    <x v="139"/>
    <x v="5"/>
    <s v="OFICINA"/>
    <s v="001-001-000000706"/>
    <s v="Directo"/>
    <x v="112"/>
    <n v="1"/>
    <x v="8"/>
    <n v="38.876000000000005"/>
    <n v="7.7759999999999998"/>
    <n v="31.1"/>
    <n v="2.6582659999999998"/>
    <n v="2.6582659999999998"/>
    <n v="1"/>
    <n v="1"/>
    <n v="28.441734"/>
  </r>
  <r>
    <x v="139"/>
    <x v="5"/>
    <s v="OFICINA"/>
    <s v="001-001-000000705"/>
    <s v="Directo"/>
    <x v="112"/>
    <n v="8"/>
    <x v="8"/>
    <n v="311.03800000000001"/>
    <n v="62.207999999999998"/>
    <n v="248.83"/>
    <n v="21.266127999999998"/>
    <n v="2.6582659999999998"/>
    <n v="1"/>
    <n v="8"/>
    <n v="227.563872"/>
  </r>
  <r>
    <x v="145"/>
    <x v="5"/>
    <s v="OFICINA"/>
    <s v="001-001-000000754"/>
    <s v="Arquitectos"/>
    <x v="13"/>
    <n v="17"/>
    <x v="8"/>
    <n v="660.96199999999999"/>
    <n v="132.19200000000001"/>
    <n v="528.77"/>
    <n v="44.791072999999997"/>
    <n v="2.6347689999999999"/>
    <n v="1"/>
    <n v="17"/>
    <n v="483.978927"/>
  </r>
  <r>
    <x v="195"/>
    <x v="5"/>
    <s v="OFICINA"/>
    <s v="001-001-000000755"/>
    <s v="Distribuidores"/>
    <x v="20"/>
    <n v="60"/>
    <x v="8"/>
    <n v="2332.8000000000002"/>
    <n v="1049.76"/>
    <n v="1283.04"/>
    <n v="158.08614"/>
    <n v="2.6347689999999999"/>
    <n v="1"/>
    <n v="60"/>
    <n v="1124.9538600000001"/>
  </r>
  <r>
    <x v="146"/>
    <x v="5"/>
    <s v="OFICINA"/>
    <s v="001-001-000000777"/>
    <s v="Directo"/>
    <x v="116"/>
    <n v="6"/>
    <x v="8"/>
    <n v="233.28399999999999"/>
    <n v="69.983999999999995"/>
    <n v="163.30000000000001"/>
    <n v="12.853770000000001"/>
    <n v="2.1422950000000003"/>
    <n v="1"/>
    <n v="6"/>
    <n v="150.44623000000001"/>
  </r>
  <r>
    <x v="196"/>
    <x v="5"/>
    <s v="OFICINA"/>
    <s v="001-001-000000787"/>
    <s v="Distribuidores"/>
    <x v="20"/>
    <n v="10"/>
    <x v="8"/>
    <n v="388.8"/>
    <n v="174.96"/>
    <n v="213.84"/>
    <n v="21.927489999999999"/>
    <n v="2.1927490000000001"/>
    <n v="1"/>
    <n v="10"/>
    <n v="191.91251"/>
  </r>
  <r>
    <x v="150"/>
    <x v="5"/>
    <s v="OFICINA"/>
    <s v="001-001-000000795"/>
    <s v="Arquitectos"/>
    <x v="13"/>
    <n v="16"/>
    <x v="8"/>
    <n v="622.07600000000002"/>
    <n v="124.416"/>
    <n v="497.66"/>
    <n v="42.104176000000002"/>
    <n v="2.6315110000000002"/>
    <n v="1"/>
    <n v="16"/>
    <n v="455.55582400000003"/>
  </r>
  <r>
    <x v="152"/>
    <x v="5"/>
    <s v="OFICINA"/>
    <s v="001-001-000000813"/>
    <s v="Arquitectos"/>
    <x v="13"/>
    <n v="16"/>
    <x v="8"/>
    <n v="622.07600000000002"/>
    <n v="124.416"/>
    <n v="497.66"/>
    <n v="45.354255999999999"/>
    <n v="2.834641"/>
    <n v="1"/>
    <n v="16"/>
    <n v="452.305744"/>
  </r>
  <r>
    <x v="197"/>
    <x v="5"/>
    <s v="OFICINA"/>
    <s v="001-001-000000833"/>
    <s v="Distribuidores"/>
    <x v="20"/>
    <n v="150"/>
    <x v="8"/>
    <n v="5832"/>
    <n v="2624.4"/>
    <n v="3207.6"/>
    <n v="425.09249999999997"/>
    <n v="2.8339499999999997"/>
    <n v="1"/>
    <n v="150"/>
    <n v="2782.5074999999997"/>
  </r>
  <r>
    <x v="163"/>
    <x v="5"/>
    <s v="OFICINA"/>
    <s v="001-001-000000896"/>
    <s v="Arquitectos"/>
    <x v="13"/>
    <n v="18"/>
    <x v="8"/>
    <n v="699.83799999999997"/>
    <n v="139.96799999999999"/>
    <n v="559.87"/>
    <n v="49.815846000000001"/>
    <n v="2.767547"/>
    <n v="1"/>
    <n v="18"/>
    <n v="510.05415399999998"/>
  </r>
  <r>
    <x v="198"/>
    <x v="5"/>
    <s v="OFICINA"/>
    <s v="001-001-000000899"/>
    <s v="Distribuidores"/>
    <x v="20"/>
    <n v="18"/>
    <x v="8"/>
    <n v="699.83799999999997"/>
    <n v="314.928"/>
    <n v="384.91"/>
    <n v="46.323846000000003"/>
    <n v="2.573547"/>
    <n v="1"/>
    <n v="18"/>
    <n v="338.58615400000002"/>
  </r>
  <r>
    <x v="164"/>
    <x v="5"/>
    <s v="OFICINA"/>
    <s v="001-001-000000908"/>
    <s v="Arquitectos"/>
    <x v="13"/>
    <n v="18"/>
    <x v="8"/>
    <n v="699.83799999999997"/>
    <n v="139.96799999999999"/>
    <n v="559.87"/>
    <n v="44.535924000000001"/>
    <n v="2.474218"/>
    <n v="1"/>
    <n v="18"/>
    <n v="515.33407599999998"/>
  </r>
  <r>
    <x v="164"/>
    <x v="5"/>
    <s v="OFICINA"/>
    <s v="001-001-000000909"/>
    <s v="Arquitectos"/>
    <x v="13"/>
    <n v="18"/>
    <x v="8"/>
    <n v="699.83799999999997"/>
    <n v="139.96799999999999"/>
    <n v="559.87"/>
    <n v="44.535924000000001"/>
    <n v="2.474218"/>
    <n v="1"/>
    <n v="18"/>
    <n v="515.33407599999998"/>
  </r>
  <r>
    <x v="199"/>
    <x v="5"/>
    <s v="MOPOSITA GUITARRA ENMA PATRICIA"/>
    <s v="001-001-000000090"/>
    <s v="Directo"/>
    <x v="135"/>
    <n v="1.2"/>
    <x v="7"/>
    <n v="50.4"/>
    <n v="0"/>
    <n v="50.4"/>
    <n v="4.1639999999999997"/>
    <n v="3.4699999999999998"/>
    <n v="1"/>
    <n v="1.2"/>
    <n v="46.235999999999997"/>
  </r>
  <r>
    <x v="50"/>
    <x v="5"/>
    <s v="SERRANO GARRIDO GIOVANNA DEL ROCIO"/>
    <s v="001-001-000000163"/>
    <s v="Constructores"/>
    <x v="38"/>
    <n v="16.079999999999998"/>
    <x v="7"/>
    <n v="675.36"/>
    <n v="168.84"/>
    <n v="506.52"/>
    <n v="53.784657359999997"/>
    <n v="3.3448170000000004"/>
    <n v="1"/>
    <n v="16.079999999999998"/>
    <n v="452.73534264"/>
  </r>
  <r>
    <x v="57"/>
    <x v="5"/>
    <s v="SERRANO GARRIDO GIOVANNA DEL ROCIO"/>
    <s v="001-001-000000186"/>
    <s v="Constructores"/>
    <x v="38"/>
    <n v="27"/>
    <x v="7"/>
    <n v="1134"/>
    <n v="283.5"/>
    <n v="850.5"/>
    <n v="88.539534000000003"/>
    <n v="3.279242"/>
    <n v="1"/>
    <n v="27"/>
    <n v="761.960466"/>
  </r>
  <r>
    <x v="177"/>
    <x v="5"/>
    <s v="MOPOSITA GUITARRA ENMA PATRICIA"/>
    <s v="001-001-000000255"/>
    <s v="Constructores"/>
    <x v="131"/>
    <n v="23.28"/>
    <x v="7"/>
    <n v="977.76"/>
    <n v="244.44"/>
    <n v="733.32"/>
    <n v="76.101947519999996"/>
    <n v="3.2689839999999997"/>
    <n v="1"/>
    <n v="23.28"/>
    <n v="657.2180524800001"/>
  </r>
  <r>
    <x v="178"/>
    <x v="5"/>
    <s v="MOPOSITA GUITARRA ENMA PATRICIA"/>
    <s v="001-001-000000344"/>
    <s v="Distribuidores"/>
    <x v="21"/>
    <n v="1.26"/>
    <x v="7"/>
    <n v="53.46604"/>
    <n v="18.71604"/>
    <n v="34.75"/>
    <n v="3.9989401199999999"/>
    <n v="3.173762"/>
    <n v="1"/>
    <n v="1.26"/>
    <n v="30.75105988"/>
  </r>
  <r>
    <x v="179"/>
    <x v="5"/>
    <s v="MOPOSITA GUITARRA ENMA PATRICIA"/>
    <s v="001-001-000000365"/>
    <s v="Distribuidores"/>
    <x v="21"/>
    <n v="0.3"/>
    <x v="7"/>
    <n v="12.726199999999999"/>
    <n v="4.4561999999999999"/>
    <n v="8.27"/>
    <n v="0.95212859999999999"/>
    <n v="3.173762"/>
    <n v="1"/>
    <n v="0.3"/>
    <n v="7.3178713999999996"/>
  </r>
  <r>
    <x v="98"/>
    <x v="5"/>
    <s v="MOPOSITA GUITARRA ENMA PATRICIA"/>
    <s v="001-001-000000417"/>
    <s v="Constructores"/>
    <x v="38"/>
    <n v="23.35"/>
    <x v="7"/>
    <n v="990.97350000000006"/>
    <n v="247.74350000000001"/>
    <n v="743.23"/>
    <n v="53.431408050000002"/>
    <n v="2.2882829999999998"/>
    <n v="1"/>
    <n v="23.35"/>
    <n v="689.79859195000006"/>
  </r>
  <r>
    <x v="180"/>
    <x v="5"/>
    <s v="MOPOSITA GUITARRA ENMA PATRICIA"/>
    <s v="001-001-000000489"/>
    <s v="Constructores"/>
    <x v="38"/>
    <n v="3.6"/>
    <x v="7"/>
    <n v="139.9736"/>
    <n v="27.993600000000001"/>
    <n v="111.98"/>
    <n v="7.9314156000000002"/>
    <n v="2.2031710000000002"/>
    <n v="1"/>
    <n v="3.6"/>
    <n v="104.04858440000001"/>
  </r>
  <r>
    <x v="124"/>
    <x v="5"/>
    <s v="JULIO VASQUEZ"/>
    <s v="001-001-000000616"/>
    <s v="Arquitectos"/>
    <x v="103"/>
    <n v="65.040000000000006"/>
    <x v="7"/>
    <n v="2528.7565600000003"/>
    <n v="758.62656000000004"/>
    <n v="1770.13"/>
    <n v="104.79205776000001"/>
    <n v="1.611194"/>
    <n v="1"/>
    <n v="65.040000000000006"/>
    <n v="1665.3379422400001"/>
  </r>
  <r>
    <x v="200"/>
    <x v="5"/>
    <s v="JULIO VASQUEZ"/>
    <s v="001-001-000000029"/>
    <s v="Distribuidores"/>
    <x v="20"/>
    <n v="108.15"/>
    <x v="7"/>
    <n v="4542.3050000000003"/>
    <n v="1589.8050000000001"/>
    <n v="2952.5"/>
    <n v="341.90627519999998"/>
    <n v="3.1614079999999998"/>
    <n v="1"/>
    <n v="108.15"/>
    <n v="2610.5937248"/>
  </r>
  <r>
    <x v="185"/>
    <x v="5"/>
    <s v="MOPOSITA GUITARRA ENMA PATRICIA"/>
    <s v="001-001-000000337"/>
    <s v="Distribuidores"/>
    <x v="20"/>
    <n v="15.75"/>
    <x v="7"/>
    <n v="668.43050000000005"/>
    <n v="233.95050000000001"/>
    <n v="434.48"/>
    <n v="45.887231249999999"/>
    <n v="2.913475"/>
    <n v="1"/>
    <n v="15.75"/>
    <n v="388.59276875"/>
  </r>
  <r>
    <x v="94"/>
    <x v="5"/>
    <s v="MOPOSITA GUITARRA ENMA PATRICIA"/>
    <s v="001-001-000000374"/>
    <s v="Arquitectos"/>
    <x v="76"/>
    <n v="45"/>
    <x v="7"/>
    <n v="1909.8"/>
    <n v="286.47000000000003"/>
    <n v="1623.33"/>
    <n v="130.095405"/>
    <n v="2.8910089999999999"/>
    <n v="1"/>
    <n v="45"/>
    <n v="1493.2345949999999"/>
  </r>
  <r>
    <x v="95"/>
    <x v="5"/>
    <s v="CASTILLO YAQUE SONIA ROXANA"/>
    <s v="001-001-000000394"/>
    <s v="Directo"/>
    <x v="77"/>
    <n v="152"/>
    <x v="7"/>
    <n v="6450.8779999999997"/>
    <n v="645.08799999999997"/>
    <n v="5805.79"/>
    <n v="438.71121599999998"/>
    <n v="2.8862579999999998"/>
    <n v="1"/>
    <n v="152"/>
    <n v="5367.0787840000003"/>
  </r>
  <r>
    <x v="201"/>
    <x v="5"/>
    <s v="DELGADO JUKA BELLA ISABEL"/>
    <s v="001-001-000000482"/>
    <s v="Constructores"/>
    <x v="136"/>
    <n v="44"/>
    <x v="7"/>
    <n v="1959.3249040000001"/>
    <n v="337.394904"/>
    <n v="1621.93"/>
    <n v="123.931016"/>
    <n v="2.816614"/>
    <n v="1"/>
    <n v="44"/>
    <n v="1497.9989840000001"/>
  </r>
  <r>
    <x v="202"/>
    <x v="5"/>
    <s v="OFICINA"/>
    <s v="001-001-000000757"/>
    <s v="Distribuidores"/>
    <x v="20"/>
    <n v="5.25"/>
    <x v="7"/>
    <n v="204.124"/>
    <n v="91.853999999999999"/>
    <n v="112.27"/>
    <n v="15.259739250000001"/>
    <n v="2.9066170000000002"/>
    <n v="1"/>
    <n v="5.25"/>
    <n v="97.01026075"/>
  </r>
  <r>
    <x v="203"/>
    <x v="5"/>
    <s v="OFICINA"/>
    <s v="001-001-000000800"/>
    <s v="Distribuidores"/>
    <x v="128"/>
    <n v="25"/>
    <x v="7"/>
    <n v="972"/>
    <n v="340.2"/>
    <n v="631.79999999999995"/>
    <n v="77.826350000000005"/>
    <n v="3.113054"/>
    <n v="1"/>
    <n v="25"/>
    <n v="553.97364999999991"/>
  </r>
  <r>
    <x v="204"/>
    <x v="5"/>
    <s v="OFICINA"/>
    <s v="001-001-000000805"/>
    <s v="Distribuidores"/>
    <x v="21"/>
    <n v="12"/>
    <x v="7"/>
    <n v="466.55799999999999"/>
    <n v="139.96799999999999"/>
    <n v="326.58999999999997"/>
    <n v="38.366508000000003"/>
    <n v="3.1972090000000004"/>
    <n v="1"/>
    <n v="12"/>
    <n v="288.22349199999996"/>
  </r>
  <r>
    <x v="205"/>
    <x v="5"/>
    <s v="OFICINA"/>
    <s v="001-001-000000870"/>
    <s v="Distribuidores"/>
    <x v="20"/>
    <n v="16.64"/>
    <x v="7"/>
    <n v="646.96343999999999"/>
    <n v="291.13344000000001"/>
    <n v="355.83"/>
    <n v="53.20155776"/>
    <n v="3.197209"/>
    <n v="1"/>
    <n v="16.64"/>
    <n v="302.62844223999997"/>
  </r>
  <r>
    <x v="206"/>
    <x v="5"/>
    <s v="OFICINA"/>
    <s v="001-001-000000890"/>
    <s v="Distribuidores"/>
    <x v="21"/>
    <n v="41"/>
    <x v="7"/>
    <n v="1594.0839999999998"/>
    <n v="478.22399999999999"/>
    <n v="1115.8599999999999"/>
    <n v="124.76013"/>
    <n v="3.0429300000000001"/>
    <n v="1"/>
    <n v="41"/>
    <n v="991.0998699999999"/>
  </r>
  <r>
    <x v="198"/>
    <x v="5"/>
    <s v="OFICINA"/>
    <s v="001-001-000000897"/>
    <s v="Distribuidores"/>
    <x v="128"/>
    <n v="22"/>
    <x v="7"/>
    <n v="855.35599999999999"/>
    <n v="299.37599999999998"/>
    <n v="555.98"/>
    <n v="63.565942"/>
    <n v="2.8893610000000001"/>
    <n v="1"/>
    <n v="22"/>
    <n v="492.41405800000001"/>
  </r>
  <r>
    <x v="207"/>
    <x v="5"/>
    <s v="OFICINA"/>
    <s v="001-001-000000901"/>
    <s v="Distribuidores"/>
    <x v="21"/>
    <n v="9"/>
    <x v="7"/>
    <n v="349.916"/>
    <n v="104.976"/>
    <n v="244.94"/>
    <n v="26.004249000000002"/>
    <n v="2.8893610000000001"/>
    <n v="1"/>
    <n v="9"/>
    <n v="218.93575099999998"/>
  </r>
  <r>
    <x v="208"/>
    <x v="6"/>
    <s v="OFICINA"/>
    <s v="001-001-000000567"/>
    <s v="Directo"/>
    <x v="137"/>
    <n v="28.3"/>
    <x v="9"/>
    <n v="116.03"/>
    <n v="0"/>
    <n v="116.03"/>
    <n v="0"/>
    <n v="0"/>
    <n v="1"/>
    <n v="28.3"/>
    <n v="116.03"/>
  </r>
  <r>
    <x v="209"/>
    <x v="6"/>
    <s v="SERRANO GARRIDO GIOVANNA DEL ROCIO"/>
    <s v="001-001-000000220"/>
    <s v="Directo"/>
    <x v="138"/>
    <n v="187.57"/>
    <x v="10"/>
    <n v="710.05649919999996"/>
    <n v="71.006499199999993"/>
    <n v="639.04999999999995"/>
    <n v="525.19600000000003"/>
    <n v="2.8000000000000003"/>
    <n v="1"/>
    <n v="187.57"/>
    <n v="113.85399999999993"/>
  </r>
  <r>
    <x v="209"/>
    <x v="6"/>
    <s v="SERRANO GARRIDO GIOVANNA DEL ROCIO"/>
    <s v="001-001-000000221"/>
    <s v="Directo"/>
    <x v="139"/>
    <n v="59.75"/>
    <x v="11"/>
    <n v="225.85871499999999"/>
    <n v="30.038715"/>
    <n v="195.82"/>
    <n v="167.3"/>
    <n v="2.8000000000000003"/>
    <n v="1"/>
    <n v="59.75"/>
    <n v="28.519999999999982"/>
  </r>
  <r>
    <x v="210"/>
    <x v="6"/>
    <s v="SERRANO GARRIDO GIOVANNA DEL ROCIO"/>
    <s v="001-001-000000083"/>
    <s v="Arquitectos"/>
    <x v="39"/>
    <n v="17.98"/>
    <x v="12"/>
    <n v="77.494070000000008"/>
    <n v="11.62407"/>
    <n v="65.87"/>
    <n v="50.344000000000001"/>
    <n v="2.8"/>
    <n v="1"/>
    <n v="17.98"/>
    <n v="15.526000000000003"/>
  </r>
  <r>
    <x v="53"/>
    <x v="6"/>
    <s v="SERRANO GARRIDO GIOVANNA DEL ROCIO"/>
    <s v="001-001-000000172"/>
    <s v="Arquitectos"/>
    <x v="39"/>
    <n v="900.94"/>
    <x v="12"/>
    <n v="3883.0477100000003"/>
    <n v="582.45771000000002"/>
    <n v="3300.59"/>
    <n v="2522.6320000000001"/>
    <n v="2.8"/>
    <n v="1"/>
    <n v="900.94"/>
    <n v="777.95800000000008"/>
  </r>
  <r>
    <x v="29"/>
    <x v="6"/>
    <s v="SERRANO GARRIDO GIOVANNA DEL ROCIO"/>
    <s v="001-001-000000025"/>
    <s v="Directo"/>
    <x v="11"/>
    <n v="28.88"/>
    <x v="13"/>
    <n v="100.5"/>
    <n v="0"/>
    <n v="100.5"/>
    <n v="91.260800000000003"/>
    <n v="3.16"/>
    <n v="1"/>
    <n v="28.88"/>
    <n v="9.2391999999999967"/>
  </r>
  <r>
    <x v="106"/>
    <x v="7"/>
    <s v="OFICINA"/>
    <s v="001-001-000000464"/>
    <s v="Directo"/>
    <x v="92"/>
    <n v="44.1"/>
    <x v="14"/>
    <n v="2182.067"/>
    <n v="545.51700000000005"/>
    <n v="1636.55"/>
    <n v="487.14099210000001"/>
    <n v="11.046281"/>
    <n v="1"/>
    <n v="44.1"/>
    <n v="1149.4090079"/>
  </r>
  <r>
    <x v="118"/>
    <x v="7"/>
    <s v="OFICINA"/>
    <s v="001-001-000000588"/>
    <s v="Distribuidores"/>
    <x v="33"/>
    <n v="8"/>
    <x v="15"/>
    <n v="311.04199999999997"/>
    <n v="93.311999999999998"/>
    <n v="217.73"/>
    <n v="112"/>
    <n v="14"/>
    <n v="1"/>
    <n v="8"/>
    <n v="105.72999999999999"/>
  </r>
  <r>
    <x v="211"/>
    <x v="8"/>
    <s v="MOPOSITA GUITARRA ENMA PATRICIA"/>
    <s v="001-001-000000156"/>
    <s v="Constructores"/>
    <x v="140"/>
    <n v="109"/>
    <x v="16"/>
    <n v="2071"/>
    <n v="0"/>
    <n v="2071"/>
    <n v="145.931816"/>
    <n v="1.338824"/>
    <n v="0.17499999999999999"/>
    <n v="19.074999999999999"/>
    <n v="1925.068184"/>
  </r>
  <r>
    <x v="212"/>
    <x v="8"/>
    <s v="MOPOSITA GUITARRA ENMA PATRICIA"/>
    <s v="001-001-000000202"/>
    <s v="Distribuidores"/>
    <x v="141"/>
    <n v="80"/>
    <x v="16"/>
    <n v="1520"/>
    <n v="456"/>
    <n v="1064"/>
    <n v="107.2"/>
    <n v="1.34"/>
    <n v="0.17499999999999999"/>
    <n v="14"/>
    <n v="956.8"/>
  </r>
  <r>
    <x v="86"/>
    <x v="8"/>
    <s v="MOPOSITA GUITARRA ENMA PATRICIA"/>
    <s v="001-001-000000330"/>
    <s v="Distribuidores"/>
    <x v="141"/>
    <n v="28"/>
    <x v="16"/>
    <n v="532"/>
    <n v="159.6"/>
    <n v="372.4"/>
    <n v="38.686675999999999"/>
    <n v="1.381667"/>
    <n v="0.17499999999999999"/>
    <n v="4.8999999999999995"/>
    <n v="333.713324"/>
  </r>
  <r>
    <x v="126"/>
    <x v="8"/>
    <s v="JULIO VASQUEZ"/>
    <s v="001-001-000000635"/>
    <s v="Constructores"/>
    <x v="104"/>
    <n v="1"/>
    <x v="16"/>
    <n v="19.88"/>
    <n v="19.88"/>
    <n v="0"/>
    <n v="1.926593"/>
    <n v="1.926593"/>
    <n v="0.17499999999999999"/>
    <n v="0.17499999999999999"/>
    <n v="-1.926593"/>
  </r>
  <r>
    <x v="24"/>
    <x v="8"/>
    <s v="OFICINA"/>
    <s v="001-001-000000008"/>
    <s v="Distribuidores"/>
    <x v="4"/>
    <n v="203"/>
    <x v="17"/>
    <n v="3857"/>
    <n v="771.4"/>
    <n v="3085.6"/>
    <n v="747.04"/>
    <n v="3.6799999999999997"/>
    <n v="0.17499999999999999"/>
    <n v="35.524999999999999"/>
    <n v="2338.56"/>
  </r>
  <r>
    <x v="26"/>
    <x v="8"/>
    <s v="SERRANO GARRIDO GIOVANNA DEL ROCIO"/>
    <s v="001-001-000000014"/>
    <s v="Distribuidores"/>
    <x v="20"/>
    <n v="44"/>
    <x v="17"/>
    <n v="836"/>
    <n v="292.60000000000002"/>
    <n v="543.4"/>
    <n v="163.68299200000001"/>
    <n v="3.7200680000000004"/>
    <n v="0.17499999999999999"/>
    <n v="7.6999999999999993"/>
    <n v="379.71700799999996"/>
  </r>
  <r>
    <x v="28"/>
    <x v="8"/>
    <s v="BALLADARES PEREZ REINA JACQUELINE"/>
    <s v="001-001-000000018"/>
    <s v="Directo"/>
    <x v="9"/>
    <n v="36"/>
    <x v="17"/>
    <n v="684"/>
    <n v="34.200000000000003"/>
    <n v="649.79999999999995"/>
    <n v="131.53536"/>
    <n v="3.6537600000000001"/>
    <n v="0.17499999999999999"/>
    <n v="6.3"/>
    <n v="518.26463999999999"/>
  </r>
  <r>
    <x v="213"/>
    <x v="8"/>
    <s v="SERRANO GARRIDO GIOVANNA DEL ROCIO"/>
    <s v="001-001-000000076"/>
    <s v="Distribuidores"/>
    <x v="20"/>
    <n v="40"/>
    <x v="17"/>
    <n v="760"/>
    <n v="266"/>
    <n v="494"/>
    <n v="165.9238"/>
    <n v="4.1480949999999996"/>
    <n v="0.17499999999999999"/>
    <n v="7"/>
    <n v="328.07619999999997"/>
  </r>
  <r>
    <x v="213"/>
    <x v="8"/>
    <s v="SERRANO GARRIDO GIOVANNA DEL ROCIO"/>
    <s v="001-001-000000077"/>
    <s v="Distribuidores"/>
    <x v="20"/>
    <n v="34"/>
    <x v="17"/>
    <n v="646"/>
    <n v="226.1"/>
    <n v="419.9"/>
    <n v="141.03523000000001"/>
    <n v="4.1480950000000005"/>
    <n v="0.17499999999999999"/>
    <n v="5.9499999999999993"/>
    <n v="278.86476999999996"/>
  </r>
  <r>
    <x v="214"/>
    <x v="8"/>
    <s v="SERRANO GARRIDO GIOVANNA DEL ROCIO"/>
    <s v="001-001-000000094"/>
    <s v="Constructores"/>
    <x v="142"/>
    <n v="10"/>
    <x v="17"/>
    <n v="190"/>
    <n v="19"/>
    <n v="171"/>
    <n v="29.1"/>
    <n v="2.91"/>
    <n v="0.17499999999999999"/>
    <n v="1.75"/>
    <n v="141.9"/>
  </r>
  <r>
    <x v="44"/>
    <x v="8"/>
    <s v="MOPOSITA GUITARRA ENMA PATRICIA"/>
    <s v="001-001-000000123"/>
    <s v="Directo"/>
    <x v="31"/>
    <n v="4"/>
    <x v="17"/>
    <n v="76"/>
    <n v="0"/>
    <n v="76"/>
    <n v="10.72"/>
    <n v="2.68"/>
    <n v="0.17499999999999999"/>
    <n v="0.7"/>
    <n v="65.28"/>
  </r>
  <r>
    <x v="215"/>
    <x v="8"/>
    <s v="SERRANO GARRIDO GIOVANNA DEL ROCIO"/>
    <s v="001-001-000000144"/>
    <s v="Distribuidores"/>
    <x v="20"/>
    <n v="32"/>
    <x v="17"/>
    <n v="608"/>
    <n v="212.8"/>
    <n v="395.2"/>
    <n v="83.171424000000002"/>
    <n v="2.5991070000000001"/>
    <n v="0.17499999999999999"/>
    <n v="5.6"/>
    <n v="312.02857599999999"/>
  </r>
  <r>
    <x v="52"/>
    <x v="8"/>
    <s v="MOPOSITA GUITARRA ENMA PATRICIA"/>
    <s v="001-001-000000171"/>
    <s v="Directo"/>
    <x v="41"/>
    <n v="36"/>
    <x v="17"/>
    <n v="684"/>
    <n v="68.400000000000006"/>
    <n v="615.6"/>
    <n v="93.567852000000002"/>
    <n v="2.5991070000000001"/>
    <n v="0.17499999999999999"/>
    <n v="6.3"/>
    <n v="522.03214800000001"/>
  </r>
  <r>
    <x v="212"/>
    <x v="8"/>
    <s v="SERRANO GARRIDO GIOVANNA DEL ROCIO"/>
    <s v="001-001-000000199"/>
    <s v="Directo"/>
    <x v="143"/>
    <n v="30"/>
    <x v="17"/>
    <n v="570"/>
    <n v="285"/>
    <n v="285"/>
    <n v="72.519990000000007"/>
    <n v="2.4173330000000002"/>
    <n v="0.17499999999999999"/>
    <n v="5.25"/>
    <n v="212.48000999999999"/>
  </r>
  <r>
    <x v="212"/>
    <x v="8"/>
    <s v="OFICINA"/>
    <s v="001-001-000000200"/>
    <s v="Directo"/>
    <x v="143"/>
    <n v="20"/>
    <x v="17"/>
    <n v="380"/>
    <n v="133"/>
    <n v="247"/>
    <n v="48.34666"/>
    <n v="2.4173330000000002"/>
    <n v="0.17499999999999999"/>
    <n v="3.5"/>
    <n v="198.65334000000001"/>
  </r>
  <r>
    <x v="216"/>
    <x v="8"/>
    <s v="MOPOSITA GUITARRA ENMA PATRICIA"/>
    <s v="001-001-000000214"/>
    <s v="Constructores"/>
    <x v="144"/>
    <n v="124"/>
    <x v="17"/>
    <n v="2356"/>
    <n v="0"/>
    <n v="2356"/>
    <n v="299.62541599999997"/>
    <n v="2.416334"/>
    <n v="0.17499999999999999"/>
    <n v="21.7"/>
    <n v="2056.3745840000001"/>
  </r>
  <r>
    <x v="216"/>
    <x v="8"/>
    <s v="OFICINA"/>
    <s v="001-001-000000217"/>
    <s v="Distribuidores"/>
    <x v="20"/>
    <n v="46"/>
    <x v="17"/>
    <n v="874"/>
    <n v="305.89999999999998"/>
    <n v="568.1"/>
    <n v="111.151364"/>
    <n v="2.416334"/>
    <n v="0.17499999999999999"/>
    <n v="8.0499999999999989"/>
    <n v="456.94863600000002"/>
  </r>
  <r>
    <x v="60"/>
    <x v="8"/>
    <s v="MOPOSITA GUITARRA ENMA PATRICIA"/>
    <s v="001-001-000000224"/>
    <s v="Directo"/>
    <x v="48"/>
    <n v="30"/>
    <x v="17"/>
    <n v="570"/>
    <n v="68.400000000000006"/>
    <n v="501.6"/>
    <n v="72.490020000000001"/>
    <n v="2.416334"/>
    <n v="0.17499999999999999"/>
    <n v="5.25"/>
    <n v="429.10998000000001"/>
  </r>
  <r>
    <x v="68"/>
    <x v="8"/>
    <s v="OFICINA"/>
    <s v="001-001-000000245"/>
    <s v="Distribuidores"/>
    <x v="20"/>
    <n v="46"/>
    <x v="17"/>
    <n v="874"/>
    <n v="305.89999999999998"/>
    <n v="568.1"/>
    <n v="133.55833200000001"/>
    <n v="2.9034420000000001"/>
    <n v="0.17499999999999999"/>
    <n v="8.0499999999999989"/>
    <n v="434.54166800000002"/>
  </r>
  <r>
    <x v="217"/>
    <x v="8"/>
    <s v="MOPOSITA GUITARRA ENMA PATRICIA"/>
    <s v="001-001-000000247"/>
    <s v="Distribuidores"/>
    <x v="20"/>
    <n v="53"/>
    <x v="17"/>
    <n v="1007"/>
    <n v="352.45"/>
    <n v="654.54999999999995"/>
    <n v="153.88242600000001"/>
    <n v="2.9034420000000001"/>
    <n v="0.17499999999999999"/>
    <n v="9.2749999999999986"/>
    <n v="500.66757399999995"/>
  </r>
  <r>
    <x v="218"/>
    <x v="8"/>
    <s v="CASTILLO YAQUE SONIA ROXANA"/>
    <s v="001-001-000000309"/>
    <s v="Distribuidores"/>
    <x v="20"/>
    <n v="44"/>
    <x v="17"/>
    <n v="836"/>
    <n v="292.60000000000002"/>
    <n v="543.4"/>
    <n v="143.55576400000001"/>
    <n v="3.2626310000000003"/>
    <n v="0.17499999999999999"/>
    <n v="7.6999999999999993"/>
    <n v="399.84423599999997"/>
  </r>
  <r>
    <x v="219"/>
    <x v="8"/>
    <s v="CASTILLO YAQUE SONIA ROXANA"/>
    <s v="001-001-000000357"/>
    <s v="Distribuidores"/>
    <x v="20"/>
    <n v="38"/>
    <x v="17"/>
    <n v="722"/>
    <n v="252.7"/>
    <n v="469.3"/>
    <n v="115.32475599999999"/>
    <n v="3.0348619999999999"/>
    <n v="0.17499999999999999"/>
    <n v="6.6499999999999995"/>
    <n v="353.97524400000003"/>
  </r>
  <r>
    <x v="220"/>
    <x v="8"/>
    <s v="MOPOSITA GUITARRA ENMA PATRICIA"/>
    <s v="001-001-000000381"/>
    <s v="Distribuidores"/>
    <x v="20"/>
    <n v="58"/>
    <x v="17"/>
    <n v="1102"/>
    <n v="385.7"/>
    <n v="716.3"/>
    <n v="201.68804"/>
    <n v="3.4773800000000001"/>
    <n v="0.17499999999999999"/>
    <n v="10.149999999999999"/>
    <n v="514.61195999999995"/>
  </r>
  <r>
    <x v="220"/>
    <x v="8"/>
    <s v="MOPOSITA GUITARRA ENMA PATRICIA"/>
    <s v="001-001-000000382"/>
    <s v="Distribuidores"/>
    <x v="20"/>
    <n v="2"/>
    <x v="17"/>
    <n v="38"/>
    <n v="13.3"/>
    <n v="24.7"/>
    <n v="6.9547600000000003"/>
    <n v="3.4773800000000001"/>
    <n v="0.17499999999999999"/>
    <n v="0.35"/>
    <n v="17.745239999999999"/>
  </r>
  <r>
    <x v="221"/>
    <x v="8"/>
    <s v="MOPOSITA GUITARRA ENMA PATRICIA"/>
    <s v="001-001-000000447"/>
    <s v="Directo"/>
    <x v="145"/>
    <n v="42"/>
    <x v="17"/>
    <n v="834.95759999999996"/>
    <n v="258.83760000000001"/>
    <n v="576.12"/>
    <n v="105.695016"/>
    <n v="2.5165479999999998"/>
    <n v="0.17499999999999999"/>
    <n v="7.35"/>
    <n v="470.42498399999999"/>
  </r>
  <r>
    <x v="221"/>
    <x v="8"/>
    <s v="MOPOSITA GUITARRA ENMA PATRICIA"/>
    <s v="001-001-000000447"/>
    <s v="Directo"/>
    <x v="145"/>
    <n v="24"/>
    <x v="17"/>
    <n v="477.11719999999997"/>
    <n v="147.90719999999999"/>
    <n v="329.21"/>
    <n v="60.397151999999998"/>
    <n v="2.5165479999999998"/>
    <n v="0.17499999999999999"/>
    <n v="4.1999999999999993"/>
    <n v="268.81284799999997"/>
  </r>
  <r>
    <x v="105"/>
    <x v="8"/>
    <s v="CASTILLO YAQUE SONIA ROXANA"/>
    <s v="001-001-000000463"/>
    <s v="Distribuidores"/>
    <x v="98"/>
    <n v="68"/>
    <x v="17"/>
    <n v="1351.8420000000001"/>
    <n v="405.55200000000002"/>
    <n v="946.29"/>
    <n v="136.22507999999999"/>
    <n v="2.0033099999999999"/>
    <n v="0.17499999999999999"/>
    <n v="11.899999999999999"/>
    <n v="810.06492000000003"/>
  </r>
  <r>
    <x v="222"/>
    <x v="8"/>
    <s v="MOPOSITA GUITARRA ENMA PATRICIA"/>
    <s v="001-001-000000515"/>
    <s v="Distribuidores"/>
    <x v="21"/>
    <n v="53"/>
    <x v="17"/>
    <n v="1053.644"/>
    <n v="368.774"/>
    <n v="684.87"/>
    <n v="108.496088"/>
    <n v="2.0470959999999998"/>
    <n v="0.17499999999999999"/>
    <n v="9.2749999999999986"/>
    <n v="576.37391200000002"/>
  </r>
  <r>
    <x v="223"/>
    <x v="8"/>
    <s v="OFICINA"/>
    <s v="001-001-000000566"/>
    <s v="Directo"/>
    <x v="146"/>
    <n v="4"/>
    <x v="17"/>
    <n v="79.52"/>
    <n v="19.88"/>
    <n v="59.64"/>
    <n v="8.2144399999999997"/>
    <n v="2.0536099999999999"/>
    <n v="0.17499999999999999"/>
    <n v="0.7"/>
    <n v="51.425560000000004"/>
  </r>
  <r>
    <x v="126"/>
    <x v="8"/>
    <s v="JULIO VASQUEZ"/>
    <s v="001-001-000000635"/>
    <s v="Constructores"/>
    <x v="104"/>
    <n v="1"/>
    <x v="17"/>
    <n v="19.88"/>
    <n v="19.88"/>
    <n v="0"/>
    <n v="2.0590679999999999"/>
    <n v="2.0590679999999999"/>
    <n v="0.17499999999999999"/>
    <n v="0.17499999999999999"/>
    <n v="-2.0590679999999999"/>
  </r>
  <r>
    <x v="132"/>
    <x v="8"/>
    <s v="OFICINA"/>
    <s v="001-001-000000658"/>
    <s v="Distribuidores"/>
    <x v="21"/>
    <n v="48"/>
    <x v="17"/>
    <n v="954.24399999999991"/>
    <n v="333.98399999999998"/>
    <n v="620.26"/>
    <n v="99.530687999999998"/>
    <n v="2.073556"/>
    <n v="0.17499999999999999"/>
    <n v="8.3999999999999986"/>
    <n v="520.72931199999994"/>
  </r>
  <r>
    <x v="160"/>
    <x v="8"/>
    <s v="OFICINA"/>
    <s v="001-001-000000880"/>
    <s v="Distribuidores"/>
    <x v="125"/>
    <n v="48"/>
    <x v="17"/>
    <n v="954.24"/>
    <n v="238.56"/>
    <n v="715.68"/>
    <n v="65.598287999999997"/>
    <n v="1.3666309999999999"/>
    <n v="0.17499999999999999"/>
    <n v="8.3999999999999986"/>
    <n v="650.08171199999992"/>
  </r>
  <r>
    <x v="2"/>
    <x v="8"/>
    <s v="SERRANO GARRIDO GIOVANNA DEL ROCIO"/>
    <s v="001-001-000000072"/>
    <s v="Distribuidores"/>
    <x v="21"/>
    <n v="39"/>
    <x v="18"/>
    <n v="741"/>
    <n v="259.35000000000002"/>
    <n v="481.65"/>
    <n v="63.707279999999997"/>
    <n v="1.6335199999999999"/>
    <n v="0.17499999999999999"/>
    <n v="6.8249999999999993"/>
    <n v="417.94272000000001"/>
  </r>
  <r>
    <x v="77"/>
    <x v="8"/>
    <s v="ANDRADE CHECA DIANA LUCIA"/>
    <s v="001-001-000000280"/>
    <s v="Directo"/>
    <x v="61"/>
    <n v="16"/>
    <x v="18"/>
    <n v="304"/>
    <n v="0"/>
    <n v="304"/>
    <n v="28.16"/>
    <n v="1.76"/>
    <n v="0.17499999999999999"/>
    <n v="2.8"/>
    <n v="275.83999999999997"/>
  </r>
  <r>
    <x v="224"/>
    <x v="8"/>
    <s v="MOPOSITA GUITARRA ENMA PATRICIA"/>
    <s v="001-001-000000332"/>
    <s v="Distribuidores"/>
    <x v="21"/>
    <n v="20"/>
    <x v="18"/>
    <n v="380"/>
    <n v="133"/>
    <n v="247"/>
    <n v="35.618259999999999"/>
    <n v="1.780913"/>
    <n v="0.17499999999999999"/>
    <n v="3.5"/>
    <n v="211.38174000000001"/>
  </r>
  <r>
    <x v="219"/>
    <x v="8"/>
    <s v="MOPOSITA GUITARRA ENMA PATRICIA"/>
    <s v="001-001-000000358"/>
    <s v="Distribuidores"/>
    <x v="20"/>
    <n v="41"/>
    <x v="18"/>
    <n v="779"/>
    <n v="272.64999999999998"/>
    <n v="506.35"/>
    <n v="72.967371999999997"/>
    <n v="1.7796919999999998"/>
    <n v="0.17499999999999999"/>
    <n v="7.1749999999999998"/>
    <n v="433.38262800000001"/>
  </r>
  <r>
    <x v="12"/>
    <x v="8"/>
    <s v="MOPOSITA GUITARRA ENMA PATRICIA"/>
    <s v="001-001-000000378"/>
    <s v="Distribuidores"/>
    <x v="21"/>
    <n v="22"/>
    <x v="18"/>
    <n v="418"/>
    <n v="146.30000000000001"/>
    <n v="271.7"/>
    <n v="36.335859999999997"/>
    <n v="1.6516299999999999"/>
    <n v="0.17499999999999999"/>
    <n v="3.8499999999999996"/>
    <n v="235.36413999999999"/>
  </r>
  <r>
    <x v="15"/>
    <x v="8"/>
    <s v="MOPOSITA GUITARRA ENMA PATRICIA"/>
    <s v="001-001-000000425"/>
    <s v="Distribuidores"/>
    <x v="20"/>
    <n v="3"/>
    <x v="18"/>
    <n v="57"/>
    <n v="19.95"/>
    <n v="37.049999999999997"/>
    <n v="5.0549340000000003"/>
    <n v="1.6849780000000001"/>
    <n v="0.17499999999999999"/>
    <n v="0.52499999999999991"/>
    <n v="31.995065999999998"/>
  </r>
  <r>
    <x v="225"/>
    <x v="8"/>
    <s v="OFICINA"/>
    <s v="001-001-000000582"/>
    <s v="Distribuidores"/>
    <x v="21"/>
    <n v="42"/>
    <x v="18"/>
    <n v="834.95600000000002"/>
    <n v="292.23599999999999"/>
    <n v="542.72"/>
    <n v="73.609536000000006"/>
    <n v="1.7526080000000002"/>
    <n v="0.17499999999999999"/>
    <n v="7.35"/>
    <n v="469.11046400000004"/>
  </r>
  <r>
    <x v="226"/>
    <x v="8"/>
    <s v="OFICINA"/>
    <s v="001-001-000000591"/>
    <s v="Distribuidores"/>
    <x v="21"/>
    <n v="3"/>
    <x v="18"/>
    <n v="59.644000000000005"/>
    <n v="20.873999999999999"/>
    <n v="38.770000000000003"/>
    <n v="5.2578240000000003"/>
    <n v="1.7526080000000002"/>
    <n v="0.17499999999999999"/>
    <n v="0.52499999999999991"/>
    <n v="33.512176000000004"/>
  </r>
  <r>
    <x v="227"/>
    <x v="8"/>
    <s v="OFICINA"/>
    <s v="001-001-000000806"/>
    <s v="Directo"/>
    <x v="147"/>
    <n v="32"/>
    <x v="18"/>
    <n v="636.16200000000003"/>
    <n v="286.27199999999999"/>
    <n v="349.89"/>
    <n v="56.083455999999998"/>
    <n v="1.7526079999999999"/>
    <n v="0.17499999999999999"/>
    <n v="5.6"/>
    <n v="293.80654399999997"/>
  </r>
  <r>
    <x v="228"/>
    <x v="8"/>
    <s v="SERRANO GARRIDO GIOVANNA DEL ROCIO"/>
    <s v="001-001-000000062"/>
    <s v="Distribuidores"/>
    <x v="20"/>
    <n v="76"/>
    <x v="19"/>
    <n v="1444"/>
    <n v="505.4"/>
    <n v="938.6"/>
    <n v="183.640928"/>
    <n v="2.416328"/>
    <n v="0.17499999999999999"/>
    <n v="13.299999999999999"/>
    <n v="754.95907199999999"/>
  </r>
  <r>
    <x v="229"/>
    <x v="8"/>
    <s v="SERRANO GARRIDO GIOVANNA DEL ROCIO"/>
    <s v="001-001-000000175"/>
    <s v="Distribuidores"/>
    <x v="20"/>
    <n v="72"/>
    <x v="19"/>
    <n v="1368"/>
    <n v="478.8"/>
    <n v="889.2"/>
    <n v="190.63115999999999"/>
    <n v="2.6476549999999999"/>
    <n v="0.17499999999999999"/>
    <n v="12.6"/>
    <n v="698.56884000000002"/>
  </r>
  <r>
    <x v="230"/>
    <x v="8"/>
    <s v="MOPOSITA GUITARRA ENMA PATRICIA"/>
    <s v="001-001-000000275"/>
    <s v="Distribuidores"/>
    <x v="20"/>
    <n v="34"/>
    <x v="19"/>
    <n v="646"/>
    <n v="226.1"/>
    <n v="419.9"/>
    <n v="97.978853999999998"/>
    <n v="2.8817309999999998"/>
    <n v="0.17499999999999999"/>
    <n v="5.9499999999999993"/>
    <n v="321.92114599999996"/>
  </r>
  <r>
    <x v="231"/>
    <x v="8"/>
    <s v="MOPOSITA GUITARRA ENMA PATRICIA"/>
    <s v="001-001-000000295"/>
    <s v="Distribuidores"/>
    <x v="20"/>
    <n v="60"/>
    <x v="19"/>
    <n v="1140"/>
    <n v="399"/>
    <n v="741"/>
    <n v="175.17125999999999"/>
    <n v="2.919521"/>
    <n v="0.17499999999999999"/>
    <n v="10.5"/>
    <n v="565.82874000000004"/>
  </r>
  <r>
    <x v="232"/>
    <x v="8"/>
    <s v="MOPOSITA GUITARRA ENMA PATRICIA"/>
    <s v="001-001-000000304"/>
    <s v="Distribuidores"/>
    <x v="20"/>
    <n v="17"/>
    <x v="19"/>
    <n v="323"/>
    <n v="113.05"/>
    <n v="209.95"/>
    <n v="49.631856999999997"/>
    <n v="2.9195209999999996"/>
    <n v="0.17499999999999999"/>
    <n v="2.9749999999999996"/>
    <n v="160.31814299999999"/>
  </r>
  <r>
    <x v="233"/>
    <x v="8"/>
    <s v="ANDRADE CHECA DIANA LUCIA"/>
    <s v="001-001-000000399"/>
    <s v="Directo"/>
    <x v="148"/>
    <n v="48"/>
    <x v="19"/>
    <n v="912"/>
    <n v="228"/>
    <n v="684"/>
    <n v="138.174576"/>
    <n v="2.8786369999999999"/>
    <n v="0.17499999999999999"/>
    <n v="8.3999999999999986"/>
    <n v="545.825424"/>
  </r>
  <r>
    <x v="234"/>
    <x v="8"/>
    <s v="MOPOSITA GUITARRA ENMA PATRICIA"/>
    <s v="001-001-000000529"/>
    <s v="Distribuidores"/>
    <x v="20"/>
    <n v="36"/>
    <x v="19"/>
    <n v="715.678"/>
    <n v="250.488"/>
    <n v="465.19"/>
    <n v="98.89452"/>
    <n v="2.7470699999999999"/>
    <n v="0.17499999999999999"/>
    <n v="6.3"/>
    <n v="366.29548"/>
  </r>
  <r>
    <x v="235"/>
    <x v="8"/>
    <s v="CASTILLO YAQUE SONIA ROXANA"/>
    <s v="001-001-000000565"/>
    <s v="Arquitectos"/>
    <x v="73"/>
    <n v="38"/>
    <x v="19"/>
    <n v="793.43599999999992"/>
    <n v="119.01600000000001"/>
    <n v="674.42"/>
    <n v="104.480468"/>
    <n v="2.7494860000000001"/>
    <n v="0.17499999999999999"/>
    <n v="6.6499999999999995"/>
    <n v="569.93953199999999"/>
  </r>
  <r>
    <x v="121"/>
    <x v="8"/>
    <s v="OFICINA"/>
    <s v="001-001-000000598"/>
    <s v="Distribuidores"/>
    <x v="20"/>
    <n v="14"/>
    <x v="19"/>
    <n v="278.32400000000001"/>
    <n v="125.244"/>
    <n v="153.08000000000001"/>
    <n v="38.492804"/>
    <n v="2.7494860000000001"/>
    <n v="0.17499999999999999"/>
    <n v="2.4499999999999997"/>
    <n v="114.58719600000001"/>
  </r>
  <r>
    <x v="169"/>
    <x v="8"/>
    <s v="OFICINA"/>
    <s v="001-001-000000621"/>
    <s v="Distribuidores"/>
    <x v="20"/>
    <n v="26"/>
    <x v="19"/>
    <n v="516.87599999999998"/>
    <n v="232.596"/>
    <n v="284.27999999999997"/>
    <n v="71.328243999999998"/>
    <n v="2.7433939999999999"/>
    <n v="0.17499999999999999"/>
    <n v="4.55"/>
    <n v="212.95175599999999"/>
  </r>
  <r>
    <x v="236"/>
    <x v="8"/>
    <s v="OFICINA"/>
    <s v="001-001-000000623"/>
    <s v="Distribuidores"/>
    <x v="21"/>
    <n v="16"/>
    <x v="19"/>
    <n v="318.07799999999997"/>
    <n v="111.328"/>
    <n v="206.75"/>
    <n v="43.894303999999998"/>
    <n v="2.7433939999999999"/>
    <n v="0.17499999999999999"/>
    <n v="2.8"/>
    <n v="162.85569599999999"/>
  </r>
  <r>
    <x v="126"/>
    <x v="8"/>
    <s v="JULIO VASQUEZ"/>
    <s v="001-001-000000635"/>
    <s v="Constructores"/>
    <x v="104"/>
    <n v="1"/>
    <x v="19"/>
    <n v="19.88"/>
    <n v="19.88"/>
    <n v="0"/>
    <n v="2.7269749999999999"/>
    <n v="2.7269749999999999"/>
    <n v="0.17499999999999999"/>
    <n v="0.17499999999999999"/>
    <n v="-2.7269749999999999"/>
  </r>
  <r>
    <x v="194"/>
    <x v="8"/>
    <s v="OFICINA"/>
    <s v="001-001-000000639"/>
    <s v="Distribuidores"/>
    <x v="20"/>
    <n v="60"/>
    <x v="19"/>
    <n v="1192.8"/>
    <n v="536.76"/>
    <n v="656.04"/>
    <n v="163.61850000000001"/>
    <n v="2.7269750000000004"/>
    <n v="0.17499999999999999"/>
    <n v="10.5"/>
    <n v="492.42149999999992"/>
  </r>
  <r>
    <x v="128"/>
    <x v="8"/>
    <s v="OFICINA"/>
    <s v="001-001-000000640"/>
    <s v="Directo"/>
    <x v="105"/>
    <n v="44"/>
    <x v="19"/>
    <n v="874.71600000000001"/>
    <n v="43.735999999999997"/>
    <n v="830.98"/>
    <n v="109.34"/>
    <n v="2.4849999999999999"/>
    <n v="0.17499999999999999"/>
    <n v="7.6999999999999993"/>
    <n v="721.64"/>
  </r>
  <r>
    <x v="129"/>
    <x v="8"/>
    <s v="OFICINA"/>
    <s v="001-001-000000643"/>
    <s v="Distribuidores"/>
    <x v="20"/>
    <n v="34"/>
    <x v="19"/>
    <n v="675.92399999999998"/>
    <n v="304.16399999999999"/>
    <n v="371.76"/>
    <n v="86.367140000000006"/>
    <n v="2.5402100000000001"/>
    <n v="0.17499999999999999"/>
    <n v="5.9499999999999993"/>
    <n v="285.39285999999998"/>
  </r>
  <r>
    <x v="129"/>
    <x v="8"/>
    <s v="OFICINA"/>
    <s v="001-001-000000645"/>
    <s v="Distribuidores"/>
    <x v="21"/>
    <n v="16"/>
    <x v="19"/>
    <n v="318.07799999999997"/>
    <n v="111.328"/>
    <n v="206.75"/>
    <n v="40.643360000000001"/>
    <n v="2.5402100000000001"/>
    <n v="0.17499999999999999"/>
    <n v="2.8"/>
    <n v="166.10664"/>
  </r>
  <r>
    <x v="237"/>
    <x v="8"/>
    <s v="OFICINA"/>
    <s v="001-001-000000669"/>
    <s v="Distribuidores"/>
    <x v="21"/>
    <n v="81"/>
    <x v="19"/>
    <n v="1610.2759999999998"/>
    <n v="724.62599999999998"/>
    <n v="885.65"/>
    <n v="207.393291"/>
    <n v="2.5604110000000002"/>
    <n v="0.17499999999999999"/>
    <n v="14.174999999999999"/>
    <n v="678.256709"/>
  </r>
  <r>
    <x v="136"/>
    <x v="8"/>
    <s v="JULIO VASQUEZ"/>
    <s v="001-001-000000688"/>
    <s v="Arquitectos"/>
    <x v="103"/>
    <n v="62"/>
    <x v="19"/>
    <n v="1232.558"/>
    <n v="369.76799999999997"/>
    <n v="862.79"/>
    <n v="158.74548200000001"/>
    <n v="2.5604110000000002"/>
    <n v="0.17499999999999999"/>
    <n v="10.85"/>
    <n v="704.04451799999993"/>
  </r>
  <r>
    <x v="140"/>
    <x v="8"/>
    <s v="OFICINA"/>
    <s v="001-001-000000709"/>
    <s v="Constructores"/>
    <x v="104"/>
    <n v="47"/>
    <x v="19"/>
    <n v="934.36400000000003"/>
    <n v="140.154"/>
    <n v="794.21"/>
    <n v="70.770343999999994"/>
    <n v="1.505752"/>
    <n v="0.17499999999999999"/>
    <n v="8.2249999999999996"/>
    <n v="723.43965600000001"/>
  </r>
  <r>
    <x v="238"/>
    <x v="8"/>
    <s v="OFICINA"/>
    <s v="001-001-000000727"/>
    <s v="Distribuidores"/>
    <x v="20"/>
    <n v="21"/>
    <x v="19"/>
    <n v="417.476"/>
    <n v="187.86600000000001"/>
    <n v="229.61"/>
    <n v="31.922331"/>
    <n v="1.520111"/>
    <n v="0.17499999999999999"/>
    <n v="3.6749999999999998"/>
    <n v="197.68766900000003"/>
  </r>
  <r>
    <x v="239"/>
    <x v="8"/>
    <s v="OFICINA"/>
    <s v="001-001-000000729"/>
    <s v="Distribuidores"/>
    <x v="20"/>
    <n v="20"/>
    <x v="19"/>
    <n v="397.6"/>
    <n v="178.92"/>
    <n v="218.68"/>
    <n v="32.110439999999997"/>
    <n v="1.6055219999999999"/>
    <n v="0.17499999999999999"/>
    <n v="3.5"/>
    <n v="186.56956000000002"/>
  </r>
  <r>
    <x v="144"/>
    <x v="8"/>
    <s v="OFICINA"/>
    <s v="001-001-000000741"/>
    <s v="Distribuidores"/>
    <x v="115"/>
    <n v="40"/>
    <x v="19"/>
    <n v="795.2"/>
    <n v="238.56"/>
    <n v="556.64"/>
    <n v="64.657560000000004"/>
    <n v="1.6164390000000002"/>
    <n v="0.17499999999999999"/>
    <n v="7"/>
    <n v="491.98244"/>
  </r>
  <r>
    <x v="240"/>
    <x v="8"/>
    <s v="OFICINA"/>
    <s v="001-001-000000769"/>
    <s v="Distribuidores"/>
    <x v="149"/>
    <n v="84"/>
    <x v="19"/>
    <n v="1669.9160000000002"/>
    <n v="500.976"/>
    <n v="1168.94"/>
    <n v="129.72708"/>
    <n v="1.54437"/>
    <n v="0.17499999999999999"/>
    <n v="14.7"/>
    <n v="1039.2129199999999"/>
  </r>
  <r>
    <x v="241"/>
    <x v="8"/>
    <s v="OFICINA"/>
    <s v="001-001-000000802"/>
    <s v="Distribuidores"/>
    <x v="20"/>
    <n v="24"/>
    <x v="19"/>
    <n v="477.12400000000002"/>
    <n v="214.70400000000001"/>
    <n v="262.42"/>
    <n v="45.901944"/>
    <n v="1.9125810000000001"/>
    <n v="0.17499999999999999"/>
    <n v="4.1999999999999993"/>
    <n v="216.518056"/>
  </r>
  <r>
    <x v="151"/>
    <x v="8"/>
    <s v="OFICINA"/>
    <s v="001-001-000000804"/>
    <s v="Directo"/>
    <x v="119"/>
    <n v="36"/>
    <x v="19"/>
    <n v="715.68399999999997"/>
    <n v="214.70400000000001"/>
    <n v="500.98"/>
    <n v="68.852915999999993"/>
    <n v="1.9125809999999999"/>
    <n v="0.17499999999999999"/>
    <n v="6.3"/>
    <n v="432.12708400000002"/>
  </r>
  <r>
    <x v="242"/>
    <x v="8"/>
    <s v="OFICINA"/>
    <s v="001-001-000000854"/>
    <s v="Arquitectos"/>
    <x v="150"/>
    <n v="3"/>
    <x v="19"/>
    <n v="59.635999999999996"/>
    <n v="8.9459999999999997"/>
    <n v="50.69"/>
    <n v="5.8671119999999997"/>
    <n v="1.9557039999999999"/>
    <n v="0.17499999999999999"/>
    <n v="0.52499999999999991"/>
    <n v="44.822887999999999"/>
  </r>
  <r>
    <x v="243"/>
    <x v="8"/>
    <s v="OFICINA"/>
    <s v="001-001-000000895"/>
    <s v="Distribuidores"/>
    <x v="20"/>
    <n v="36"/>
    <x v="19"/>
    <n v="715.67599999999993"/>
    <n v="322.05599999999998"/>
    <n v="393.62"/>
    <n v="69.950519999999997"/>
    <n v="1.9430699999999999"/>
    <n v="0.17499999999999999"/>
    <n v="6.3"/>
    <n v="323.66948000000002"/>
  </r>
  <r>
    <x v="244"/>
    <x v="8"/>
    <s v="OFICINA"/>
    <s v="001-001-000000906"/>
    <s v="Distribuidores"/>
    <x v="20"/>
    <n v="47"/>
    <x v="19"/>
    <n v="934.36199999999997"/>
    <n v="420.46199999999999"/>
    <n v="513.9"/>
    <n v="118.864316"/>
    <n v="2.04"/>
    <n v="0.17499999999999999"/>
    <n v="8.2249999999999996"/>
    <n v="395.03568399999995"/>
  </r>
  <r>
    <x v="165"/>
    <x v="8"/>
    <s v="OFICINA"/>
    <s v="001-001-000000911"/>
    <s v="Distribuidores"/>
    <x v="20"/>
    <n v="10"/>
    <x v="19"/>
    <n v="198.8"/>
    <n v="89.46"/>
    <n v="109.34"/>
    <n v="20.446149999999999"/>
    <n v="2.0446149999999998"/>
    <n v="0.17499999999999999"/>
    <n v="1.75"/>
    <n v="88.89385"/>
  </r>
  <r>
    <x v="31"/>
    <x v="8"/>
    <s v="SERRANO GARRIDO GIOVANNA DEL ROCIO"/>
    <s v="001-001-000000034"/>
    <s v="Distribuidores"/>
    <x v="151"/>
    <n v="10"/>
    <x v="20"/>
    <n v="350"/>
    <n v="105"/>
    <n v="245"/>
    <n v="24.9"/>
    <n v="2.4899999999999998"/>
    <n v="0.17499999999999999"/>
    <n v="1.75"/>
    <n v="220.1"/>
  </r>
  <r>
    <x v="245"/>
    <x v="8"/>
    <s v="OFICINA"/>
    <s v="001-001-000000205"/>
    <s v="Distribuidores"/>
    <x v="20"/>
    <n v="30"/>
    <x v="20"/>
    <n v="1050"/>
    <n v="367.5"/>
    <n v="682.5"/>
    <n v="94.23"/>
    <n v="3.141"/>
    <n v="0.17499999999999999"/>
    <n v="5.25"/>
    <n v="588.27"/>
  </r>
  <r>
    <x v="218"/>
    <x v="8"/>
    <s v="CASTILLO YAQUE SONIA ROXANA"/>
    <s v="001-001-000000309"/>
    <s v="Distribuidores"/>
    <x v="20"/>
    <n v="35"/>
    <x v="20"/>
    <n v="1225"/>
    <n v="428.75"/>
    <n v="796.25"/>
    <n v="113.181005"/>
    <n v="3.233743"/>
    <n v="0.17499999999999999"/>
    <n v="6.125"/>
    <n v="683.06899499999997"/>
  </r>
  <r>
    <x v="49"/>
    <x v="8"/>
    <s v="SERRANO GARRIDO GIOVANNA DEL ROCIO"/>
    <s v="001-001-000000157"/>
    <s v="Distribuidores"/>
    <x v="21"/>
    <n v="53"/>
    <x v="21"/>
    <n v="1855"/>
    <n v="649.25"/>
    <n v="1205.75"/>
    <n v="96.998427000000007"/>
    <n v="1.8301590000000001"/>
    <n v="0.17499999999999999"/>
    <n v="9.2749999999999986"/>
    <n v="1108.751573"/>
  </r>
  <r>
    <x v="229"/>
    <x v="8"/>
    <s v="SERRANO GARRIDO GIOVANNA DEL ROCIO"/>
    <s v="001-001-000000175"/>
    <s v="Distribuidores"/>
    <x v="20"/>
    <n v="6"/>
    <x v="22"/>
    <n v="210"/>
    <n v="73.5"/>
    <n v="136.5"/>
    <n v="16.249998000000001"/>
    <n v="2.7083330000000001"/>
    <n v="0.17499999999999999"/>
    <n v="1.0499999999999998"/>
    <n v="120.25000199999999"/>
  </r>
  <r>
    <x v="235"/>
    <x v="8"/>
    <s v="CASTILLO YAQUE SONIA ROXANA"/>
    <s v="001-001-000000565"/>
    <s v="Arquitectos"/>
    <x v="73"/>
    <n v="17"/>
    <x v="22"/>
    <n v="466.48199999999997"/>
    <n v="69.971999999999994"/>
    <n v="396.51"/>
    <n v="46.437199999999997"/>
    <n v="2.7315999999999998"/>
    <n v="0.17499999999999999"/>
    <n v="2.9749999999999996"/>
    <n v="350.07279999999997"/>
  </r>
  <r>
    <x v="243"/>
    <x v="8"/>
    <s v="OFICINA"/>
    <s v="001-001-000000895"/>
    <s v="Distribuidores"/>
    <x v="20"/>
    <n v="6"/>
    <x v="22"/>
    <n v="155.27600000000001"/>
    <n v="69.876000000000005"/>
    <n v="85.4"/>
    <n v="16.389600000000002"/>
    <n v="2.7316000000000003"/>
    <n v="0.17499999999999999"/>
    <n v="1.0499999999999998"/>
    <n v="69.010400000000004"/>
  </r>
  <r>
    <x v="245"/>
    <x v="8"/>
    <s v="OFICINA"/>
    <s v="001-001-000000205"/>
    <s v="Distribuidores"/>
    <x v="20"/>
    <n v="2"/>
    <x v="23"/>
    <n v="70"/>
    <n v="24.5"/>
    <n v="45.5"/>
    <n v="6.5640000000000001"/>
    <n v="3.282"/>
    <n v="0.17499999999999999"/>
    <n v="0.35"/>
    <n v="38.936"/>
  </r>
  <r>
    <x v="246"/>
    <x v="8"/>
    <s v="OFICINA"/>
    <s v="001-001-000000211"/>
    <s v="Distribuidores"/>
    <x v="20"/>
    <n v="3"/>
    <x v="23"/>
    <n v="105"/>
    <n v="36.75"/>
    <n v="68.25"/>
    <n v="9.8460000000000001"/>
    <n v="3.282"/>
    <n v="0.17499999999999999"/>
    <n v="0.52499999999999991"/>
    <n v="58.403999999999996"/>
  </r>
  <r>
    <x v="211"/>
    <x v="8"/>
    <s v="MOPOSITA GUITARRA ENMA PATRICIA"/>
    <s v="001-001-000000156"/>
    <s v="Constructores"/>
    <x v="140"/>
    <n v="2"/>
    <x v="24"/>
    <n v="70"/>
    <n v="0"/>
    <n v="70"/>
    <n v="2.38"/>
    <n v="1.19"/>
    <n v="0.123"/>
    <n v="0.246"/>
    <n v="67.62"/>
  </r>
  <r>
    <x v="26"/>
    <x v="8"/>
    <s v="SERRANO GARRIDO GIOVANNA DEL ROCIO"/>
    <s v="001-001-000000014"/>
    <s v="Distribuidores"/>
    <x v="20"/>
    <n v="2"/>
    <x v="25"/>
    <n v="70"/>
    <n v="24.5"/>
    <n v="45.5"/>
    <n v="3.67"/>
    <n v="1.835"/>
    <n v="0.123"/>
    <n v="0.246"/>
    <n v="41.83"/>
  </r>
  <r>
    <x v="68"/>
    <x v="8"/>
    <s v="OFICINA"/>
    <s v="001-001-000000245"/>
    <s v="Distribuidores"/>
    <x v="20"/>
    <n v="2"/>
    <x v="25"/>
    <n v="70"/>
    <n v="24.5"/>
    <n v="45.5"/>
    <n v="2.6"/>
    <n v="1.3"/>
    <n v="0.123"/>
    <n v="0.246"/>
    <n v="42.9"/>
  </r>
  <r>
    <x v="218"/>
    <x v="8"/>
    <s v="CASTILLO YAQUE SONIA ROXANA"/>
    <s v="001-001-000000309"/>
    <s v="Distribuidores"/>
    <x v="20"/>
    <n v="5"/>
    <x v="25"/>
    <n v="175"/>
    <n v="61.25"/>
    <n v="113.75"/>
    <n v="6.5"/>
    <n v="1.3"/>
    <n v="0.123"/>
    <n v="0.61499999999999999"/>
    <n v="107.25"/>
  </r>
  <r>
    <x v="220"/>
    <x v="8"/>
    <s v="MOPOSITA GUITARRA ENMA PATRICIA"/>
    <s v="001-001-000000381"/>
    <s v="Distribuidores"/>
    <x v="20"/>
    <n v="1"/>
    <x v="25"/>
    <n v="35"/>
    <n v="12.25"/>
    <n v="22.75"/>
    <n v="1.3"/>
    <n v="1.3"/>
    <n v="0.123"/>
    <n v="0.123"/>
    <n v="21.45"/>
  </r>
  <r>
    <x v="231"/>
    <x v="8"/>
    <s v="MOPOSITA GUITARRA ENMA PATRICIA"/>
    <s v="001-001-000000295"/>
    <s v="Distribuidores"/>
    <x v="20"/>
    <n v="1"/>
    <x v="26"/>
    <n v="35"/>
    <n v="12.25"/>
    <n v="22.75"/>
    <n v="2.99"/>
    <n v="2.99"/>
    <n v="0.123"/>
    <n v="0.123"/>
    <n v="19.759999999999998"/>
  </r>
  <r>
    <x v="233"/>
    <x v="8"/>
    <s v="ANDRADE CHECA DIANA LUCIA"/>
    <s v="001-001-000000399"/>
    <s v="Directo"/>
    <x v="148"/>
    <n v="1"/>
    <x v="26"/>
    <n v="35"/>
    <n v="8.75"/>
    <n v="26.25"/>
    <n v="2.99"/>
    <n v="2.99"/>
    <n v="0.123"/>
    <n v="0.123"/>
    <n v="23.259999999999998"/>
  </r>
  <r>
    <x v="234"/>
    <x v="8"/>
    <s v="MOPOSITA GUITARRA ENMA PATRICIA"/>
    <s v="001-001-000000529"/>
    <s v="Distribuidores"/>
    <x v="20"/>
    <n v="3"/>
    <x v="26"/>
    <n v="77.644000000000005"/>
    <n v="27.173999999999999"/>
    <n v="50.47"/>
    <n v="7.62"/>
    <n v="2.54"/>
    <n v="0.123"/>
    <n v="0.36899999999999999"/>
    <n v="42.85"/>
  </r>
  <r>
    <x v="194"/>
    <x v="8"/>
    <s v="OFICINA"/>
    <s v="001-001-000000639"/>
    <s v="Distribuidores"/>
    <x v="20"/>
    <n v="1"/>
    <x v="26"/>
    <n v="25.876000000000001"/>
    <n v="11.646000000000001"/>
    <n v="14.23"/>
    <n v="2.5299999999999998"/>
    <n v="2.5299999999999998"/>
    <n v="0.123"/>
    <n v="0.123"/>
    <n v="11.700000000000001"/>
  </r>
  <r>
    <x v="128"/>
    <x v="8"/>
    <s v="OFICINA"/>
    <s v="001-001-000000640"/>
    <s v="Directo"/>
    <x v="105"/>
    <n v="2"/>
    <x v="26"/>
    <n v="51.758000000000003"/>
    <n v="2.5880000000000001"/>
    <n v="49.17"/>
    <n v="5.0488879999999998"/>
    <n v="2.5244439999999999"/>
    <n v="0.123"/>
    <n v="0.246"/>
    <n v="44.121112000000004"/>
  </r>
  <r>
    <x v="237"/>
    <x v="8"/>
    <s v="OFICINA"/>
    <s v="001-001-000000669"/>
    <s v="Distribuidores"/>
    <x v="21"/>
    <n v="2"/>
    <x v="26"/>
    <n v="51.762"/>
    <n v="23.292000000000002"/>
    <n v="28.47"/>
    <n v="5.1109419999999997"/>
    <n v="2.5554709999999998"/>
    <n v="0.123"/>
    <n v="0.246"/>
    <n v="23.359057999999997"/>
  </r>
  <r>
    <x v="211"/>
    <x v="8"/>
    <s v="MOPOSITA GUITARRA ENMA PATRICIA"/>
    <s v="001-001-000000156"/>
    <s v="Constructores"/>
    <x v="140"/>
    <n v="6"/>
    <x v="27"/>
    <n v="210"/>
    <n v="0"/>
    <n v="210"/>
    <n v="8.9700000000000006"/>
    <n v="1.4950000000000001"/>
    <n v="0.123"/>
    <n v="0.73799999999999999"/>
    <n v="201.03"/>
  </r>
  <r>
    <x v="212"/>
    <x v="8"/>
    <s v="MOPOSITA GUITARRA ENMA PATRICIA"/>
    <s v="001-001-000000202"/>
    <s v="Distribuidores"/>
    <x v="141"/>
    <n v="6"/>
    <x v="27"/>
    <n v="210"/>
    <n v="63"/>
    <n v="147"/>
    <n v="8.9700000000000006"/>
    <n v="1.4950000000000001"/>
    <n v="0.123"/>
    <n v="0.73799999999999999"/>
    <n v="138.03"/>
  </r>
  <r>
    <x v="86"/>
    <x v="8"/>
    <s v="MOPOSITA GUITARRA ENMA PATRICIA"/>
    <s v="001-001-000000330"/>
    <s v="Distribuidores"/>
    <x v="141"/>
    <n v="1"/>
    <x v="27"/>
    <n v="35"/>
    <n v="10.5"/>
    <n v="24.5"/>
    <n v="1.3666670000000001"/>
    <n v="1.3666670000000001"/>
    <n v="0.123"/>
    <n v="0.123"/>
    <n v="23.133333"/>
  </r>
  <r>
    <x v="24"/>
    <x v="8"/>
    <s v="OFICINA"/>
    <s v="001-001-000000008"/>
    <s v="Distribuidores"/>
    <x v="4"/>
    <n v="18"/>
    <x v="28"/>
    <n v="630"/>
    <n v="126"/>
    <n v="504"/>
    <n v="26.44875"/>
    <n v="1.4693750000000001"/>
    <n v="0.123"/>
    <n v="2.214"/>
    <n v="477.55124999999998"/>
  </r>
  <r>
    <x v="26"/>
    <x v="8"/>
    <s v="SERRANO GARRIDO GIOVANNA DEL ROCIO"/>
    <s v="001-001-000000014"/>
    <s v="Distribuidores"/>
    <x v="20"/>
    <n v="6"/>
    <x v="28"/>
    <n v="210"/>
    <n v="73.5"/>
    <n v="136.5"/>
    <n v="8.6999999999999993"/>
    <n v="1.45"/>
    <n v="0.123"/>
    <n v="0.73799999999999999"/>
    <n v="127.8"/>
  </r>
  <r>
    <x v="28"/>
    <x v="8"/>
    <s v="BALLADARES PEREZ REINA JACQUELINE"/>
    <s v="001-001-000000018"/>
    <s v="Directo"/>
    <x v="9"/>
    <n v="4"/>
    <x v="28"/>
    <n v="140"/>
    <n v="7"/>
    <n v="133"/>
    <n v="5.8"/>
    <n v="1.45"/>
    <n v="0.123"/>
    <n v="0.49199999999999999"/>
    <n v="127.2"/>
  </r>
  <r>
    <x v="213"/>
    <x v="8"/>
    <s v="SERRANO GARRIDO GIOVANNA DEL ROCIO"/>
    <s v="001-001-000000076"/>
    <s v="Distribuidores"/>
    <x v="20"/>
    <n v="4"/>
    <x v="28"/>
    <n v="140"/>
    <n v="49"/>
    <n v="91"/>
    <n v="8.9700000000000006"/>
    <n v="2.2425000000000002"/>
    <n v="0.123"/>
    <n v="0.49199999999999999"/>
    <n v="82.03"/>
  </r>
  <r>
    <x v="213"/>
    <x v="8"/>
    <s v="SERRANO GARRIDO GIOVANNA DEL ROCIO"/>
    <s v="001-001-000000077"/>
    <s v="Distribuidores"/>
    <x v="20"/>
    <n v="4"/>
    <x v="28"/>
    <n v="140"/>
    <n v="49"/>
    <n v="91"/>
    <n v="8.9700000000000006"/>
    <n v="2.2425000000000002"/>
    <n v="0.123"/>
    <n v="0.49199999999999999"/>
    <n v="82.03"/>
  </r>
  <r>
    <x v="44"/>
    <x v="8"/>
    <s v="MOPOSITA GUITARRA ENMA PATRICIA"/>
    <s v="001-001-000000123"/>
    <s v="Directo"/>
    <x v="31"/>
    <n v="2"/>
    <x v="28"/>
    <n v="70"/>
    <n v="0"/>
    <n v="70"/>
    <n v="3.22"/>
    <n v="1.61"/>
    <n v="0.123"/>
    <n v="0.246"/>
    <n v="66.78"/>
  </r>
  <r>
    <x v="215"/>
    <x v="8"/>
    <s v="SERRANO GARRIDO GIOVANNA DEL ROCIO"/>
    <s v="001-001-000000144"/>
    <s v="Distribuidores"/>
    <x v="20"/>
    <n v="2"/>
    <x v="28"/>
    <n v="70"/>
    <n v="24.5"/>
    <n v="45.5"/>
    <n v="2.9649999999999999"/>
    <n v="1.4824999999999999"/>
    <n v="0.123"/>
    <n v="0.246"/>
    <n v="42.534999999999997"/>
  </r>
  <r>
    <x v="48"/>
    <x v="8"/>
    <s v="SERRANO GARRIDO GIOVANNA DEL ROCIO"/>
    <s v="001-001-000000150"/>
    <s v="Distribuidores"/>
    <x v="20"/>
    <n v="2"/>
    <x v="28"/>
    <n v="70"/>
    <n v="24.5"/>
    <n v="45.5"/>
    <n v="2.9649999999999999"/>
    <n v="1.4824999999999999"/>
    <n v="0.123"/>
    <n v="0.246"/>
    <n v="42.534999999999997"/>
  </r>
  <r>
    <x v="52"/>
    <x v="8"/>
    <s v="MOPOSITA GUITARRA ENMA PATRICIA"/>
    <s v="001-001-000000171"/>
    <s v="Directo"/>
    <x v="41"/>
    <n v="4"/>
    <x v="28"/>
    <n v="140"/>
    <n v="14"/>
    <n v="126"/>
    <n v="13.88"/>
    <n v="3.47"/>
    <n v="0.123"/>
    <n v="0.49199999999999999"/>
    <n v="112.12"/>
  </r>
  <r>
    <x v="212"/>
    <x v="8"/>
    <s v="OFICINA"/>
    <s v="001-001-000000200"/>
    <s v="Directo"/>
    <x v="143"/>
    <n v="4"/>
    <x v="28"/>
    <n v="140"/>
    <n v="49"/>
    <n v="91"/>
    <n v="13.13"/>
    <n v="3.2825000000000002"/>
    <n v="0.123"/>
    <n v="0.49199999999999999"/>
    <n v="77.87"/>
  </r>
  <r>
    <x v="216"/>
    <x v="8"/>
    <s v="MOPOSITA GUITARRA ENMA PATRICIA"/>
    <s v="001-001-000000214"/>
    <s v="Constructores"/>
    <x v="144"/>
    <n v="4"/>
    <x v="28"/>
    <n v="140"/>
    <n v="0"/>
    <n v="140"/>
    <n v="13.133331999999999"/>
    <n v="3.2833329999999998"/>
    <n v="0.123"/>
    <n v="0.49199999999999999"/>
    <n v="126.866668"/>
  </r>
  <r>
    <x v="216"/>
    <x v="8"/>
    <s v="OFICINA"/>
    <s v="001-001-000000217"/>
    <s v="Distribuidores"/>
    <x v="20"/>
    <n v="2"/>
    <x v="28"/>
    <n v="70"/>
    <n v="24.5"/>
    <n v="45.5"/>
    <n v="6.5666659999999997"/>
    <n v="3.2833329999999998"/>
    <n v="0.123"/>
    <n v="0.246"/>
    <n v="38.933334000000002"/>
  </r>
  <r>
    <x v="60"/>
    <x v="8"/>
    <s v="MOPOSITA GUITARRA ENMA PATRICIA"/>
    <s v="001-001-000000224"/>
    <s v="Directo"/>
    <x v="48"/>
    <n v="4"/>
    <x v="28"/>
    <n v="140"/>
    <n v="16.8"/>
    <n v="123.2"/>
    <n v="13.133331999999999"/>
    <n v="3.2833329999999998"/>
    <n v="0.123"/>
    <n v="0.49199999999999999"/>
    <n v="110.06666800000001"/>
  </r>
  <r>
    <x v="68"/>
    <x v="8"/>
    <s v="OFICINA"/>
    <s v="001-001-000000245"/>
    <s v="Distribuidores"/>
    <x v="20"/>
    <n v="6"/>
    <x v="28"/>
    <n v="210"/>
    <n v="73.5"/>
    <n v="136.5"/>
    <n v="19.699998000000001"/>
    <n v="3.2833330000000003"/>
    <n v="0.123"/>
    <n v="0.73799999999999999"/>
    <n v="116.80000200000001"/>
  </r>
  <r>
    <x v="217"/>
    <x v="8"/>
    <s v="MOPOSITA GUITARRA ENMA PATRICIA"/>
    <s v="001-001-000000247"/>
    <s v="Distribuidores"/>
    <x v="20"/>
    <n v="3"/>
    <x v="28"/>
    <n v="105"/>
    <n v="36.75"/>
    <n v="68.25"/>
    <n v="9.8499990000000004"/>
    <n v="3.2833330000000003"/>
    <n v="0.123"/>
    <n v="0.36899999999999999"/>
    <n v="58.400001000000003"/>
  </r>
  <r>
    <x v="219"/>
    <x v="8"/>
    <s v="CASTILLO YAQUE SONIA ROXANA"/>
    <s v="001-001-000000357"/>
    <s v="Distribuidores"/>
    <x v="20"/>
    <n v="3"/>
    <x v="28"/>
    <n v="105"/>
    <n v="36.75"/>
    <n v="68.25"/>
    <n v="9.6099990000000002"/>
    <n v="3.2033330000000002"/>
    <n v="0.123"/>
    <n v="0.36899999999999999"/>
    <n v="58.640000999999998"/>
  </r>
  <r>
    <x v="220"/>
    <x v="8"/>
    <s v="MOPOSITA GUITARRA ENMA PATRICIA"/>
    <s v="001-001-000000381"/>
    <s v="Distribuidores"/>
    <x v="20"/>
    <n v="5"/>
    <x v="28"/>
    <n v="175"/>
    <n v="61.25"/>
    <n v="113.75"/>
    <n v="16.208335000000002"/>
    <n v="3.2416670000000005"/>
    <n v="0.123"/>
    <n v="0.61499999999999999"/>
    <n v="97.541664999999995"/>
  </r>
  <r>
    <x v="222"/>
    <x v="8"/>
    <s v="MOPOSITA GUITARRA ENMA PATRICIA"/>
    <s v="001-001-000000515"/>
    <s v="Distribuidores"/>
    <x v="21"/>
    <n v="2"/>
    <x v="28"/>
    <n v="51.756"/>
    <n v="18.116"/>
    <n v="33.64"/>
    <n v="6.1725000000000003"/>
    <n v="3.0862500000000002"/>
    <n v="0.123"/>
    <n v="0.246"/>
    <n v="27.467500000000001"/>
  </r>
  <r>
    <x v="132"/>
    <x v="8"/>
    <s v="OFICINA"/>
    <s v="001-001-000000658"/>
    <s v="Distribuidores"/>
    <x v="21"/>
    <n v="6"/>
    <x v="28"/>
    <n v="155.27800000000002"/>
    <n v="54.347999999999999"/>
    <n v="100.93"/>
    <n v="16.293216000000001"/>
    <n v="2.7155360000000002"/>
    <n v="0.123"/>
    <n v="0.73799999999999999"/>
    <n v="84.636784000000006"/>
  </r>
  <r>
    <x v="160"/>
    <x v="8"/>
    <s v="OFICINA"/>
    <s v="001-001-000000880"/>
    <s v="Distribuidores"/>
    <x v="125"/>
    <n v="4"/>
    <x v="28"/>
    <n v="103.52"/>
    <n v="25.88"/>
    <n v="77.64"/>
    <n v="10.889764"/>
    <n v="2.7224409999999999"/>
    <n v="0.123"/>
    <n v="0.49199999999999999"/>
    <n v="66.750236000000001"/>
  </r>
  <r>
    <x v="2"/>
    <x v="8"/>
    <s v="SERRANO GARRIDO GIOVANNA DEL ROCIO"/>
    <s v="001-001-000000072"/>
    <s v="Distribuidores"/>
    <x v="21"/>
    <n v="2"/>
    <x v="29"/>
    <n v="70"/>
    <n v="24.5"/>
    <n v="45.5"/>
    <n v="2.2799999999999998"/>
    <n v="1.1399999999999999"/>
    <n v="0.123"/>
    <n v="0.246"/>
    <n v="43.22"/>
  </r>
  <r>
    <x v="77"/>
    <x v="8"/>
    <s v="ANDRADE CHECA DIANA LUCIA"/>
    <s v="001-001-000000280"/>
    <s v="Directo"/>
    <x v="61"/>
    <n v="4"/>
    <x v="29"/>
    <n v="140"/>
    <n v="0"/>
    <n v="140"/>
    <n v="4.68"/>
    <n v="1.17"/>
    <n v="0.123"/>
    <n v="0.49199999999999999"/>
    <n v="135.32"/>
  </r>
  <r>
    <x v="219"/>
    <x v="8"/>
    <s v="MOPOSITA GUITARRA ENMA PATRICIA"/>
    <s v="001-001-000000358"/>
    <s v="Distribuidores"/>
    <x v="20"/>
    <n v="2"/>
    <x v="29"/>
    <n v="70"/>
    <n v="24.5"/>
    <n v="45.5"/>
    <n v="2.3112499999999998"/>
    <n v="1.1556249999999999"/>
    <n v="0.123"/>
    <n v="0.246"/>
    <n v="43.188749999999999"/>
  </r>
  <r>
    <x v="12"/>
    <x v="8"/>
    <s v="MOPOSITA GUITARRA ENMA PATRICIA"/>
    <s v="001-001-000000378"/>
    <s v="Distribuidores"/>
    <x v="21"/>
    <n v="2"/>
    <x v="29"/>
    <n v="70"/>
    <n v="24.5"/>
    <n v="45.5"/>
    <n v="2.3087499999999999"/>
    <n v="1.1543749999999999"/>
    <n v="0.123"/>
    <n v="0.246"/>
    <n v="43.191249999999997"/>
  </r>
  <r>
    <x v="225"/>
    <x v="8"/>
    <s v="OFICINA"/>
    <s v="001-001-000000582"/>
    <s v="Distribuidores"/>
    <x v="21"/>
    <n v="5"/>
    <x v="29"/>
    <n v="129.4"/>
    <n v="45.29"/>
    <n v="84.11"/>
    <n v="7.7732150000000004"/>
    <n v="1.554643"/>
    <n v="0.123"/>
    <n v="0.61499999999999999"/>
    <n v="76.336784999999992"/>
  </r>
  <r>
    <x v="227"/>
    <x v="8"/>
    <s v="OFICINA"/>
    <s v="001-001-000000806"/>
    <s v="Directo"/>
    <x v="147"/>
    <n v="3"/>
    <x v="29"/>
    <n v="59.637999999999998"/>
    <n v="26.838000000000001"/>
    <n v="32.799999999999997"/>
    <n v="4.6639290000000004"/>
    <n v="1.5546430000000002"/>
    <n v="0.123"/>
    <n v="0.36899999999999999"/>
    <n v="28.136070999999998"/>
  </r>
  <r>
    <x v="228"/>
    <x v="8"/>
    <s v="SERRANO GARRIDO GIOVANNA DEL ROCIO"/>
    <s v="001-001-000000062"/>
    <s v="Distribuidores"/>
    <x v="20"/>
    <n v="4"/>
    <x v="30"/>
    <n v="140"/>
    <n v="49"/>
    <n v="91"/>
    <n v="6.82"/>
    <n v="1.7050000000000001"/>
    <n v="0.123"/>
    <n v="0.49199999999999999"/>
    <n v="84.18"/>
  </r>
  <r>
    <x v="230"/>
    <x v="8"/>
    <s v="MOPOSITA GUITARRA ENMA PATRICIA"/>
    <s v="001-001-000000275"/>
    <s v="Distribuidores"/>
    <x v="20"/>
    <n v="4"/>
    <x v="30"/>
    <n v="140"/>
    <n v="49"/>
    <n v="91"/>
    <n v="7.18"/>
    <n v="1.7949999999999999"/>
    <n v="0.123"/>
    <n v="0.49199999999999999"/>
    <n v="83.82"/>
  </r>
  <r>
    <x v="231"/>
    <x v="8"/>
    <s v="MOPOSITA GUITARRA ENMA PATRICIA"/>
    <s v="001-001-000000295"/>
    <s v="Distribuidores"/>
    <x v="20"/>
    <n v="5"/>
    <x v="30"/>
    <n v="175"/>
    <n v="61.25"/>
    <n v="113.75"/>
    <n v="9.0666650000000004"/>
    <n v="1.8133330000000001"/>
    <n v="0.123"/>
    <n v="0.61499999999999999"/>
    <n v="104.683335"/>
  </r>
  <r>
    <x v="233"/>
    <x v="8"/>
    <s v="ANDRADE CHECA DIANA LUCIA"/>
    <s v="001-001-000000399"/>
    <s v="Directo"/>
    <x v="148"/>
    <n v="5"/>
    <x v="30"/>
    <n v="175"/>
    <n v="43.75"/>
    <n v="131.25"/>
    <n v="9.7388899999999996"/>
    <n v="1.947778"/>
    <n v="0.123"/>
    <n v="0.61499999999999999"/>
    <n v="121.51111"/>
  </r>
  <r>
    <x v="247"/>
    <x v="8"/>
    <s v="MOPOSITA GUITARRA ENMA PATRICIA"/>
    <s v="001-001-000000544"/>
    <s v="Distribuidores"/>
    <x v="20"/>
    <n v="3"/>
    <x v="30"/>
    <n v="77.638000000000005"/>
    <n v="34.938000000000002"/>
    <n v="42.7"/>
    <n v="7.1018160000000004"/>
    <n v="2.3672720000000003"/>
    <n v="0.123"/>
    <n v="0.36899999999999999"/>
    <n v="35.598184000000003"/>
  </r>
  <r>
    <x v="121"/>
    <x v="8"/>
    <s v="OFICINA"/>
    <s v="001-001-000000598"/>
    <s v="Distribuidores"/>
    <x v="20"/>
    <n v="1"/>
    <x v="30"/>
    <n v="25.876000000000001"/>
    <n v="11.646000000000001"/>
    <n v="14.23"/>
    <n v="2.6029089999999999"/>
    <n v="2.6029089999999999"/>
    <n v="0.123"/>
    <n v="0.123"/>
    <n v="11.627091"/>
  </r>
  <r>
    <x v="169"/>
    <x v="8"/>
    <s v="OFICINA"/>
    <s v="001-001-000000621"/>
    <s v="Distribuidores"/>
    <x v="20"/>
    <n v="4"/>
    <x v="30"/>
    <n v="103.524"/>
    <n v="46.584000000000003"/>
    <n v="56.94"/>
    <n v="10.52088"/>
    <n v="2.63022"/>
    <n v="0.123"/>
    <n v="0.49199999999999999"/>
    <n v="46.419119999999999"/>
  </r>
  <r>
    <x v="236"/>
    <x v="8"/>
    <s v="OFICINA"/>
    <s v="001-001-000000623"/>
    <s v="Distribuidores"/>
    <x v="21"/>
    <n v="4"/>
    <x v="30"/>
    <n v="103.52200000000001"/>
    <n v="36.231999999999999"/>
    <n v="67.290000000000006"/>
    <n v="10.52088"/>
    <n v="2.63022"/>
    <n v="0.123"/>
    <n v="0.49199999999999999"/>
    <n v="56.769120000000008"/>
  </r>
  <r>
    <x v="194"/>
    <x v="8"/>
    <s v="OFICINA"/>
    <s v="001-001-000000639"/>
    <s v="Distribuidores"/>
    <x v="20"/>
    <n v="4"/>
    <x v="30"/>
    <n v="103.524"/>
    <n v="46.584000000000003"/>
    <n v="56.94"/>
    <n v="10.596704000000001"/>
    <n v="2.6491760000000002"/>
    <n v="0.123"/>
    <n v="0.49199999999999999"/>
    <n v="46.343295999999995"/>
  </r>
  <r>
    <x v="128"/>
    <x v="8"/>
    <s v="OFICINA"/>
    <s v="001-001-000000640"/>
    <s v="Directo"/>
    <x v="105"/>
    <n v="6"/>
    <x v="30"/>
    <n v="155.28400000000002"/>
    <n v="7.7640000000000002"/>
    <n v="147.52000000000001"/>
    <n v="15.641909999999999"/>
    <n v="2.6069849999999999"/>
    <n v="0.123"/>
    <n v="0.73799999999999999"/>
    <n v="131.87809000000001"/>
  </r>
  <r>
    <x v="129"/>
    <x v="8"/>
    <s v="OFICINA"/>
    <s v="001-001-000000643"/>
    <s v="Distribuidores"/>
    <x v="20"/>
    <n v="4"/>
    <x v="30"/>
    <n v="103.524"/>
    <n v="46.584000000000003"/>
    <n v="56.94"/>
    <n v="10.420676"/>
    <n v="2.6051690000000001"/>
    <n v="0.123"/>
    <n v="0.49199999999999999"/>
    <n v="46.519323999999997"/>
  </r>
  <r>
    <x v="129"/>
    <x v="8"/>
    <s v="OFICINA"/>
    <s v="001-001-000000645"/>
    <s v="Distribuidores"/>
    <x v="21"/>
    <n v="4"/>
    <x v="30"/>
    <n v="103.52200000000001"/>
    <n v="36.231999999999999"/>
    <n v="67.290000000000006"/>
    <n v="10.420676"/>
    <n v="2.6051690000000001"/>
    <n v="0.123"/>
    <n v="0.49199999999999999"/>
    <n v="56.869324000000006"/>
  </r>
  <r>
    <x v="237"/>
    <x v="8"/>
    <s v="OFICINA"/>
    <s v="001-001-000000669"/>
    <s v="Distribuidores"/>
    <x v="21"/>
    <n v="5"/>
    <x v="30"/>
    <n v="129.4"/>
    <n v="58.23"/>
    <n v="71.17"/>
    <n v="12.99386"/>
    <n v="2.5987719999999999"/>
    <n v="0.123"/>
    <n v="0.61499999999999999"/>
    <n v="58.176140000000004"/>
  </r>
  <r>
    <x v="136"/>
    <x v="8"/>
    <s v="JULIO VASQUEZ"/>
    <s v="001-001-000000688"/>
    <s v="Arquitectos"/>
    <x v="103"/>
    <n v="5"/>
    <x v="30"/>
    <n v="129.4"/>
    <n v="38.82"/>
    <n v="90.58"/>
    <n v="12.99386"/>
    <n v="2.5987719999999999"/>
    <n v="0.123"/>
    <n v="0.61499999999999999"/>
    <n v="77.58614"/>
  </r>
  <r>
    <x v="140"/>
    <x v="8"/>
    <s v="OFICINA"/>
    <s v="001-001-000000709"/>
    <s v="Constructores"/>
    <x v="104"/>
    <n v="2"/>
    <x v="30"/>
    <n v="51.764000000000003"/>
    <n v="7.7640000000000002"/>
    <n v="44"/>
    <n v="4.245914"/>
    <n v="2.122957"/>
    <n v="0.123"/>
    <n v="0.246"/>
    <n v="39.754086000000001"/>
  </r>
  <r>
    <x v="238"/>
    <x v="8"/>
    <s v="OFICINA"/>
    <s v="001-001-000000727"/>
    <s v="Distribuidores"/>
    <x v="20"/>
    <n v="2"/>
    <x v="30"/>
    <n v="51.762"/>
    <n v="23.292000000000002"/>
    <n v="28.47"/>
    <n v="4.2054"/>
    <n v="2.1027"/>
    <n v="0.123"/>
    <n v="0.246"/>
    <n v="24.264599999999998"/>
  </r>
  <r>
    <x v="239"/>
    <x v="8"/>
    <s v="OFICINA"/>
    <s v="001-001-000000729"/>
    <s v="Distribuidores"/>
    <x v="20"/>
    <n v="5"/>
    <x v="30"/>
    <n v="129.4"/>
    <n v="58.23"/>
    <n v="71.17"/>
    <n v="10.395334999999999"/>
    <n v="2.0790669999999998"/>
    <n v="0.123"/>
    <n v="0.61499999999999999"/>
    <n v="60.774664999999999"/>
  </r>
  <r>
    <x v="144"/>
    <x v="8"/>
    <s v="OFICINA"/>
    <s v="001-001-000000741"/>
    <s v="Distribuidores"/>
    <x v="115"/>
    <n v="4"/>
    <x v="30"/>
    <n v="103.51599999999999"/>
    <n v="31.056000000000001"/>
    <n v="72.459999999999994"/>
    <n v="8.4712639999999997"/>
    <n v="2.1178159999999999"/>
    <n v="0.123"/>
    <n v="0.49199999999999999"/>
    <n v="63.988735999999996"/>
  </r>
  <r>
    <x v="248"/>
    <x v="8"/>
    <s v="OFICINA"/>
    <s v="001-001-000000748"/>
    <s v="Constructores"/>
    <x v="104"/>
    <n v="2"/>
    <x v="30"/>
    <n v="51.764000000000003"/>
    <n v="7.7640000000000002"/>
    <n v="44"/>
    <n v="5.0774679999999996"/>
    <n v="2.5387339999999998"/>
    <n v="0.123"/>
    <n v="0.246"/>
    <n v="38.922532000000004"/>
  </r>
  <r>
    <x v="240"/>
    <x v="8"/>
    <s v="OFICINA"/>
    <s v="001-001-000000769"/>
    <s v="Distribuidores"/>
    <x v="149"/>
    <n v="4"/>
    <x v="30"/>
    <n v="103.51599999999999"/>
    <n v="31.056000000000001"/>
    <n v="72.459999999999994"/>
    <n v="8.3402999999999992"/>
    <n v="2.0850749999999998"/>
    <n v="0.123"/>
    <n v="0.49199999999999999"/>
    <n v="64.119699999999995"/>
  </r>
  <r>
    <x v="249"/>
    <x v="8"/>
    <s v="OFICINA"/>
    <s v="001-001-000000774"/>
    <s v="Distribuidores"/>
    <x v="21"/>
    <n v="1"/>
    <x v="30"/>
    <n v="25.884"/>
    <n v="7.7640000000000002"/>
    <n v="18.12"/>
    <n v="2.0711490000000001"/>
    <n v="2.0711490000000001"/>
    <n v="0.123"/>
    <n v="0.123"/>
    <n v="16.048850999999999"/>
  </r>
  <r>
    <x v="241"/>
    <x v="8"/>
    <s v="OFICINA"/>
    <s v="001-001-000000802"/>
    <s v="Distribuidores"/>
    <x v="20"/>
    <n v="2"/>
    <x v="30"/>
    <n v="51.762"/>
    <n v="23.292000000000002"/>
    <n v="28.47"/>
    <n v="4.1372020000000003"/>
    <n v="2.0686010000000001"/>
    <n v="0.123"/>
    <n v="0.246"/>
    <n v="24.332797999999997"/>
  </r>
  <r>
    <x v="151"/>
    <x v="8"/>
    <s v="OFICINA"/>
    <s v="001-001-000000804"/>
    <s v="Directo"/>
    <x v="119"/>
    <n v="4"/>
    <x v="30"/>
    <n v="103.51599999999999"/>
    <n v="31.056000000000001"/>
    <n v="72.459999999999994"/>
    <n v="8.2744040000000005"/>
    <n v="2.0686010000000001"/>
    <n v="0.123"/>
    <n v="0.49199999999999999"/>
    <n v="64.18559599999999"/>
  </r>
  <r>
    <x v="250"/>
    <x v="8"/>
    <s v="OFICINA"/>
    <s v="001-001-000000892"/>
    <s v="Distribuidores"/>
    <x v="20"/>
    <n v="4"/>
    <x v="30"/>
    <n v="103.524"/>
    <n v="46.584000000000003"/>
    <n v="56.94"/>
    <n v="8.1220440000000007"/>
    <n v="2.0305110000000002"/>
    <n v="0.123"/>
    <n v="0.49199999999999999"/>
    <n v="48.817955999999995"/>
  </r>
  <r>
    <x v="243"/>
    <x v="8"/>
    <s v="OFICINA"/>
    <s v="001-001-000000895"/>
    <s v="Distribuidores"/>
    <x v="20"/>
    <n v="3"/>
    <x v="30"/>
    <n v="77.638000000000005"/>
    <n v="34.938000000000002"/>
    <n v="42.7"/>
    <n v="6.0915330000000001"/>
    <n v="2.0305110000000002"/>
    <n v="0.123"/>
    <n v="0.36899999999999999"/>
    <n v="36.608467000000005"/>
  </r>
  <r>
    <x v="244"/>
    <x v="8"/>
    <s v="OFICINA"/>
    <s v="001-001-000000906"/>
    <s v="Distribuidores"/>
    <x v="20"/>
    <n v="4"/>
    <x v="30"/>
    <n v="103.524"/>
    <n v="46.584000000000003"/>
    <n v="56.94"/>
    <n v="8.1220440000000007"/>
    <n v="2.0305110000000002"/>
    <n v="0.123"/>
    <n v="0.49199999999999999"/>
    <n v="48.817955999999995"/>
  </r>
  <r>
    <x v="31"/>
    <x v="8"/>
    <s v="SERRANO GARRIDO GIOVANNA DEL ROCIO"/>
    <s v="001-001-000000038"/>
    <s v="Distribuidores"/>
    <x v="20"/>
    <n v="44"/>
    <x v="31"/>
    <n v="1540"/>
    <n v="539"/>
    <n v="1001"/>
    <n v="144.599356"/>
    <n v="3.286349"/>
    <n v="0.5"/>
    <n v="22"/>
    <n v="856.40064400000006"/>
  </r>
  <r>
    <x v="251"/>
    <x v="8"/>
    <s v="SERRANO GARRIDO GIOVANNA DEL ROCIO"/>
    <s v="001-001-000000112"/>
    <s v="Distribuidores"/>
    <x v="21"/>
    <n v="13"/>
    <x v="31"/>
    <n v="455"/>
    <n v="159.25"/>
    <n v="295.75"/>
    <n v="46.5075"/>
    <n v="3.5775000000000001"/>
    <n v="0.5"/>
    <n v="6.5"/>
    <n v="249.24250000000001"/>
  </r>
  <r>
    <x v="48"/>
    <x v="8"/>
    <s v="SERRANO GARRIDO GIOVANNA DEL ROCIO"/>
    <s v="001-001-000000149"/>
    <s v="Distribuidores"/>
    <x v="21"/>
    <n v="4"/>
    <x v="31"/>
    <n v="140"/>
    <n v="49"/>
    <n v="91"/>
    <n v="13.688000000000001"/>
    <n v="3.4220000000000002"/>
    <n v="0.5"/>
    <n v="2"/>
    <n v="77.311999999999998"/>
  </r>
  <r>
    <x v="252"/>
    <x v="8"/>
    <s v="SERRANO GARRIDO GIOVANNA DEL ROCIO"/>
    <s v="001-001-000000183"/>
    <s v="Distribuidores"/>
    <x v="21"/>
    <n v="1"/>
    <x v="31"/>
    <n v="35"/>
    <n v="12.25"/>
    <n v="22.75"/>
    <n v="3.4220000000000002"/>
    <n v="3.4220000000000002"/>
    <n v="0.5"/>
    <n v="0.5"/>
    <n v="19.327999999999999"/>
  </r>
  <r>
    <x v="224"/>
    <x v="8"/>
    <s v="MOPOSITA GUITARRA ENMA PATRICIA"/>
    <s v="001-001-000000333"/>
    <s v="Distribuidores"/>
    <x v="21"/>
    <n v="48"/>
    <x v="32"/>
    <n v="912"/>
    <n v="319.2"/>
    <n v="592.79999999999995"/>
    <n v="74.614943999999994"/>
    <n v="1.5544779999999998"/>
    <n v="0.25"/>
    <n v="12"/>
    <n v="518.18505599999992"/>
  </r>
  <r>
    <x v="13"/>
    <x v="8"/>
    <s v="MOPOSITA GUITARRA ENMA PATRICIA"/>
    <s v="001-001-000000388"/>
    <s v="Distribuidores"/>
    <x v="21"/>
    <n v="3"/>
    <x v="32"/>
    <n v="57"/>
    <n v="19.95"/>
    <n v="37.049999999999997"/>
    <n v="4.7419200000000004"/>
    <n v="1.58064"/>
    <n v="0.25"/>
    <n v="0.75"/>
    <n v="32.308079999999997"/>
  </r>
  <r>
    <x v="133"/>
    <x v="8"/>
    <s v="CASTILLO YAQUE SONIA ROXANA"/>
    <s v="001-001-000000667"/>
    <s v="Arquitectos"/>
    <x v="103"/>
    <n v="28"/>
    <x v="32"/>
    <n v="556.64199999999994"/>
    <n v="166.99199999999999"/>
    <n v="389.65"/>
    <n v="40.533583999999998"/>
    <n v="1.4476279999999999"/>
    <n v="0.25"/>
    <n v="7"/>
    <n v="349.11641599999996"/>
  </r>
  <r>
    <x v="39"/>
    <x v="8"/>
    <s v="SERRANO GARRIDO GIOVANNA DEL ROCIO"/>
    <s v="001-001-000000067"/>
    <s v="Arquitectos"/>
    <x v="23"/>
    <n v="62"/>
    <x v="33"/>
    <n v="1178"/>
    <n v="353.4"/>
    <n v="824.6"/>
    <n v="330.79982200000001"/>
    <n v="5.3354809999999997"/>
    <n v="0.25"/>
    <n v="15.5"/>
    <n v="493.80017800000002"/>
  </r>
  <r>
    <x v="253"/>
    <x v="8"/>
    <s v="ANDRADE CHECA DIANA LUCIA"/>
    <s v="001-001-000000385"/>
    <s v="Arquitectos"/>
    <x v="129"/>
    <n v="15"/>
    <x v="33"/>
    <n v="285"/>
    <n v="99.75"/>
    <n v="185.25"/>
    <n v="82.122794999999996"/>
    <n v="5.4748529999999995"/>
    <n v="0.25"/>
    <n v="3.75"/>
    <n v="103.127205"/>
  </r>
  <r>
    <x v="254"/>
    <x v="8"/>
    <s v="MOPOSITA GUITARRA ENMA PATRICIA"/>
    <s v="001-001-000000229"/>
    <s v="Constructores"/>
    <x v="144"/>
    <n v="120"/>
    <x v="34"/>
    <n v="2280"/>
    <n v="0"/>
    <n v="2280"/>
    <n v="200.48004"/>
    <n v="1.6706670000000001"/>
    <n v="0.25"/>
    <n v="30"/>
    <n v="2079.5199600000001"/>
  </r>
  <r>
    <x v="255"/>
    <x v="8"/>
    <s v="CASTILLO YAQUE SONIA ROXANA"/>
    <s v="001-001-000000470"/>
    <s v="Distribuidores"/>
    <x v="20"/>
    <n v="166"/>
    <x v="34"/>
    <n v="3300.0780000000004"/>
    <n v="1155.028"/>
    <n v="2145.0500000000002"/>
    <n v="298.16040199999998"/>
    <n v="1.7961469999999999"/>
    <n v="0.25"/>
    <n v="41.5"/>
    <n v="1846.8895980000002"/>
  </r>
  <r>
    <x v="120"/>
    <x v="8"/>
    <s v="OFICINA"/>
    <s v="001-001-000000595"/>
    <s v="Directo"/>
    <x v="101"/>
    <n v="28"/>
    <x v="34"/>
    <n v="556.64400000000001"/>
    <n v="55.664000000000001"/>
    <n v="500.98"/>
    <n v="47.119660000000003"/>
    <n v="1.6828450000000001"/>
    <n v="0.25"/>
    <n v="7"/>
    <n v="453.86034000000001"/>
  </r>
  <r>
    <x v="256"/>
    <x v="8"/>
    <s v="OFICINA"/>
    <s v="001-001-000000724"/>
    <s v="Distribuidores"/>
    <x v="20"/>
    <n v="30"/>
    <x v="34"/>
    <n v="596.4"/>
    <n v="268.38"/>
    <n v="328.02"/>
    <n v="54.946440000000003"/>
    <n v="1.8315480000000002"/>
    <n v="0.25"/>
    <n v="7.5"/>
    <n v="273.07355999999999"/>
  </r>
  <r>
    <x v="118"/>
    <x v="8"/>
    <s v="OFICINA"/>
    <s v="001-001-000000586"/>
    <s v="Distribuidores"/>
    <x v="20"/>
    <n v="63"/>
    <x v="35"/>
    <n v="1252.4380000000001"/>
    <n v="563.59799999999996"/>
    <n v="688.84"/>
    <n v="173.38998599999999"/>
    <n v="2.7522219999999997"/>
    <n v="0.25"/>
    <n v="15.75"/>
    <n v="515.45001400000001"/>
  </r>
  <r>
    <x v="257"/>
    <x v="8"/>
    <s v="JULIO VASQUEZ"/>
    <s v="001-001-000000606"/>
    <s v="Distribuidores"/>
    <x v="20"/>
    <n v="4"/>
    <x v="35"/>
    <n v="79.524000000000001"/>
    <n v="35.783999999999999"/>
    <n v="43.74"/>
    <n v="10.32"/>
    <n v="2.58"/>
    <n v="0.25"/>
    <n v="1"/>
    <n v="33.42"/>
  </r>
  <r>
    <x v="136"/>
    <x v="8"/>
    <s v="OFICINA"/>
    <s v="001-001-000000687"/>
    <s v="Distribuidores"/>
    <x v="21"/>
    <n v="87"/>
    <x v="35"/>
    <n v="1729.556"/>
    <n v="605.346"/>
    <n v="1124.21"/>
    <n v="196.43712600000001"/>
    <n v="2.257898"/>
    <n v="0.25"/>
    <n v="21.75"/>
    <n v="927.772874"/>
  </r>
  <r>
    <x v="136"/>
    <x v="8"/>
    <s v="JULIO VASQUEZ"/>
    <s v="001-001-000000688"/>
    <s v="Arquitectos"/>
    <x v="103"/>
    <n v="68"/>
    <x v="35"/>
    <n v="1351.8420000000001"/>
    <n v="405.55200000000002"/>
    <n v="946.29"/>
    <n v="153.53706399999999"/>
    <n v="2.257898"/>
    <n v="0.25"/>
    <n v="17"/>
    <n v="792.75293599999998"/>
  </r>
  <r>
    <x v="145"/>
    <x v="8"/>
    <s v="SERRANO GARRIDO GIOVANNA DEL ROCIO"/>
    <s v="001-001-000000752"/>
    <s v="Distribuidores"/>
    <x v="21"/>
    <n v="24"/>
    <x v="35"/>
    <n v="477.11599999999999"/>
    <n v="143.136"/>
    <n v="333.98"/>
    <n v="53.712240000000001"/>
    <n v="2.2380100000000001"/>
    <n v="0.25"/>
    <n v="6"/>
    <n v="280.26776000000001"/>
  </r>
  <r>
    <x v="250"/>
    <x v="8"/>
    <s v="OFICINA"/>
    <s v="001-001-000000892"/>
    <s v="Distribuidores"/>
    <x v="20"/>
    <n v="58"/>
    <x v="35"/>
    <n v="1153.038"/>
    <n v="518.86800000000005"/>
    <n v="634.16999999999996"/>
    <n v="109.38017000000001"/>
    <n v="1.8858650000000001"/>
    <n v="0.25"/>
    <n v="14.5"/>
    <n v="524.78982999999994"/>
  </r>
  <r>
    <x v="243"/>
    <x v="8"/>
    <s v="OFICINA"/>
    <s v="001-001-000000895"/>
    <s v="Distribuidores"/>
    <x v="20"/>
    <n v="26"/>
    <x v="35"/>
    <n v="516.87599999999998"/>
    <n v="232.596"/>
    <n v="284.27999999999997"/>
    <n v="49.032490000000003"/>
    <n v="1.8858650000000001"/>
    <n v="0.25"/>
    <n v="6.5"/>
    <n v="235.24750999999998"/>
  </r>
  <r>
    <x v="153"/>
    <x v="6"/>
    <s v="OFICINA"/>
    <s v="001-001-000000818"/>
    <s v="Distribuidores"/>
    <x v="45"/>
    <n v="30"/>
    <x v="36"/>
    <n v="558"/>
    <n v="0"/>
    <n v="558"/>
    <n v="391.8"/>
    <n v="13.06"/>
    <n v="1"/>
    <n v="30"/>
    <n v="166.2"/>
  </r>
  <r>
    <x v="156"/>
    <x v="6"/>
    <s v="OFICINA"/>
    <s v="001-001-000000857"/>
    <s v="Distribuidores"/>
    <x v="45"/>
    <n v="1"/>
    <x v="36"/>
    <n v="21.6"/>
    <n v="0"/>
    <n v="21.6"/>
    <n v="13.06"/>
    <n v="13.06"/>
    <n v="1"/>
    <n v="1"/>
    <n v="8.5400000000000009"/>
  </r>
  <r>
    <x v="158"/>
    <x v="6"/>
    <s v="OFICINA"/>
    <s v="001-001-000000862"/>
    <s v="Directo"/>
    <x v="123"/>
    <n v="65"/>
    <x v="36"/>
    <n v="939.9"/>
    <n v="0"/>
    <n v="939.9"/>
    <n v="848.9"/>
    <n v="13.06"/>
    <n v="1"/>
    <n v="65"/>
    <n v="91"/>
  </r>
  <r>
    <x v="205"/>
    <x v="6"/>
    <s v="OFICINA"/>
    <s v="001-001-000000867"/>
    <s v="Distribuidores"/>
    <x v="45"/>
    <n v="3"/>
    <x v="36"/>
    <n v="55.8"/>
    <n v="0"/>
    <n v="55.8"/>
    <n v="39.18"/>
    <n v="13.06"/>
    <n v="1"/>
    <n v="3"/>
    <n v="16.619999999999997"/>
  </r>
  <r>
    <x v="258"/>
    <x v="6"/>
    <s v="OFICINA"/>
    <s v="001-001-000000556"/>
    <s v="Directo"/>
    <x v="152"/>
    <n v="20"/>
    <x v="37"/>
    <n v="122.48"/>
    <n v="0"/>
    <n v="122.48"/>
    <n v="104"/>
    <n v="5.2"/>
    <n v="1"/>
    <n v="20"/>
    <n v="18.480000000000004"/>
  </r>
  <r>
    <x v="125"/>
    <x v="6"/>
    <s v="OFICINA"/>
    <s v="001-001-000000633"/>
    <s v="Distribuidores"/>
    <x v="45"/>
    <n v="6"/>
    <x v="37"/>
    <n v="42.12"/>
    <n v="0"/>
    <n v="42.12"/>
    <n v="31.2"/>
    <n v="5.2"/>
    <n v="1"/>
    <n v="6"/>
    <n v="10.919999999999998"/>
  </r>
  <r>
    <x v="138"/>
    <x v="6"/>
    <s v="OFICINA"/>
    <s v="001-001-000000695"/>
    <s v="Distribuidores"/>
    <x v="45"/>
    <n v="3"/>
    <x v="37"/>
    <n v="21.06"/>
    <n v="0"/>
    <n v="21.06"/>
    <n v="15.6"/>
    <n v="5.2"/>
    <n v="1"/>
    <n v="3"/>
    <n v="5.4599999999999991"/>
  </r>
  <r>
    <x v="259"/>
    <x v="6"/>
    <s v="CASTILLO YAQUE SONIA ROXANA"/>
    <s v="001-001-000000518"/>
    <s v="Arquitectos"/>
    <x v="103"/>
    <n v="5"/>
    <x v="38"/>
    <n v="43.1"/>
    <n v="4.3099999999999996"/>
    <n v="38.79"/>
    <n v="38.549999999999997"/>
    <n v="7.7099999999999991"/>
    <n v="1"/>
    <n v="5"/>
    <n v="0.24000000000000199"/>
  </r>
  <r>
    <x v="260"/>
    <x v="6"/>
    <s v="OFICINA"/>
    <s v="001-001-000000554"/>
    <s v="Arquitectos"/>
    <x v="103"/>
    <n v="1"/>
    <x v="38"/>
    <n v="9.0451000000000015"/>
    <n v="0.90510000000000002"/>
    <n v="8.14"/>
    <n v="7.71"/>
    <n v="7.71"/>
    <n v="1"/>
    <n v="1"/>
    <n v="0.4300000000000006"/>
  </r>
  <r>
    <x v="227"/>
    <x v="6"/>
    <s v="OFICINA"/>
    <s v="001-001-000000806"/>
    <s v="Directo"/>
    <x v="147"/>
    <n v="8"/>
    <x v="38"/>
    <n v="80"/>
    <n v="0"/>
    <n v="80"/>
    <n v="61.68"/>
    <n v="7.71"/>
    <n v="1"/>
    <n v="8"/>
    <n v="18.32"/>
  </r>
  <r>
    <x v="261"/>
    <x v="4"/>
    <s v="MOPOSITA GUITARRA ENMA PATRICIA"/>
    <s v="001-001-000000298"/>
    <s v="Distribuidores"/>
    <x v="20"/>
    <n v="4.5"/>
    <x v="39"/>
    <n v="198.905"/>
    <n v="89.504999999999995"/>
    <n v="109.4"/>
    <n v="17.684041499999999"/>
    <n v="3.9297869999999997"/>
    <n v="1"/>
    <n v="4.5"/>
    <n v="91.715958499999999"/>
  </r>
  <r>
    <x v="259"/>
    <x v="4"/>
    <s v="CASTILLO YAQUE SONIA ROXANA"/>
    <s v="001-001-000000518"/>
    <s v="Arquitectos"/>
    <x v="103"/>
    <n v="6"/>
    <x v="40"/>
    <n v="206.10000000000002"/>
    <n v="61.83"/>
    <n v="144.27000000000001"/>
    <n v="24.45"/>
    <n v="4.0750000000000002"/>
    <n v="1"/>
    <n v="6"/>
    <n v="119.82000000000001"/>
  </r>
  <r>
    <x v="260"/>
    <x v="4"/>
    <s v="OFICINA"/>
    <s v="001-001-000000554"/>
    <s v="Arquitectos"/>
    <x v="103"/>
    <n v="5"/>
    <x v="40"/>
    <n v="180.34125"/>
    <n v="54.10125"/>
    <n v="126.24"/>
    <n v="20.356854999999999"/>
    <n v="4.0713710000000001"/>
    <n v="1"/>
    <n v="5"/>
    <n v="105.883145"/>
  </r>
  <r>
    <x v="120"/>
    <x v="4"/>
    <s v="OFICINA"/>
    <s v="001-001-000000593"/>
    <s v="Directo"/>
    <x v="99"/>
    <n v="16.5"/>
    <x v="40"/>
    <n v="566.77750000000003"/>
    <n v="56.677500000000002"/>
    <n v="510.1"/>
    <n v="68.154668999999998"/>
    <n v="4.1305860000000001"/>
    <n v="1"/>
    <n v="16.5"/>
    <n v="441.94533100000001"/>
  </r>
  <r>
    <x v="23"/>
    <x v="4"/>
    <s v="BALLADARES PEREZ REINA JACQUELINE"/>
    <s v="001-001-000000001"/>
    <s v="Directo"/>
    <x v="153"/>
    <n v="3"/>
    <x v="41"/>
    <n v="132.6"/>
    <n v="0"/>
    <n v="132.6"/>
    <n v="0"/>
    <n v="0"/>
    <n v="1"/>
    <n v="3"/>
    <n v="132.6"/>
  </r>
  <r>
    <x v="66"/>
    <x v="9"/>
    <s v="ANDRADE CHECA DIANA LUCIA"/>
    <s v="001-001-000000241"/>
    <s v="Directo"/>
    <x v="54"/>
    <n v="2"/>
    <x v="42"/>
    <n v="56"/>
    <n v="0"/>
    <n v="56"/>
    <m/>
    <n v="0"/>
    <n v="1"/>
    <n v="2"/>
    <n v="56"/>
  </r>
  <r>
    <x v="69"/>
    <x v="9"/>
    <s v="ANDRADE CHECA DIANA LUCIA"/>
    <s v="001-001-000000248"/>
    <s v="Directo"/>
    <x v="54"/>
    <n v="2"/>
    <x v="42"/>
    <n v="56"/>
    <n v="0"/>
    <n v="56"/>
    <m/>
    <n v="0"/>
    <n v="1"/>
    <n v="2"/>
    <n v="56"/>
  </r>
  <r>
    <x v="70"/>
    <x v="9"/>
    <s v="MOPOSITA GUITARRA ENMA PATRICIA"/>
    <s v="001-001-000000250"/>
    <s v="Directo"/>
    <x v="2"/>
    <n v="4"/>
    <x v="42"/>
    <n v="112"/>
    <n v="0"/>
    <n v="112"/>
    <m/>
    <n v="0"/>
    <n v="1"/>
    <n v="4"/>
    <n v="112"/>
  </r>
  <r>
    <x v="73"/>
    <x v="9"/>
    <s v="ANDRADE CHECA DIANA LUCIA"/>
    <s v="001-001-000000273"/>
    <s v="Directo"/>
    <x v="54"/>
    <n v="2"/>
    <x v="42"/>
    <n v="56"/>
    <n v="0"/>
    <n v="56"/>
    <m/>
    <n v="0"/>
    <n v="1"/>
    <n v="2"/>
    <n v="56"/>
  </r>
  <r>
    <x v="262"/>
    <x v="9"/>
    <s v="ANDRADE CHECA DIANA LUCIA"/>
    <s v="001-001-000000288"/>
    <s v="Arquitectos"/>
    <x v="154"/>
    <n v="5"/>
    <x v="42"/>
    <n v="140"/>
    <n v="0"/>
    <n v="140"/>
    <m/>
    <n v="0"/>
    <n v="1"/>
    <n v="5"/>
    <n v="140"/>
  </r>
  <r>
    <x v="9"/>
    <x v="9"/>
    <s v="ANDRADE CHECA DIANA LUCIA"/>
    <s v="001-001-000000293"/>
    <s v="Directo"/>
    <x v="56"/>
    <n v="9"/>
    <x v="42"/>
    <n v="252"/>
    <n v="0"/>
    <n v="252"/>
    <m/>
    <n v="0"/>
    <n v="1"/>
    <n v="9"/>
    <n v="252"/>
  </r>
  <r>
    <x v="80"/>
    <x v="9"/>
    <s v="ANDRADE CHECA DIANA LUCIA"/>
    <s v="001-001-000000307"/>
    <s v="Directo"/>
    <x v="65"/>
    <n v="9"/>
    <x v="42"/>
    <n v="252"/>
    <n v="37.799999999999997"/>
    <n v="214.2"/>
    <m/>
    <n v="0"/>
    <n v="1"/>
    <n v="9"/>
    <n v="214.2"/>
  </r>
  <r>
    <x v="185"/>
    <x v="9"/>
    <s v="MOPOSITA GUITARRA ENMA PATRICIA"/>
    <s v="001-001-000000338"/>
    <s v="Directo"/>
    <x v="155"/>
    <n v="1"/>
    <x v="42"/>
    <n v="28"/>
    <n v="0"/>
    <n v="28"/>
    <m/>
    <n v="0"/>
    <n v="1"/>
    <n v="1"/>
    <n v="28"/>
  </r>
  <r>
    <x v="88"/>
    <x v="9"/>
    <s v="ANDRADE CHECA DIANA LUCIA"/>
    <s v="001-001-000000339"/>
    <s v="Directo"/>
    <x v="71"/>
    <n v="5"/>
    <x v="42"/>
    <n v="140"/>
    <n v="0"/>
    <n v="140"/>
    <m/>
    <n v="0"/>
    <n v="1"/>
    <n v="5"/>
    <n v="140"/>
  </r>
  <r>
    <x v="178"/>
    <x v="9"/>
    <s v="MOPOSITA GUITARRA ENMA PATRICIA"/>
    <s v="001-001-000000346"/>
    <s v="Arquitectos"/>
    <x v="156"/>
    <n v="2"/>
    <x v="42"/>
    <n v="56"/>
    <n v="0"/>
    <n v="56"/>
    <m/>
    <n v="0"/>
    <n v="1"/>
    <n v="2"/>
    <n v="56"/>
  </r>
  <r>
    <x v="13"/>
    <x v="9"/>
    <s v="ANDRADE CHECA DIANA LUCIA"/>
    <s v="001-001-000000387"/>
    <s v="Directo"/>
    <x v="157"/>
    <n v="1"/>
    <x v="42"/>
    <n v="28"/>
    <n v="0"/>
    <n v="28"/>
    <m/>
    <n v="0"/>
    <n v="1"/>
    <n v="1"/>
    <n v="28"/>
  </r>
  <r>
    <x v="233"/>
    <x v="9"/>
    <s v="ANDRADE CHECA DIANA LUCIA"/>
    <s v="001-001-000000399"/>
    <s v="Directo"/>
    <x v="148"/>
    <n v="12"/>
    <x v="42"/>
    <n v="336"/>
    <n v="84"/>
    <n v="252"/>
    <m/>
    <n v="0"/>
    <n v="1"/>
    <n v="12"/>
    <n v="252"/>
  </r>
  <r>
    <x v="233"/>
    <x v="9"/>
    <s v="ANDRADE CHECA DIANA LUCIA"/>
    <s v="001-001-000000402"/>
    <s v="Directo"/>
    <x v="148"/>
    <n v="2"/>
    <x v="42"/>
    <n v="56"/>
    <n v="14"/>
    <n v="42"/>
    <m/>
    <n v="0"/>
    <n v="1"/>
    <n v="2"/>
    <n v="42"/>
  </r>
  <r>
    <x v="263"/>
    <x v="9"/>
    <s v="MOPOSITA GUITARRA ENMA PATRICIA"/>
    <s v="001-001-000000408"/>
    <s v="Directo"/>
    <x v="143"/>
    <n v="1"/>
    <x v="42"/>
    <n v="31"/>
    <n v="0"/>
    <n v="31"/>
    <m/>
    <n v="0"/>
    <n v="1"/>
    <n v="1"/>
    <n v="31"/>
  </r>
  <r>
    <x v="15"/>
    <x v="9"/>
    <s v="MOPOSITA GUITARRA ENMA PATRICIA"/>
    <s v="001-001-000000427"/>
    <s v="Directo"/>
    <x v="158"/>
    <n v="3"/>
    <x v="42"/>
    <n v="87"/>
    <n v="0"/>
    <n v="87"/>
    <m/>
    <n v="0"/>
    <n v="1"/>
    <n v="3"/>
    <n v="87"/>
  </r>
  <r>
    <x v="190"/>
    <x v="9"/>
    <s v="OFICINA"/>
    <s v="001-001-000000523"/>
    <s v="Distribuidores"/>
    <x v="33"/>
    <n v="1"/>
    <x v="42"/>
    <n v="28"/>
    <n v="0"/>
    <n v="28"/>
    <m/>
    <n v="0"/>
    <n v="1"/>
    <n v="1"/>
    <n v="28"/>
  </r>
  <r>
    <x v="264"/>
    <x v="9"/>
    <s v="OFICINA"/>
    <s v="001-001-000000547"/>
    <s v="Arquitectos"/>
    <x v="159"/>
    <n v="8"/>
    <x v="42"/>
    <n v="224"/>
    <n v="0"/>
    <n v="224"/>
    <m/>
    <n v="0"/>
    <n v="1"/>
    <n v="8"/>
    <n v="224"/>
  </r>
  <r>
    <x v="23"/>
    <x v="6"/>
    <s v="BALLADARES PEREZ REINA JACQUELINE"/>
    <s v="001-001-000000003"/>
    <s v="Arquitectos"/>
    <x v="160"/>
    <n v="1"/>
    <x v="43"/>
    <n v="49"/>
    <n v="0"/>
    <n v="49"/>
    <n v="8.9"/>
    <n v="8.9"/>
    <n v="1"/>
    <n v="1"/>
    <n v="40.1"/>
  </r>
  <r>
    <x v="23"/>
    <x v="6"/>
    <s v="BALLADARES PEREZ REINA JACQUELINE"/>
    <s v="001-001-000000004"/>
    <s v="Directo"/>
    <x v="161"/>
    <n v="1"/>
    <x v="43"/>
    <n v="49"/>
    <n v="0"/>
    <n v="49"/>
    <n v="8.9"/>
    <n v="8.9"/>
    <n v="1"/>
    <n v="1"/>
    <n v="40.1"/>
  </r>
  <r>
    <x v="265"/>
    <x v="6"/>
    <s v="SERRANO GARRIDO GIOVANNA DEL ROCIO"/>
    <s v="001-001-000000009"/>
    <s v="Directo"/>
    <x v="162"/>
    <n v="1"/>
    <x v="43"/>
    <n v="49"/>
    <n v="0"/>
    <n v="49"/>
    <n v="8.9"/>
    <n v="8.9"/>
    <n v="1"/>
    <n v="1"/>
    <n v="40.1"/>
  </r>
  <r>
    <x v="26"/>
    <x v="6"/>
    <s v="BALLADARES PEREZ REINA JACQUELINE"/>
    <s v="001-001-000000011"/>
    <s v="Directo"/>
    <x v="6"/>
    <n v="2"/>
    <x v="43"/>
    <n v="98"/>
    <n v="0"/>
    <n v="98"/>
    <n v="17.8"/>
    <n v="8.9"/>
    <n v="1"/>
    <n v="2"/>
    <n v="80.2"/>
  </r>
  <r>
    <x v="29"/>
    <x v="6"/>
    <s v="BALLADARES PEREZ REINA JACQUELINE"/>
    <s v="001-001-000000026"/>
    <s v="Directo"/>
    <x v="12"/>
    <n v="24"/>
    <x v="43"/>
    <n v="1176"/>
    <n v="176.4"/>
    <n v="999.6"/>
    <n v="213.6"/>
    <n v="8.9"/>
    <n v="1"/>
    <n v="24"/>
    <n v="786"/>
  </r>
  <r>
    <x v="266"/>
    <x v="6"/>
    <s v="SERRANO GARRIDO GIOVANNA DEL ROCIO"/>
    <s v="001-001-000000074"/>
    <s v="Distribuidores"/>
    <x v="21"/>
    <n v="1"/>
    <x v="43"/>
    <n v="49"/>
    <n v="9.8000000000000007"/>
    <n v="39.200000000000003"/>
    <n v="8.9"/>
    <n v="8.9"/>
    <n v="1"/>
    <n v="1"/>
    <n v="30.300000000000004"/>
  </r>
  <r>
    <x v="266"/>
    <x v="6"/>
    <s v="SERRANO GARRIDO GIOVANNA DEL ROCIO"/>
    <s v="001-001-000000075"/>
    <s v="Distribuidores"/>
    <x v="21"/>
    <n v="1"/>
    <x v="43"/>
    <n v="49"/>
    <n v="9.8000000000000007"/>
    <n v="39.200000000000003"/>
    <n v="8.9"/>
    <n v="8.9"/>
    <n v="1"/>
    <n v="1"/>
    <n v="30.300000000000004"/>
  </r>
  <r>
    <x v="42"/>
    <x v="6"/>
    <s v="MOPOSITA GUITARRA ENMA PATRICIA"/>
    <s v="001-001-000000105"/>
    <s v="Directo"/>
    <x v="27"/>
    <n v="1"/>
    <x v="43"/>
    <n v="49"/>
    <n v="0"/>
    <n v="49"/>
    <n v="8.9"/>
    <n v="8.9"/>
    <n v="1"/>
    <n v="1"/>
    <n v="40.1"/>
  </r>
  <r>
    <x v="43"/>
    <x v="6"/>
    <s v="MOPOSITA GUITARRA ENMA PATRICIA"/>
    <s v="001-001-000000107"/>
    <s v="Directo"/>
    <x v="28"/>
    <n v="1"/>
    <x v="43"/>
    <n v="49"/>
    <n v="0"/>
    <n v="49"/>
    <n v="8.9"/>
    <n v="8.9"/>
    <n v="1"/>
    <n v="1"/>
    <n v="40.1"/>
  </r>
  <r>
    <x v="3"/>
    <x v="6"/>
    <s v="MOPOSITA GUITARRA ENMA PATRICIA"/>
    <s v="001-001-000000113"/>
    <s v="Directo"/>
    <x v="163"/>
    <n v="1"/>
    <x v="43"/>
    <n v="49"/>
    <n v="0"/>
    <n v="49"/>
    <n v="8.9"/>
    <n v="8.9"/>
    <n v="1"/>
    <n v="1"/>
    <n v="40.1"/>
  </r>
  <r>
    <x v="3"/>
    <x v="6"/>
    <s v="MOPOSITA GUITARRA ENMA PATRICIA"/>
    <s v="001-001-000000117"/>
    <s v="Directo"/>
    <x v="30"/>
    <n v="9"/>
    <x v="43"/>
    <n v="441"/>
    <n v="0"/>
    <n v="441"/>
    <n v="80.099999999999994"/>
    <n v="8.8999999999999986"/>
    <n v="1"/>
    <n v="9"/>
    <n v="360.9"/>
  </r>
  <r>
    <x v="267"/>
    <x v="6"/>
    <s v="SERRANO GARRIDO GIOVANNA DEL ROCIO"/>
    <s v="001-001-000000146"/>
    <s v="Directo"/>
    <x v="164"/>
    <n v="1"/>
    <x v="43"/>
    <n v="49"/>
    <n v="0"/>
    <n v="49"/>
    <n v="8.9"/>
    <n v="8.9"/>
    <n v="1"/>
    <n v="1"/>
    <n v="40.1"/>
  </r>
  <r>
    <x v="50"/>
    <x v="6"/>
    <s v="MOPOSITA GUITARRA ENMA PATRICIA"/>
    <s v="001-001-000000164"/>
    <s v="Arquitectos"/>
    <x v="156"/>
    <n v="2"/>
    <x v="43"/>
    <n v="98"/>
    <n v="0"/>
    <n v="98"/>
    <n v="17.8"/>
    <n v="8.9"/>
    <n v="1"/>
    <n v="2"/>
    <n v="80.2"/>
  </r>
  <r>
    <x v="50"/>
    <x v="6"/>
    <s v="SERRANO GARRIDO GIOVANNA DEL ROCIO"/>
    <s v="001-001-000000165"/>
    <s v="Arquitectos"/>
    <x v="165"/>
    <n v="1"/>
    <x v="43"/>
    <n v="49"/>
    <n v="0"/>
    <n v="49"/>
    <n v="8.9"/>
    <n v="8.9"/>
    <n v="1"/>
    <n v="1"/>
    <n v="40.1"/>
  </r>
  <r>
    <x v="268"/>
    <x v="6"/>
    <s v="SERRANO GARRIDO GIOVANNA DEL ROCIO"/>
    <s v="001-001-000000227"/>
    <s v="Distribuidores"/>
    <x v="4"/>
    <n v="1"/>
    <x v="43"/>
    <n v="49"/>
    <n v="9.8000000000000007"/>
    <n v="39.200000000000003"/>
    <n v="8.9"/>
    <n v="8.9"/>
    <n v="1"/>
    <n v="1"/>
    <n v="30.300000000000004"/>
  </r>
  <r>
    <x v="259"/>
    <x v="6"/>
    <s v="CASTILLO YAQUE SONIA ROXANA"/>
    <s v="001-001-000000518"/>
    <s v="Arquitectos"/>
    <x v="103"/>
    <n v="4"/>
    <x v="44"/>
    <n v="49.722000000000001"/>
    <n v="4.9720000000000004"/>
    <n v="44.75"/>
    <n v="0"/>
    <n v="0"/>
    <n v="1"/>
    <n v="4"/>
    <n v="44.75"/>
  </r>
  <r>
    <x v="260"/>
    <x v="6"/>
    <s v="OFICINA"/>
    <s v="001-001-000000554"/>
    <s v="Arquitectos"/>
    <x v="103"/>
    <n v="1"/>
    <x v="44"/>
    <n v="13.04515"/>
    <n v="1.30515"/>
    <n v="11.74"/>
    <n v="0"/>
    <n v="0"/>
    <n v="1"/>
    <n v="1"/>
    <n v="11.74"/>
  </r>
  <r>
    <x v="138"/>
    <x v="6"/>
    <s v="OFICINA"/>
    <s v="001-001-000000695"/>
    <s v="Distribuidores"/>
    <x v="45"/>
    <n v="2"/>
    <x v="44"/>
    <n v="22.4"/>
    <n v="0"/>
    <n v="22.4"/>
    <n v="0"/>
    <n v="0"/>
    <n v="1"/>
    <n v="2"/>
    <n v="22.4"/>
  </r>
  <r>
    <x v="153"/>
    <x v="6"/>
    <s v="OFICINA"/>
    <s v="001-001-000000818"/>
    <s v="Distribuidores"/>
    <x v="45"/>
    <n v="4"/>
    <x v="44"/>
    <n v="112"/>
    <n v="33.6"/>
    <n v="78.400000000000006"/>
    <n v="32.04"/>
    <n v="8.01"/>
    <n v="1"/>
    <n v="4"/>
    <n v="46.360000000000007"/>
  </r>
  <r>
    <x v="156"/>
    <x v="6"/>
    <s v="OFICINA"/>
    <s v="001-001-000000857"/>
    <s v="Distribuidores"/>
    <x v="45"/>
    <n v="1"/>
    <x v="44"/>
    <n v="28"/>
    <n v="8.4"/>
    <n v="19.600000000000001"/>
    <n v="8.01"/>
    <n v="8.01"/>
    <n v="1"/>
    <n v="1"/>
    <n v="11.590000000000002"/>
  </r>
  <r>
    <x v="205"/>
    <x v="6"/>
    <s v="OFICINA"/>
    <s v="001-001-000000867"/>
    <s v="Distribuidores"/>
    <x v="45"/>
    <n v="2"/>
    <x v="44"/>
    <n v="56"/>
    <n v="16.8"/>
    <n v="39.200000000000003"/>
    <n v="16.02"/>
    <n v="8.01"/>
    <n v="1"/>
    <n v="2"/>
    <n v="23.180000000000003"/>
  </r>
  <r>
    <x v="205"/>
    <x v="6"/>
    <s v="OFICINA"/>
    <s v="001-001-000000868"/>
    <s v="Distribuidores"/>
    <x v="128"/>
    <n v="2"/>
    <x v="44"/>
    <n v="56"/>
    <n v="19.600000000000001"/>
    <n v="36.4"/>
    <n v="16.02"/>
    <n v="8.01"/>
    <n v="1"/>
    <n v="2"/>
    <n v="20.38"/>
  </r>
  <r>
    <x v="156"/>
    <x v="6"/>
    <s v="OFICINA"/>
    <s v="001-001-000000856"/>
    <s v="Directo"/>
    <x v="121"/>
    <n v="5"/>
    <x v="45"/>
    <n v="140"/>
    <n v="21"/>
    <n v="119"/>
    <n v="0"/>
    <n v="0"/>
    <n v="1"/>
    <n v="5"/>
    <n v="119"/>
  </r>
  <r>
    <x v="269"/>
    <x v="6"/>
    <s v="OFICINA"/>
    <s v="001-001-000000874"/>
    <s v="Distribuidores"/>
    <x v="128"/>
    <n v="1"/>
    <x v="46"/>
    <n v="28"/>
    <n v="9.8000000000000007"/>
    <n v="18.2"/>
    <n v="8.01"/>
    <n v="8.01"/>
    <n v="1"/>
    <n v="1"/>
    <n v="10.19"/>
  </r>
  <r>
    <x v="192"/>
    <x v="6"/>
    <s v="OFICINA"/>
    <s v="001-001-000000579"/>
    <s v="Directo"/>
    <x v="166"/>
    <n v="1"/>
    <x v="47"/>
    <n v="28"/>
    <n v="0"/>
    <n v="28"/>
    <n v="8.01"/>
    <n v="8.01"/>
    <n v="1"/>
    <n v="1"/>
    <n v="19.990000000000002"/>
  </r>
  <r>
    <x v="270"/>
    <x v="6"/>
    <s v="OFICINA"/>
    <s v="001-001-000000583"/>
    <s v="Directo"/>
    <x v="167"/>
    <n v="5"/>
    <x v="47"/>
    <n v="140"/>
    <n v="42"/>
    <n v="98"/>
    <n v="40.049999999999997"/>
    <n v="8.01"/>
    <n v="1"/>
    <n v="5"/>
    <n v="57.95"/>
  </r>
  <r>
    <x v="271"/>
    <x v="6"/>
    <s v="OFICINA"/>
    <s v="001-001-000000605"/>
    <s v="Distribuidores"/>
    <x v="21"/>
    <n v="2"/>
    <x v="47"/>
    <n v="56"/>
    <n v="16.8"/>
    <n v="39.200000000000003"/>
    <n v="16.02"/>
    <n v="8.01"/>
    <n v="1"/>
    <n v="2"/>
    <n v="23.180000000000003"/>
  </r>
  <r>
    <x v="129"/>
    <x v="6"/>
    <s v="OFICINA"/>
    <s v="001-001-000000646"/>
    <s v="Distribuidores"/>
    <x v="21"/>
    <n v="2"/>
    <x v="47"/>
    <n v="56"/>
    <n v="16.8"/>
    <n v="39.200000000000003"/>
    <n v="16.02"/>
    <n v="8.01"/>
    <n v="1"/>
    <n v="2"/>
    <n v="23.180000000000003"/>
  </r>
  <r>
    <x v="131"/>
    <x v="6"/>
    <s v="OFICINA"/>
    <s v="001-001-000000654"/>
    <s v="Distribuidores"/>
    <x v="98"/>
    <n v="1"/>
    <x v="47"/>
    <n v="28"/>
    <n v="9.8000000000000007"/>
    <n v="18.2"/>
    <n v="8.01"/>
    <n v="8.01"/>
    <n v="1"/>
    <n v="1"/>
    <n v="10.19"/>
  </r>
  <r>
    <x v="132"/>
    <x v="6"/>
    <s v="OFICINA"/>
    <s v="001-001-000000659"/>
    <s v="Directo"/>
    <x v="106"/>
    <n v="2"/>
    <x v="47"/>
    <n v="56"/>
    <n v="0"/>
    <n v="56"/>
    <n v="16.02"/>
    <n v="8.01"/>
    <n v="1"/>
    <n v="2"/>
    <n v="39.980000000000004"/>
  </r>
  <r>
    <x v="237"/>
    <x v="6"/>
    <s v="OFICINA"/>
    <s v="001-001-000000668"/>
    <s v="Distribuidores"/>
    <x v="20"/>
    <n v="4"/>
    <x v="47"/>
    <n v="112"/>
    <n v="39.200000000000003"/>
    <n v="72.8"/>
    <n v="32.04"/>
    <n v="8.01"/>
    <n v="1"/>
    <n v="4"/>
    <n v="40.76"/>
  </r>
  <r>
    <x v="272"/>
    <x v="6"/>
    <s v="OFICINA"/>
    <s v="001-001-000000676"/>
    <s v="Distribuidores"/>
    <x v="20"/>
    <n v="11"/>
    <x v="47"/>
    <n v="308"/>
    <n v="107.8"/>
    <n v="200.2"/>
    <n v="88.11"/>
    <n v="8.01"/>
    <n v="1"/>
    <n v="11"/>
    <n v="112.08999999999999"/>
  </r>
  <r>
    <x v="137"/>
    <x v="6"/>
    <s v="OFICINA"/>
    <s v="001-001-000000689"/>
    <s v="Directo"/>
    <x v="110"/>
    <n v="5"/>
    <x v="47"/>
    <n v="140"/>
    <n v="14"/>
    <n v="126"/>
    <n v="40.049999999999997"/>
    <n v="8.01"/>
    <n v="1"/>
    <n v="5"/>
    <n v="85.95"/>
  </r>
  <r>
    <x v="273"/>
    <x v="6"/>
    <s v="OFICINA"/>
    <s v="001-001-000000746"/>
    <s v="Directo"/>
    <x v="118"/>
    <n v="29"/>
    <x v="47"/>
    <n v="812"/>
    <n v="203"/>
    <n v="609"/>
    <n v="232.29"/>
    <n v="8.01"/>
    <n v="1"/>
    <n v="29"/>
    <n v="376.71000000000004"/>
  </r>
  <r>
    <x v="274"/>
    <x v="6"/>
    <s v="OFICINA"/>
    <s v="001-001-000000747"/>
    <s v="Distribuidores"/>
    <x v="128"/>
    <n v="6"/>
    <x v="47"/>
    <n v="168"/>
    <n v="58.8"/>
    <n v="109.2"/>
    <n v="48.06"/>
    <n v="8.01"/>
    <n v="1"/>
    <n v="6"/>
    <n v="61.14"/>
  </r>
  <r>
    <x v="275"/>
    <x v="6"/>
    <s v="OFICINA"/>
    <s v="001-001-000000779"/>
    <s v="Distribuidores"/>
    <x v="20"/>
    <n v="2"/>
    <x v="47"/>
    <n v="56"/>
    <n v="25.2"/>
    <n v="30.8"/>
    <n v="16.02"/>
    <n v="8.01"/>
    <n v="1"/>
    <n v="2"/>
    <n v="14.780000000000001"/>
  </r>
  <r>
    <x v="148"/>
    <x v="6"/>
    <s v="OFICINA"/>
    <s v="001-001-000000792"/>
    <s v="Directo"/>
    <x v="168"/>
    <n v="1"/>
    <x v="47"/>
    <n v="28"/>
    <n v="0"/>
    <n v="28"/>
    <n v="8.01"/>
    <n v="8.01"/>
    <n v="1"/>
    <n v="1"/>
    <n v="19.990000000000002"/>
  </r>
  <r>
    <x v="276"/>
    <x v="6"/>
    <s v="OFICINA"/>
    <s v="001-001-000000796"/>
    <s v="Directo"/>
    <x v="168"/>
    <n v="1"/>
    <x v="47"/>
    <n v="28"/>
    <n v="0"/>
    <n v="28"/>
    <n v="8.01"/>
    <n v="8.01"/>
    <n v="1"/>
    <n v="1"/>
    <n v="19.990000000000002"/>
  </r>
  <r>
    <x v="277"/>
    <x v="6"/>
    <s v="OFICINA"/>
    <s v="001-001-000000811"/>
    <s v="Distribuidores"/>
    <x v="149"/>
    <n v="3"/>
    <x v="47"/>
    <n v="84"/>
    <n v="25.2"/>
    <n v="58.8"/>
    <n v="24.03"/>
    <n v="8.01"/>
    <n v="1"/>
    <n v="3"/>
    <n v="34.769999999999996"/>
  </r>
  <r>
    <x v="153"/>
    <x v="6"/>
    <s v="OFICINA"/>
    <s v="001-001-000000820"/>
    <s v="Distribuidores"/>
    <x v="128"/>
    <n v="7"/>
    <x v="47"/>
    <n v="196"/>
    <n v="68.599999999999994"/>
    <n v="127.4"/>
    <n v="56.07"/>
    <n v="8.01"/>
    <n v="1"/>
    <n v="7"/>
    <n v="71.330000000000013"/>
  </r>
  <r>
    <x v="209"/>
    <x v="6"/>
    <s v="SERRANO GARRIDO GIOVANNA DEL ROCIO"/>
    <s v="001-001-000000219"/>
    <s v="Directo"/>
    <x v="138"/>
    <n v="15.98"/>
    <x v="48"/>
    <n v="422.92202880000002"/>
    <n v="42.292028799999997"/>
    <n v="380.63"/>
    <n v="283.88470000000001"/>
    <n v="17.765000000000001"/>
    <n v="1"/>
    <n v="15.98"/>
    <n v="96.745299999999986"/>
  </r>
  <r>
    <x v="209"/>
    <x v="6"/>
    <s v="SERRANO GARRIDO GIOVANNA DEL ROCIO"/>
    <s v="001-001-000000219"/>
    <s v="Directo"/>
    <x v="138"/>
    <n v="7.99"/>
    <x v="49"/>
    <n v="211.45601440000002"/>
    <n v="21.146014399999999"/>
    <n v="190.31"/>
    <n v="141.94235"/>
    <n v="17.765000000000001"/>
    <n v="1"/>
    <n v="7.99"/>
    <n v="48.367649999999998"/>
  </r>
  <r>
    <x v="201"/>
    <x v="3"/>
    <s v="MOPOSITA GUITARRA ENMA PATRICIA"/>
    <s v="001-001-000000480"/>
    <s v="Distribuidores"/>
    <x v="20"/>
    <n v="7"/>
    <x v="50"/>
    <n v="346.35599999999999"/>
    <n v="121.226"/>
    <n v="225.13"/>
    <n v="33.887363999999998"/>
    <n v="4.8410519999999995"/>
    <n v="1"/>
    <n v="7"/>
    <n v="191.242636"/>
  </r>
  <r>
    <x v="124"/>
    <x v="3"/>
    <s v="JULIO VASQUEZ"/>
    <s v="001-001-000000616"/>
    <s v="Arquitectos"/>
    <x v="103"/>
    <n v="40"/>
    <x v="50"/>
    <n v="1979.2"/>
    <n v="593.76"/>
    <n v="1385.44"/>
    <n v="170.01967999999999"/>
    <n v="4.2504919999999995"/>
    <n v="1"/>
    <n v="40"/>
    <n v="1215.4203200000002"/>
  </r>
  <r>
    <x v="278"/>
    <x v="3"/>
    <s v="OFICINA"/>
    <s v="001-001-000000641"/>
    <s v="Distribuidores"/>
    <x v="128"/>
    <n v="14"/>
    <x v="50"/>
    <n v="692.72199999999998"/>
    <n v="242.452"/>
    <n v="450.27"/>
    <n v="59.506887999999996"/>
    <n v="4.2504919999999995"/>
    <n v="1"/>
    <n v="14"/>
    <n v="390.76311199999998"/>
  </r>
  <r>
    <x v="277"/>
    <x v="3"/>
    <s v="OFICINA"/>
    <s v="001-001-000000812"/>
    <s v="Distribuidores"/>
    <x v="149"/>
    <n v="14.5"/>
    <x v="50"/>
    <n v="717.45800000000008"/>
    <n v="215.238"/>
    <n v="502.22"/>
    <n v="59.988356000000003"/>
    <n v="4.1371280000000006"/>
    <n v="1"/>
    <n v="14.5"/>
    <n v="442.23164400000002"/>
  </r>
  <r>
    <x v="152"/>
    <x v="3"/>
    <s v="OFICINA"/>
    <s v="001-001-000000814"/>
    <s v="Distribuidores"/>
    <x v="149"/>
    <n v="1.5"/>
    <x v="50"/>
    <n v="74.216000000000008"/>
    <n v="22.265999999999998"/>
    <n v="51.95"/>
    <n v="6.205692"/>
    <n v="4.1371279999999997"/>
    <n v="1"/>
    <n v="1.5"/>
    <n v="45.744308000000004"/>
  </r>
  <r>
    <x v="279"/>
    <x v="3"/>
    <s v="OFICINA"/>
    <s v="001-001-000000840"/>
    <s v="Directo"/>
    <x v="169"/>
    <n v="3.5"/>
    <x v="50"/>
    <n v="173.17800000000003"/>
    <n v="17.318000000000001"/>
    <n v="155.86000000000001"/>
    <n v="14.865840499999999"/>
    <n v="4.2473830000000001"/>
    <n v="1"/>
    <n v="3.5"/>
    <n v="140.99415950000002"/>
  </r>
  <r>
    <x v="280"/>
    <x v="3"/>
    <s v="OFICINA"/>
    <s v="001-001-000000847"/>
    <s v="Distribuidores"/>
    <x v="128"/>
    <n v="7.5"/>
    <x v="50"/>
    <n v="371.10500000000002"/>
    <n v="129.88499999999999"/>
    <n v="241.22"/>
    <n v="31.785135"/>
    <n v="4.2380180000000003"/>
    <n v="1"/>
    <n v="7.5"/>
    <n v="209.434865"/>
  </r>
  <r>
    <x v="59"/>
    <x v="4"/>
    <s v="SERRANO GARRIDO GIOVANNA DEL ROCIO"/>
    <s v="001-001-000000206"/>
    <s v="Distribuidores"/>
    <x v="20"/>
    <n v="7"/>
    <x v="51"/>
    <n v="309.39999999999998"/>
    <n v="139.22999999999999"/>
    <n v="170.17"/>
    <n v="29.640001999999999"/>
    <n v="4.234286"/>
    <n v="1"/>
    <n v="7"/>
    <n v="140.52999799999998"/>
  </r>
  <r>
    <x v="281"/>
    <x v="4"/>
    <s v="MOPOSITA GUITARRA ENMA PATRICIA"/>
    <s v="001-001-000000240"/>
    <s v="Distribuidores"/>
    <x v="20"/>
    <n v="5"/>
    <x v="51"/>
    <n v="221"/>
    <n v="99.45"/>
    <n v="121.55"/>
    <n v="20.75"/>
    <n v="4.1500000000000004"/>
    <n v="1"/>
    <n v="5"/>
    <n v="100.8"/>
  </r>
  <r>
    <x v="259"/>
    <x v="4"/>
    <s v="CASTILLO YAQUE SONIA ROXANA"/>
    <s v="001-001-000000518"/>
    <s v="Arquitectos"/>
    <x v="103"/>
    <n v="11"/>
    <x v="52"/>
    <n v="377.84500000000003"/>
    <n v="113.355"/>
    <n v="264.49"/>
    <n v="61.329884"/>
    <n v="5.5754440000000001"/>
    <n v="1"/>
    <n v="11"/>
    <n v="203.16011600000002"/>
  </r>
  <r>
    <x v="170"/>
    <x v="4"/>
    <s v="MOPOSITA GUITARRA ENMA PATRICIA"/>
    <s v="001-001-000000391"/>
    <s v="Distribuidores"/>
    <x v="20"/>
    <n v="28.5"/>
    <x v="52"/>
    <n v="978.98125000000005"/>
    <n v="342.64125000000001"/>
    <n v="636.34"/>
    <n v="122.452701"/>
    <n v="4.2965860000000005"/>
    <n v="1"/>
    <n v="28.5"/>
    <n v="513.88729899999998"/>
  </r>
  <r>
    <x v="282"/>
    <x v="4"/>
    <s v="OFICINA"/>
    <s v="001-001-000000661"/>
    <s v="Distribuidores"/>
    <x v="20"/>
    <n v="6"/>
    <x v="53"/>
    <n v="206.10500000000002"/>
    <n v="92.745000000000005"/>
    <n v="113.36"/>
    <n v="38.807015999999997"/>
    <n v="6.4678359999999993"/>
    <n v="1"/>
    <n v="6"/>
    <n v="74.552984000000009"/>
  </r>
  <r>
    <x v="153"/>
    <x v="4"/>
    <s v="OFICINA"/>
    <s v="001-001-000000818"/>
    <s v="Distribuidores"/>
    <x v="45"/>
    <n v="80"/>
    <x v="53"/>
    <n v="2748"/>
    <n v="824.4"/>
    <n v="1923.6"/>
    <n v="486.54415999999998"/>
    <n v="6.0818019999999997"/>
    <n v="1"/>
    <n v="80"/>
    <n v="1437.05584"/>
  </r>
  <r>
    <x v="178"/>
    <x v="4"/>
    <s v="CASTILLO YAQUE SONIA ROXANA"/>
    <s v="001-001-000000347"/>
    <s v="Distribuidores"/>
    <x v="20"/>
    <n v="38"/>
    <x v="54"/>
    <n v="1305.3"/>
    <n v="522.12"/>
    <n v="783.18"/>
    <n v="0"/>
    <n v="0"/>
    <n v="1"/>
    <n v="38"/>
    <n v="783.18"/>
  </r>
  <r>
    <x v="164"/>
    <x v="10"/>
    <s v="OFICINA"/>
    <s v="001-001-000000910"/>
    <s v="Arquitectos"/>
    <x v="127"/>
    <n v="16.13"/>
    <x v="55"/>
    <n v="798.10685999999998"/>
    <n v="119.71686"/>
    <n v="678.39"/>
    <n v="128.35089414000001"/>
    <n v="7.9572780000000014"/>
    <n v="1"/>
    <n v="16.13"/>
    <n v="550.03910585999995"/>
  </r>
  <r>
    <x v="118"/>
    <x v="8"/>
    <s v="OFICINA"/>
    <s v="001-001-000000586"/>
    <s v="Distribuidores"/>
    <x v="20"/>
    <n v="1"/>
    <x v="56"/>
    <n v="25.876000000000001"/>
    <n v="11.646000000000001"/>
    <n v="14.23"/>
    <n v="2.76"/>
    <n v="2.76"/>
    <n v="0.25"/>
    <n v="0.25"/>
    <n v="11.47"/>
  </r>
  <r>
    <x v="136"/>
    <x v="8"/>
    <s v="OFICINA"/>
    <s v="001-001-000000687"/>
    <s v="Distribuidores"/>
    <x v="21"/>
    <n v="6"/>
    <x v="56"/>
    <n v="119.27799999999999"/>
    <n v="41.747999999999998"/>
    <n v="77.53"/>
    <n v="16.094999999999999"/>
    <n v="2.6824999999999997"/>
    <n v="0.25"/>
    <n v="1.5"/>
    <n v="61.435000000000002"/>
  </r>
  <r>
    <x v="136"/>
    <x v="8"/>
    <s v="JULIO VASQUEZ"/>
    <s v="001-001-000000688"/>
    <s v="Arquitectos"/>
    <x v="103"/>
    <n v="5"/>
    <x v="56"/>
    <n v="99.4"/>
    <n v="29.82"/>
    <n v="69.58"/>
    <n v="13.4125"/>
    <n v="2.6825000000000001"/>
    <n v="0.25"/>
    <n v="1.25"/>
    <n v="56.167499999999997"/>
  </r>
  <r>
    <x v="65"/>
    <x v="4"/>
    <s v="MOPOSITA GUITARRA ENMA PATRICIA"/>
    <s v="001-001-000000239"/>
    <s v="Directo"/>
    <x v="51"/>
    <n v="8.1999999999999993"/>
    <x v="57"/>
    <n v="274.21080000000001"/>
    <n v="27.4208"/>
    <n v="246.79"/>
    <n v="9.5939999999999994"/>
    <n v="1.17"/>
    <n v="1"/>
    <n v="8.1999999999999993"/>
    <n v="237.196"/>
  </r>
  <r>
    <x v="262"/>
    <x v="4"/>
    <s v="ANDRADE CHECA DIANA LUCIA"/>
    <s v="001-001-000000287"/>
    <s v="Directo"/>
    <x v="57"/>
    <n v="27"/>
    <x v="57"/>
    <n v="927.4525000000001"/>
    <n v="231.86250000000001"/>
    <n v="695.59"/>
    <n v="31.59"/>
    <n v="1.17"/>
    <n v="1"/>
    <n v="27"/>
    <n v="664"/>
  </r>
  <r>
    <x v="165"/>
    <x v="4"/>
    <s v="OFICINA"/>
    <s v="001-001-000000913"/>
    <s v="Distribuidores"/>
    <x v="128"/>
    <n v="45"/>
    <x v="57"/>
    <n v="1545.7525000000001"/>
    <n v="541.01250000000005"/>
    <n v="1004.74"/>
    <n v="53.400015000000003"/>
    <n v="1.1866670000000001"/>
    <n v="1"/>
    <n v="45"/>
    <n v="951.33998499999996"/>
  </r>
  <r>
    <x v="166"/>
    <x v="4"/>
    <s v="OFICINA"/>
    <s v="001-001-000000915"/>
    <s v="Distribuidores"/>
    <x v="128"/>
    <n v="22"/>
    <x v="57"/>
    <n v="755.69499999999994"/>
    <n v="264.495"/>
    <n v="491.2"/>
    <n v="26.106674000000002"/>
    <n v="1.1866670000000001"/>
    <n v="1"/>
    <n v="22"/>
    <n v="465.09332599999999"/>
  </r>
  <r>
    <x v="80"/>
    <x v="4"/>
    <s v="ANDRADE CHECA DIANA LUCIA"/>
    <s v="001-001-000000305"/>
    <s v="Directo"/>
    <x v="64"/>
    <n v="21"/>
    <x v="58"/>
    <n v="721.34625000000005"/>
    <n v="126.23625"/>
    <n v="595.11"/>
    <n v="0"/>
    <n v="0"/>
    <n v="1"/>
    <n v="21"/>
    <n v="595.11"/>
  </r>
  <r>
    <x v="133"/>
    <x v="4"/>
    <s v="CASTILLO YAQUE SONIA ROXANA"/>
    <s v="001-001-000000667"/>
    <s v="Arquitectos"/>
    <x v="103"/>
    <n v="12"/>
    <x v="59"/>
    <n v="412.20000000000005"/>
    <n v="123.66"/>
    <n v="288.54000000000002"/>
    <n v="65.489999999999995"/>
    <n v="5.4574999999999996"/>
    <n v="1"/>
    <n v="12"/>
    <n v="223.05"/>
  </r>
  <r>
    <x v="149"/>
    <x v="4"/>
    <s v="OFICINA"/>
    <s v="001-001-000000794"/>
    <s v="Arquitectos"/>
    <x v="103"/>
    <n v="17"/>
    <x v="59"/>
    <n v="583.95499999999993"/>
    <n v="175.185"/>
    <n v="408.77"/>
    <n v="77.295616999999993"/>
    <n v="4.5468009999999994"/>
    <n v="1"/>
    <n v="17"/>
    <n v="331.47438299999999"/>
  </r>
  <r>
    <x v="159"/>
    <x v="4"/>
    <s v="OFICINA"/>
    <s v="001-001-000000871"/>
    <s v="Directo"/>
    <x v="124"/>
    <n v="26"/>
    <x v="59"/>
    <n v="893.09500000000003"/>
    <n v="223.27500000000001"/>
    <n v="669.82"/>
    <n v="143"/>
    <n v="5.5"/>
    <n v="1"/>
    <n v="26"/>
    <n v="526.82000000000005"/>
  </r>
  <r>
    <x v="166"/>
    <x v="4"/>
    <s v="OFICINA"/>
    <s v="001-001-000000915"/>
    <s v="Distribuidores"/>
    <x v="128"/>
    <n v="5"/>
    <x v="59"/>
    <n v="171.7525"/>
    <n v="60.112499999999997"/>
    <n v="111.64"/>
    <n v="26.135000000000002"/>
    <n v="5.2270000000000003"/>
    <n v="1"/>
    <n v="5"/>
    <n v="85.504999999999995"/>
  </r>
  <r>
    <x v="283"/>
    <x v="4"/>
    <s v="OFICINA"/>
    <s v="001-001-000000919"/>
    <s v="Distribuidores"/>
    <x v="128"/>
    <n v="22"/>
    <x v="59"/>
    <n v="755.69499999999994"/>
    <n v="264.495"/>
    <n v="491.2"/>
    <n v="114.994"/>
    <n v="5.2270000000000003"/>
    <n v="1"/>
    <n v="22"/>
    <n v="376.20600000000002"/>
  </r>
  <r>
    <x v="95"/>
    <x v="2"/>
    <s v="ANDRADE CHECA DIANA LUCIA"/>
    <s v="001-001-000000393"/>
    <s v="Directo"/>
    <x v="70"/>
    <n v="56"/>
    <x v="60"/>
    <n v="2177.2800000000002"/>
    <n v="544.32000000000005"/>
    <n v="1632.96"/>
    <n v="0"/>
    <n v="0"/>
    <n v="1"/>
    <n v="56"/>
    <n v="1632.96"/>
  </r>
  <r>
    <x v="79"/>
    <x v="4"/>
    <s v="ANDRADE CHECA DIANA LUCIA"/>
    <s v="001-001-000000296"/>
    <s v="Directo"/>
    <x v="63"/>
    <n v="70"/>
    <x v="61"/>
    <n v="2404.5"/>
    <n v="0"/>
    <n v="2404.5"/>
    <n v="923.31371999999999"/>
    <n v="13.190196"/>
    <n v="1"/>
    <n v="70"/>
    <n v="1481.1862799999999"/>
  </r>
  <r>
    <x v="32"/>
    <x v="4"/>
    <s v="OFICINA"/>
    <s v="001-001-000000040"/>
    <s v="Directo"/>
    <x v="16"/>
    <n v="6"/>
    <x v="62"/>
    <n v="211.20000000000002"/>
    <n v="21.12"/>
    <n v="190.08"/>
    <n v="36.03"/>
    <n v="6.0049999999999999"/>
    <n v="1"/>
    <n v="6"/>
    <n v="154.05000000000001"/>
  </r>
  <r>
    <x v="41"/>
    <x v="4"/>
    <s v="MOPOSITA GUITARRA ENMA PATRICIA"/>
    <s v="001-001-000000100"/>
    <s v="Directo"/>
    <x v="170"/>
    <n v="5"/>
    <x v="62"/>
    <n v="176"/>
    <n v="26.4"/>
    <n v="149.6"/>
    <n v="29.346119999999999"/>
    <n v="5.869224"/>
    <n v="1"/>
    <n v="5"/>
    <n v="120.25388"/>
  </r>
  <r>
    <x v="42"/>
    <x v="4"/>
    <s v="SERRANO GARRIDO GIOVANNA DEL ROCIO"/>
    <s v="001-001-000000104"/>
    <s v="Distribuidores"/>
    <x v="20"/>
    <n v="6"/>
    <x v="62"/>
    <n v="192"/>
    <n v="67.2"/>
    <n v="124.8"/>
    <n v="35.215344000000002"/>
    <n v="5.869224"/>
    <n v="1"/>
    <n v="6"/>
    <n v="89.584655999999995"/>
  </r>
  <r>
    <x v="75"/>
    <x v="4"/>
    <s v="ANDRADE CHECA DIANA LUCIA"/>
    <s v="001-001-000000278"/>
    <s v="Directo"/>
    <x v="59"/>
    <n v="4"/>
    <x v="62"/>
    <n v="137.4"/>
    <n v="0"/>
    <n v="137.4"/>
    <n v="23.476896"/>
    <n v="5.869224"/>
    <n v="1"/>
    <n v="4"/>
    <n v="113.92310400000001"/>
  </r>
  <r>
    <x v="80"/>
    <x v="4"/>
    <s v="ANDRADE CHECA DIANA LUCIA"/>
    <s v="001-001-000000306"/>
    <s v="Directo"/>
    <x v="171"/>
    <n v="1.2"/>
    <x v="62"/>
    <n v="41.22"/>
    <n v="0"/>
    <n v="41.22"/>
    <n v="6.9916428000000002"/>
    <n v="5.8263690000000006"/>
    <n v="1"/>
    <n v="1.2"/>
    <n v="34.228357199999998"/>
  </r>
  <r>
    <x v="90"/>
    <x v="4"/>
    <s v="ANDRADE CHECA DIANA LUCIA"/>
    <s v="001-001-000000352"/>
    <s v="Directo"/>
    <x v="172"/>
    <n v="3"/>
    <x v="62"/>
    <n v="103.05"/>
    <n v="0"/>
    <n v="103.05"/>
    <n v="17.479106999999999"/>
    <n v="5.8263689999999997"/>
    <n v="1"/>
    <n v="3"/>
    <n v="85.570892999999998"/>
  </r>
  <r>
    <x v="99"/>
    <x v="4"/>
    <s v="MOPOSITA GUITARRA ENMA PATRICIA"/>
    <s v="001-001-000000419"/>
    <s v="Directo"/>
    <x v="81"/>
    <n v="72"/>
    <x v="62"/>
    <n v="2473.2000000000003"/>
    <n v="247.32"/>
    <n v="2225.88"/>
    <n v="387.07423199999999"/>
    <n v="5.3760310000000002"/>
    <n v="1"/>
    <n v="72"/>
    <n v="1838.8057680000002"/>
  </r>
  <r>
    <x v="284"/>
    <x v="4"/>
    <s v="OFICINA"/>
    <s v="001-001-000000503"/>
    <s v="Directo"/>
    <x v="173"/>
    <n v="10"/>
    <x v="62"/>
    <n v="343.5"/>
    <n v="103.05"/>
    <n v="240.45"/>
    <n v="45.780720000000002"/>
    <n v="4.5780720000000006"/>
    <n v="1"/>
    <n v="10"/>
    <n v="194.66927999999999"/>
  </r>
  <r>
    <x v="285"/>
    <x v="4"/>
    <s v="OFICINA"/>
    <s v="001-001-000000647"/>
    <s v="Distribuidores"/>
    <x v="20"/>
    <n v="44"/>
    <x v="62"/>
    <n v="1511.4"/>
    <n v="680.13"/>
    <n v="831.27"/>
    <n v="174.39998399999999"/>
    <n v="3.9636359999999997"/>
    <n v="1"/>
    <n v="44"/>
    <n v="656.87001599999996"/>
  </r>
  <r>
    <x v="286"/>
    <x v="4"/>
    <s v="OFICINA"/>
    <s v="001-001-000000581"/>
    <s v="Distribuidores"/>
    <x v="21"/>
    <n v="91.3"/>
    <x v="63"/>
    <n v="3136.15425"/>
    <n v="1097.65425"/>
    <n v="2038.5"/>
    <n v="566.05999999999995"/>
    <n v="6.1999999999999993"/>
    <n v="0.55000000000000004"/>
    <n v="50.215000000000003"/>
    <n v="1472.44"/>
  </r>
  <r>
    <x v="133"/>
    <x v="4"/>
    <s v="CASTILLO YAQUE SONIA ROXANA"/>
    <s v="001-001-000000667"/>
    <s v="Arquitectos"/>
    <x v="103"/>
    <n v="55.55"/>
    <x v="63"/>
    <n v="1908.14275"/>
    <n v="572.44275000000005"/>
    <n v="1335.7"/>
    <n v="491.88180690000002"/>
    <n v="8.8547580000000004"/>
    <n v="0.55000000000000004"/>
    <n v="30.552500000000002"/>
    <n v="843.81819310000003"/>
  </r>
  <r>
    <x v="149"/>
    <x v="4"/>
    <s v="OFICINA"/>
    <s v="001-001-000000794"/>
    <s v="Arquitectos"/>
    <x v="103"/>
    <n v="64.349999999999994"/>
    <x v="63"/>
    <n v="2210.4167499999999"/>
    <n v="663.12675000000002"/>
    <n v="1547.29"/>
    <n v="439.27935480000002"/>
    <n v="6.8264080000000007"/>
    <n v="0.55000000000000004"/>
    <n v="35.392499999999998"/>
    <n v="1108.0106452"/>
  </r>
  <r>
    <x v="154"/>
    <x v="4"/>
    <s v="OFICINA"/>
    <s v="001-001-000000830"/>
    <s v="Directo"/>
    <x v="119"/>
    <n v="25"/>
    <x v="63"/>
    <n v="858.75250000000005"/>
    <n v="300.5625"/>
    <n v="558.19000000000005"/>
    <n v="139.554025"/>
    <n v="5.5821610000000002"/>
    <n v="0.55000000000000004"/>
    <n v="13.750000000000002"/>
    <n v="418.63597500000003"/>
  </r>
  <r>
    <x v="159"/>
    <x v="4"/>
    <s v="OFICINA"/>
    <s v="001-001-000000871"/>
    <s v="Directo"/>
    <x v="124"/>
    <n v="110"/>
    <x v="63"/>
    <n v="3778.5050000000001"/>
    <n v="944.625"/>
    <n v="2833.88"/>
    <n v="621.5"/>
    <n v="5.65"/>
    <n v="0.55000000000000004"/>
    <n v="60.500000000000007"/>
    <n v="2212.38"/>
  </r>
  <r>
    <x v="287"/>
    <x v="4"/>
    <s v="OFICINA"/>
    <s v="001-001-000000886"/>
    <s v="Distribuidores"/>
    <x v="21"/>
    <n v="28"/>
    <x v="63"/>
    <n v="961.8"/>
    <n v="288.54000000000002"/>
    <n v="673.26"/>
    <n v="149.779616"/>
    <n v="5.349272"/>
    <n v="0.55000000000000004"/>
    <n v="15.400000000000002"/>
    <n v="523.48038399999996"/>
  </r>
  <r>
    <x v="45"/>
    <x v="4"/>
    <s v="SERRANO GARRIDO GIOVANNA DEL ROCIO"/>
    <s v="001-001-000000127"/>
    <s v="Distribuidores"/>
    <x v="32"/>
    <n v="22"/>
    <x v="63"/>
    <n v="774.4"/>
    <n v="387.2"/>
    <n v="387.2"/>
    <n v="151.64971800000001"/>
    <n v="6.8931690000000003"/>
    <n v="1"/>
    <n v="22"/>
    <n v="235.55028199999998"/>
  </r>
  <r>
    <x v="67"/>
    <x v="4"/>
    <s v="MOPOSITA GUITARRA ENMA PATRICIA"/>
    <s v="001-001-000000242"/>
    <s v="Distribuidores"/>
    <x v="21"/>
    <n v="22"/>
    <x v="63"/>
    <n v="748"/>
    <n v="261.8"/>
    <n v="486.2"/>
    <n v="120.012882"/>
    <n v="5.4551310000000006"/>
    <n v="1"/>
    <n v="22"/>
    <n v="366.187118"/>
  </r>
  <r>
    <x v="80"/>
    <x v="4"/>
    <s v="ANDRADE CHECA DIANA LUCIA"/>
    <s v="001-001-000000305"/>
    <s v="Directo"/>
    <x v="64"/>
    <n v="38.85"/>
    <x v="63"/>
    <n v="1334.4970625000001"/>
    <n v="233.53706249999999"/>
    <n v="1100.96"/>
    <n v="211.87216574999999"/>
    <n v="5.453595"/>
    <n v="1"/>
    <n v="38.85"/>
    <n v="889.08783425000001"/>
  </r>
  <r>
    <x v="234"/>
    <x v="4"/>
    <s v="CASTILLO YAQUE SONIA ROXANA"/>
    <s v="001-001-000000530"/>
    <s v="Arquitectos"/>
    <x v="103"/>
    <n v="14.3"/>
    <x v="63"/>
    <n v="517.22929999999997"/>
    <n v="155.16929999999999"/>
    <n v="362.06"/>
    <n v="77.8089169"/>
    <n v="5.4411829999999997"/>
    <n v="1"/>
    <n v="14.3"/>
    <n v="284.25108310000002"/>
  </r>
  <r>
    <x v="247"/>
    <x v="4"/>
    <s v="OFICINA"/>
    <s v="001-001-000000543"/>
    <s v="Distribuidores"/>
    <x v="114"/>
    <n v="11"/>
    <x v="63"/>
    <n v="377.84500000000003"/>
    <n v="113.355"/>
    <n v="264.49"/>
    <n v="60.204374999999999"/>
    <n v="5.4731249999999996"/>
    <n v="1"/>
    <n v="11"/>
    <n v="204.28562500000001"/>
  </r>
  <r>
    <x v="288"/>
    <x v="4"/>
    <s v="OFICINA"/>
    <s v="001-001-000000577"/>
    <s v="Distribuidores"/>
    <x v="21"/>
    <n v="11"/>
    <x v="63"/>
    <n v="377.84749999999997"/>
    <n v="132.2475"/>
    <n v="245.6"/>
    <n v="60.226672000000001"/>
    <n v="5.4751520000000005"/>
    <n v="1"/>
    <n v="11"/>
    <n v="185.37332799999999"/>
  </r>
  <r>
    <x v="122"/>
    <x v="4"/>
    <s v="OFICINA"/>
    <s v="001-001-000000603"/>
    <s v="Arquitectos"/>
    <x v="102"/>
    <n v="80"/>
    <x v="63"/>
    <n v="2748"/>
    <n v="274.8"/>
    <n v="2473.1999999999998"/>
    <n v="438.65352000000001"/>
    <n v="5.4831690000000002"/>
    <n v="1"/>
    <n v="80"/>
    <n v="2034.5464799999997"/>
  </r>
  <r>
    <x v="127"/>
    <x v="4"/>
    <s v="OFICINA"/>
    <s v="001-001-000000636"/>
    <s v="Arquitectos"/>
    <x v="102"/>
    <n v="16"/>
    <x v="63"/>
    <n v="549.6"/>
    <n v="54.96"/>
    <n v="494.64"/>
    <n v="89.619103999999993"/>
    <n v="5.6011939999999996"/>
    <n v="1"/>
    <n v="16"/>
    <n v="405.02089599999999"/>
  </r>
  <r>
    <x v="289"/>
    <x v="4"/>
    <s v="OFICINA"/>
    <s v="001-001-000000737"/>
    <s v="Distribuidores"/>
    <x v="128"/>
    <n v="15"/>
    <x v="63"/>
    <n v="515.24750000000006"/>
    <n v="180.33750000000001"/>
    <n v="334.91"/>
    <n v="84.465779999999995"/>
    <n v="5.6310519999999995"/>
    <n v="1"/>
    <n v="15"/>
    <n v="250.44422000000003"/>
  </r>
  <r>
    <x v="290"/>
    <x v="4"/>
    <s v="OFICINA"/>
    <s v="001-001-000000773"/>
    <s v="Distribuidores"/>
    <x v="128"/>
    <n v="142"/>
    <x v="63"/>
    <n v="4877.6949999999997"/>
    <n v="1707.1949999999999"/>
    <n v="3170.5"/>
    <n v="801.05721600000004"/>
    <n v="5.641248"/>
    <n v="1"/>
    <n v="142"/>
    <n v="2369.4427839999998"/>
  </r>
  <r>
    <x v="153"/>
    <x v="4"/>
    <s v="OFICINA"/>
    <s v="001-001-000000816"/>
    <s v="Constructores"/>
    <x v="120"/>
    <n v="77"/>
    <x v="63"/>
    <n v="2644.95"/>
    <n v="528.99"/>
    <n v="2115.96"/>
    <n v="456.24263300000001"/>
    <n v="5.9252289999999999"/>
    <n v="1"/>
    <n v="77"/>
    <n v="1659.717367"/>
  </r>
  <r>
    <x v="291"/>
    <x v="4"/>
    <s v="OFICINA"/>
    <s v="001-001-000000905"/>
    <s v="Distribuidores"/>
    <x v="20"/>
    <n v="54"/>
    <x v="63"/>
    <n v="1854.9050000000002"/>
    <n v="834.70500000000004"/>
    <n v="1020.2"/>
    <n v="346.79064599999998"/>
    <n v="6.4220489999999995"/>
    <n v="1"/>
    <n v="54"/>
    <n v="673.40935400000012"/>
  </r>
  <r>
    <x v="166"/>
    <x v="4"/>
    <s v="OFICINA"/>
    <s v="001-001-000000915"/>
    <s v="Distribuidores"/>
    <x v="128"/>
    <n v="55"/>
    <x v="63"/>
    <n v="1889.2474999999999"/>
    <n v="661.23749999999995"/>
    <n v="1228.01"/>
    <n v="349.66327000000001"/>
    <n v="6.3575140000000001"/>
    <n v="1"/>
    <n v="55"/>
    <n v="878.34672999999998"/>
  </r>
  <r>
    <x v="283"/>
    <x v="4"/>
    <s v="OFICINA"/>
    <s v="001-001-000000919"/>
    <s v="Distribuidores"/>
    <x v="128"/>
    <n v="30"/>
    <x v="63"/>
    <n v="1030.4950000000001"/>
    <n v="360.67500000000001"/>
    <n v="669.82"/>
    <n v="187.74"/>
    <n v="6.258"/>
    <n v="1"/>
    <n v="30"/>
    <n v="482.08000000000004"/>
  </r>
  <r>
    <x v="29"/>
    <x v="4"/>
    <s v="BALLADARES PEREZ REINA JACQUELINE"/>
    <s v="001-001-000000026"/>
    <s v="Directo"/>
    <x v="12"/>
    <n v="30.8"/>
    <x v="64"/>
    <n v="1084.164"/>
    <n v="162.624"/>
    <n v="921.54"/>
    <n v="216.8598432"/>
    <n v="7.0409040000000003"/>
    <n v="1"/>
    <n v="30.8"/>
    <n v="704.68015679999996"/>
  </r>
  <r>
    <x v="47"/>
    <x v="4"/>
    <s v="MOPOSITA GUITARRA ENMA PATRICIA"/>
    <s v="001-001-000000130"/>
    <s v="Arquitectos"/>
    <x v="156"/>
    <n v="10.45"/>
    <x v="64"/>
    <n v="355.30500000000001"/>
    <n v="17.765000000000001"/>
    <n v="337.54"/>
    <n v="73.577446800000004"/>
    <n v="7.0409040000000012"/>
    <n v="1"/>
    <n v="10.45"/>
    <n v="263.9625532"/>
  </r>
  <r>
    <x v="64"/>
    <x v="4"/>
    <s v="SERRANO GARRIDO GIOVANNA DEL ROCIO"/>
    <s v="001-001-000000233"/>
    <s v="Directo"/>
    <x v="51"/>
    <n v="7.15"/>
    <x v="64"/>
    <n v="243.1"/>
    <n v="24.31"/>
    <n v="218.79"/>
    <n v="49.898512949999997"/>
    <n v="6.9788129999999988"/>
    <n v="1"/>
    <n v="7.15"/>
    <n v="168.89148704999999"/>
  </r>
  <r>
    <x v="73"/>
    <x v="4"/>
    <s v="ANDRADE CHECA DIANA LUCIA"/>
    <s v="001-001-000000272"/>
    <s v="Directo"/>
    <x v="57"/>
    <n v="42"/>
    <x v="64"/>
    <n v="1442.7025000000001"/>
    <n v="252.4725"/>
    <n v="1190.23"/>
    <n v="293.11014599999999"/>
    <n v="6.9788129999999997"/>
    <n v="1"/>
    <n v="42"/>
    <n v="897.11985400000003"/>
  </r>
  <r>
    <x v="84"/>
    <x v="4"/>
    <s v="ANDRADE CHECA DIANA LUCIA"/>
    <s v="001-001-000000315"/>
    <s v="Directo"/>
    <x v="68"/>
    <n v="2.0499999999999998"/>
    <x v="64"/>
    <n v="70.421750000000003"/>
    <n v="7.0417500000000004"/>
    <n v="63.38"/>
    <n v="14.268000000000001"/>
    <n v="6.9600000000000009"/>
    <n v="1"/>
    <n v="2.0499999999999998"/>
    <n v="49.112000000000002"/>
  </r>
  <r>
    <x v="85"/>
    <x v="4"/>
    <s v="ANDRADE CHECA DIANA LUCIA"/>
    <s v="001-001-000000320"/>
    <s v="Directo"/>
    <x v="57"/>
    <n v="5"/>
    <x v="64"/>
    <n v="171.7525"/>
    <n v="25.762499999999999"/>
    <n v="145.99"/>
    <n v="34.799999999999997"/>
    <n v="6.9599999999999991"/>
    <n v="1"/>
    <n v="5"/>
    <n v="111.19000000000001"/>
  </r>
  <r>
    <x v="93"/>
    <x v="4"/>
    <s v="ANDRADE CHECA DIANA LUCIA"/>
    <s v="001-001-000000369"/>
    <s v="Directo"/>
    <x v="79"/>
    <n v="15"/>
    <x v="64"/>
    <n v="515.25"/>
    <n v="103.05"/>
    <n v="412.2"/>
    <n v="104.16"/>
    <n v="6.944"/>
    <n v="1"/>
    <n v="15"/>
    <n v="308.03999999999996"/>
  </r>
  <r>
    <x v="97"/>
    <x v="4"/>
    <s v="ANDRADE CHECA DIANA LUCIA"/>
    <s v="001-001-000000398"/>
    <s v="Directo"/>
    <x v="79"/>
    <n v="2.2000000000000002"/>
    <x v="64"/>
    <n v="75.567000000000007"/>
    <n v="7.5570000000000004"/>
    <n v="68.010000000000005"/>
    <n v="15.139999599999999"/>
    <n v="6.8818179999999991"/>
    <n v="1"/>
    <n v="2.2000000000000002"/>
    <n v="52.870000400000009"/>
  </r>
  <r>
    <x v="263"/>
    <x v="4"/>
    <s v="ANDRADE CHECA DIANA LUCIA"/>
    <s v="001-001-000000409"/>
    <s v="Directo"/>
    <x v="174"/>
    <n v="3"/>
    <x v="64"/>
    <n v="103.05"/>
    <n v="0"/>
    <n v="103.05"/>
    <n v="20.645454000000001"/>
    <n v="6.881818"/>
    <n v="1"/>
    <n v="3"/>
    <n v="82.404545999999996"/>
  </r>
  <r>
    <x v="14"/>
    <x v="4"/>
    <s v="OFICINA"/>
    <s v="001-001-000000413"/>
    <s v="Directo"/>
    <x v="174"/>
    <n v="5"/>
    <x v="64"/>
    <n v="171.75"/>
    <n v="0"/>
    <n v="171.75"/>
    <n v="34.409089999999999"/>
    <n v="6.881818"/>
    <n v="1"/>
    <n v="5"/>
    <n v="137.34091000000001"/>
  </r>
  <r>
    <x v="292"/>
    <x v="4"/>
    <s v="MOPOSITA GUITARRA ENMA PATRICIA"/>
    <s v="001-001-000000459"/>
    <s v="Directo"/>
    <x v="175"/>
    <n v="120"/>
    <x v="64"/>
    <n v="4122"/>
    <n v="1030.5"/>
    <n v="3091.5"/>
    <n v="437.72052000000002"/>
    <n v="3.6476710000000003"/>
    <n v="1"/>
    <n v="120"/>
    <n v="2653.7794800000001"/>
  </r>
  <r>
    <x v="293"/>
    <x v="4"/>
    <s v="OFICINA"/>
    <s v="001-001-000000467"/>
    <s v="Directo"/>
    <x v="176"/>
    <n v="16"/>
    <x v="64"/>
    <n v="549.6"/>
    <n v="0"/>
    <n v="549.6"/>
    <n v="52.12632"/>
    <n v="3.257895"/>
    <n v="1"/>
    <n v="16"/>
    <n v="497.47368"/>
  </r>
  <r>
    <x v="112"/>
    <x v="4"/>
    <s v="MOPOSITA GUITARRA ENMA PATRICIA"/>
    <s v="001-001-000000510"/>
    <s v="Directo"/>
    <x v="95"/>
    <n v="37"/>
    <x v="64"/>
    <n v="1270.9449999999999"/>
    <n v="127.095"/>
    <n v="1143.8499999999999"/>
    <n v="115.78217600000001"/>
    <n v="3.129248"/>
    <n v="1"/>
    <n v="37"/>
    <n v="1028.067824"/>
  </r>
  <r>
    <x v="190"/>
    <x v="4"/>
    <s v="OFICINA"/>
    <s v="001-001-000000521"/>
    <s v="Directo"/>
    <x v="95"/>
    <n v="6"/>
    <x v="64"/>
    <n v="206.1"/>
    <n v="103.05"/>
    <n v="103.05"/>
    <n v="20.73"/>
    <n v="3.4550000000000001"/>
    <n v="1"/>
    <n v="6"/>
    <n v="82.32"/>
  </r>
  <r>
    <x v="294"/>
    <x v="4"/>
    <s v="OFICINA"/>
    <s v="001-001-000000589"/>
    <s v="Directo"/>
    <x v="177"/>
    <n v="21"/>
    <x v="64"/>
    <n v="721.34500000000003"/>
    <n v="360.67500000000001"/>
    <n v="360.67"/>
    <n v="72.383724000000001"/>
    <n v="3.446844"/>
    <n v="1"/>
    <n v="21"/>
    <n v="288.28627600000004"/>
  </r>
  <r>
    <x v="141"/>
    <x v="4"/>
    <s v="OFICINA"/>
    <s v="001-001-000000712"/>
    <s v="Distribuidores"/>
    <x v="114"/>
    <n v="6"/>
    <x v="64"/>
    <n v="206.10000000000002"/>
    <n v="61.83"/>
    <n v="144.27000000000001"/>
    <n v="20.122547999999998"/>
    <n v="3.3537579999999996"/>
    <n v="1"/>
    <n v="6"/>
    <n v="124.14745200000002"/>
  </r>
  <r>
    <x v="295"/>
    <x v="4"/>
    <s v="OFICINA"/>
    <s v="001-001-000000715"/>
    <s v="Distribuidores"/>
    <x v="20"/>
    <n v="9.9"/>
    <x v="64"/>
    <n v="340.06925000000001"/>
    <n v="153.02924999999999"/>
    <n v="187.04"/>
    <n v="33.202204199999997"/>
    <n v="3.3537579999999996"/>
    <n v="1"/>
    <n v="9.9"/>
    <n v="153.83779579999998"/>
  </r>
  <r>
    <x v="296"/>
    <x v="4"/>
    <s v="OFICINA"/>
    <s v="001-001-000000763"/>
    <s v="Distribuidores"/>
    <x v="21"/>
    <n v="4.4000000000000004"/>
    <x v="64"/>
    <n v="151.142"/>
    <n v="45.341999999999999"/>
    <n v="105.8"/>
    <n v="15.0638048"/>
    <n v="3.4235919999999997"/>
    <n v="1"/>
    <n v="4.4000000000000004"/>
    <n v="90.736195199999997"/>
  </r>
  <r>
    <x v="296"/>
    <x v="4"/>
    <s v="OFICINA"/>
    <s v="001-001-000000764"/>
    <s v="Distribuidores"/>
    <x v="21"/>
    <n v="3.3"/>
    <x v="64"/>
    <n v="113.34650000000001"/>
    <n v="34.006500000000003"/>
    <n v="79.34"/>
    <n v="11.2978536"/>
    <n v="3.4235920000000002"/>
    <n v="1"/>
    <n v="3.3"/>
    <n v="68.042146400000007"/>
  </r>
  <r>
    <x v="156"/>
    <x v="4"/>
    <s v="OFICINA"/>
    <s v="001-001-000000856"/>
    <s v="Directo"/>
    <x v="121"/>
    <n v="35"/>
    <x v="64"/>
    <n v="1202.2474999999999"/>
    <n v="180.33750000000001"/>
    <n v="1021.91"/>
    <n v="119.82572"/>
    <n v="3.4235920000000002"/>
    <n v="1"/>
    <n v="35"/>
    <n v="902.08427999999992"/>
  </r>
  <r>
    <x v="297"/>
    <x v="4"/>
    <s v="OFICINA"/>
    <s v="001-001-000000904"/>
    <s v="Distribuidores"/>
    <x v="128"/>
    <n v="21"/>
    <x v="64"/>
    <n v="721.35249999999996"/>
    <n v="252.4725"/>
    <n v="468.88"/>
    <n v="73.371752999999998"/>
    <n v="3.4938929999999999"/>
    <n v="1"/>
    <n v="21"/>
    <n v="395.50824699999998"/>
  </r>
  <r>
    <x v="165"/>
    <x v="4"/>
    <s v="OFICINA"/>
    <s v="001-001-000000913"/>
    <s v="Distribuidores"/>
    <x v="128"/>
    <n v="200"/>
    <x v="64"/>
    <n v="6870"/>
    <n v="2404.5"/>
    <n v="4465.5"/>
    <n v="698.77859999999998"/>
    <n v="3.4938929999999999"/>
    <n v="1"/>
    <n v="200"/>
    <n v="3766.7213999999999"/>
  </r>
  <r>
    <x v="166"/>
    <x v="4"/>
    <s v="OFICINA"/>
    <s v="001-001-000000915"/>
    <s v="Distribuidores"/>
    <x v="128"/>
    <n v="20"/>
    <x v="64"/>
    <n v="687"/>
    <n v="687"/>
    <n v="0"/>
    <n v="70.58"/>
    <n v="3.5289999999999999"/>
    <n v="1"/>
    <n v="20"/>
    <n v="-70.58"/>
  </r>
  <r>
    <x v="166"/>
    <x v="4"/>
    <s v="OFICINA"/>
    <s v="001-001-000000915"/>
    <s v="Distribuidores"/>
    <x v="128"/>
    <n v="54"/>
    <x v="64"/>
    <n v="1854.8979999999999"/>
    <n v="779.05799999999999"/>
    <n v="1075.8399999999999"/>
    <n v="190.566"/>
    <n v="3.5289999999999999"/>
    <n v="1"/>
    <n v="54"/>
    <n v="885.27399999999989"/>
  </r>
  <r>
    <x v="209"/>
    <x v="6"/>
    <s v="SERRANO GARRIDO GIOVANNA DEL ROCIO"/>
    <s v="001-001-000000220"/>
    <s v="Directo"/>
    <x v="138"/>
    <n v="37.43"/>
    <x v="65"/>
    <n v="1125.1775743999999"/>
    <n v="112.5175744"/>
    <n v="1012.66"/>
    <n v="833.56610000000001"/>
    <n v="22.27"/>
    <n v="1"/>
    <n v="37.43"/>
    <n v="179.09389999999996"/>
  </r>
  <r>
    <x v="29"/>
    <x v="11"/>
    <s v="BALLADARES PEREZ REINA JACQUELINE"/>
    <s v="001-001-000000026"/>
    <s v="Directo"/>
    <x v="12"/>
    <n v="20"/>
    <x v="66"/>
    <n v="600"/>
    <n v="90"/>
    <n v="510"/>
    <n v="55.52"/>
    <n v="2.7760000000000002"/>
    <n v="0.42"/>
    <n v="8.4"/>
    <n v="454.48"/>
  </r>
  <r>
    <x v="58"/>
    <x v="11"/>
    <s v="MOPOSITA GUITARRA ENMA PATRICIA"/>
    <s v="001-001-000000198"/>
    <s v="Directo"/>
    <x v="178"/>
    <n v="8"/>
    <x v="66"/>
    <n v="240"/>
    <n v="0"/>
    <n v="240"/>
    <n v="21.98"/>
    <n v="2.7475000000000001"/>
    <n v="0.42"/>
    <n v="3.36"/>
    <n v="218.02"/>
  </r>
  <r>
    <x v="80"/>
    <x v="11"/>
    <s v="ANDRADE CHECA DIANA LUCIA"/>
    <s v="001-001-000000307"/>
    <s v="Directo"/>
    <x v="65"/>
    <n v="32"/>
    <x v="66"/>
    <n v="960"/>
    <n v="144"/>
    <n v="816"/>
    <n v="87.92"/>
    <n v="2.7475000000000001"/>
    <n v="0.42"/>
    <n v="13.44"/>
    <n v="728.08"/>
  </r>
  <r>
    <x v="46"/>
    <x v="10"/>
    <s v="SERRANO GARRIDO GIOVANNA DEL ROCIO"/>
    <s v="001-001-000000128"/>
    <s v="Directo"/>
    <x v="16"/>
    <n v="12.22"/>
    <x v="67"/>
    <n v="672.09500000000003"/>
    <n v="235.23500000000001"/>
    <n v="436.86"/>
    <n v="76.799999380000003"/>
    <n v="6.2847789999999994"/>
    <n v="1"/>
    <n v="12.22"/>
    <n v="360.06000061999998"/>
  </r>
  <r>
    <x v="226"/>
    <x v="10"/>
    <s v="OFICINA"/>
    <s v="001-001-000000592"/>
    <s v="Distribuidores"/>
    <x v="21"/>
    <n v="25.49"/>
    <x v="67"/>
    <n v="1261.2458199999999"/>
    <n v="441.43581999999998"/>
    <n v="819.81"/>
    <n v="117.8076428"/>
    <n v="4.6217199999999998"/>
    <n v="1"/>
    <n v="25.49"/>
    <n v="702.00235720000001"/>
  </r>
  <r>
    <x v="298"/>
    <x v="4"/>
    <s v="SERRANO GARRIDO GIOVANNA DEL ROCIO"/>
    <s v="001-001-000000263"/>
    <s v="Distribuidores"/>
    <x v="20"/>
    <n v="16.12"/>
    <x v="68"/>
    <n v="548.07799999999997"/>
    <n v="191.828"/>
    <n v="356.25"/>
    <n v="100.35341576"/>
    <n v="6.2253980000000002"/>
    <n v="1"/>
    <n v="16.12"/>
    <n v="255.89658423999998"/>
  </r>
  <r>
    <x v="299"/>
    <x v="4"/>
    <s v="CASTILLO YAQUE SONIA ROXANA"/>
    <s v="001-001-000000300"/>
    <s v="Distribuidores"/>
    <x v="20"/>
    <n v="86.18"/>
    <x v="68"/>
    <n v="2960.2831999999999"/>
    <n v="1184.1132"/>
    <n v="1776.17"/>
    <n v="536.50479963999999"/>
    <n v="6.2253979999999993"/>
    <n v="1"/>
    <n v="86.18"/>
    <n v="1239.6652003600002"/>
  </r>
  <r>
    <x v="300"/>
    <x v="4"/>
    <s v="OFICINA"/>
    <s v="001-001-000000652"/>
    <s v="Distribuidores"/>
    <x v="20"/>
    <n v="6.2"/>
    <x v="68"/>
    <n v="212.9665"/>
    <n v="95.836500000000001"/>
    <n v="117.13"/>
    <n v="38.765921599999999"/>
    <n v="6.2525679999999992"/>
    <n v="1"/>
    <n v="6.2"/>
    <n v="78.364078399999997"/>
  </r>
  <r>
    <x v="237"/>
    <x v="4"/>
    <s v="OFICINA"/>
    <s v="001-001-000000671"/>
    <s v="Distribuidores"/>
    <x v="128"/>
    <n v="25"/>
    <x v="68"/>
    <n v="858.75250000000005"/>
    <n v="300.5625"/>
    <n v="558.19000000000005"/>
    <n v="156.3142"/>
    <n v="6.2525680000000001"/>
    <n v="1"/>
    <n v="25"/>
    <n v="401.87580000000003"/>
  </r>
  <r>
    <x v="301"/>
    <x v="4"/>
    <s v="OFICINA"/>
    <s v="001-001-000000784"/>
    <s v="Distribuidores"/>
    <x v="21"/>
    <n v="37.200000000000003"/>
    <x v="68"/>
    <n v="1277.816"/>
    <n v="383.346"/>
    <n v="894.47"/>
    <n v="225.76531199999999"/>
    <n v="6.0689599999999997"/>
    <n v="1"/>
    <n v="37.200000000000003"/>
    <n v="668.70468800000003"/>
  </r>
  <r>
    <x v="302"/>
    <x v="4"/>
    <s v="OFICINA"/>
    <s v="001-001-000000807"/>
    <s v="Distribuidores"/>
    <x v="21"/>
    <n v="25.42"/>
    <x v="68"/>
    <n v="873.18309999999997"/>
    <n v="261.95310000000001"/>
    <n v="611.23"/>
    <n v="153.71280808"/>
    <n v="6.0469239999999997"/>
    <n v="1"/>
    <n v="25.42"/>
    <n v="457.51719192000002"/>
  </r>
  <r>
    <x v="303"/>
    <x v="4"/>
    <s v="OFICINA"/>
    <s v="001-001-000000850"/>
    <s v="Distribuidores"/>
    <x v="21"/>
    <n v="4.34"/>
    <x v="68"/>
    <n v="149.08369999999999"/>
    <n v="44.723700000000001"/>
    <n v="104.36"/>
    <n v="27.6272682"/>
    <n v="6.3657300000000001"/>
    <n v="1"/>
    <n v="4.34"/>
    <n v="76.732731799999996"/>
  </r>
  <r>
    <x v="304"/>
    <x v="4"/>
    <s v="OFICINA"/>
    <s v="001-001-000000860"/>
    <s v="Distribuidores"/>
    <x v="20"/>
    <n v="16.12"/>
    <x v="68"/>
    <n v="553.72490000000005"/>
    <n v="249.17490000000001"/>
    <n v="304.55"/>
    <n v="102.61556760000001"/>
    <n v="6.3657300000000001"/>
    <n v="1"/>
    <n v="16.12"/>
    <n v="201.93443239999999"/>
  </r>
  <r>
    <x v="130"/>
    <x v="4"/>
    <s v="OFICINA"/>
    <s v="001-001-000000653"/>
    <s v="Distribuidores"/>
    <x v="98"/>
    <n v="7"/>
    <x v="68"/>
    <n v="240.44749999999999"/>
    <n v="84.157499999999999"/>
    <n v="156.29"/>
    <n v="4.3299969999999997"/>
    <n v="0.61857099999999998"/>
    <n v="1"/>
    <n v="7"/>
    <n v="151.960003"/>
  </r>
  <r>
    <x v="32"/>
    <x v="4"/>
    <s v="OFICINA"/>
    <s v="001-001-000000040"/>
    <s v="Directo"/>
    <x v="16"/>
    <n v="56.42"/>
    <x v="69"/>
    <n v="1985.9784000000002"/>
    <n v="198.5984"/>
    <n v="1787.38"/>
    <n v="382.63479799999999"/>
    <n v="6.7818999999999994"/>
    <n v="1"/>
    <n v="56.42"/>
    <n v="1404.7452020000001"/>
  </r>
  <r>
    <x v="50"/>
    <x v="4"/>
    <s v="SERRANO GARRIDO GIOVANNA DEL ROCIO"/>
    <s v="001-001-000000165"/>
    <s v="Arquitectos"/>
    <x v="165"/>
    <n v="3.1"/>
    <x v="69"/>
    <n v="105.4"/>
    <n v="31.62"/>
    <n v="73.78"/>
    <n v="20.77"/>
    <n v="6.6999999999999993"/>
    <n v="1"/>
    <n v="3.1"/>
    <n v="53.010000000000005"/>
  </r>
  <r>
    <x v="305"/>
    <x v="4"/>
    <s v="SERRANO GARRIDO GIOVANNA DEL ROCIO"/>
    <s v="001-001-000000193"/>
    <s v="Distribuidores"/>
    <x v="20"/>
    <n v="47.12"/>
    <x v="69"/>
    <n v="1602.078"/>
    <n v="560.72799999999995"/>
    <n v="1041.3499999999999"/>
    <n v="321.66491559999997"/>
    <n v="6.826505"/>
    <n v="1"/>
    <n v="47.12"/>
    <n v="719.68508439999994"/>
  </r>
  <r>
    <x v="59"/>
    <x v="4"/>
    <s v="SERRANO GARRIDO GIOVANNA DEL ROCIO"/>
    <s v="001-001-000000208"/>
    <s v="Distribuidores"/>
    <x v="20"/>
    <n v="615.04"/>
    <x v="69"/>
    <n v="20911.364000000001"/>
    <n v="8364.5439999999999"/>
    <n v="12546.82"/>
    <n v="3945.6624217600001"/>
    <n v="6.4152940000000003"/>
    <n v="1"/>
    <n v="615.04"/>
    <n v="8601.1575782399996"/>
  </r>
  <r>
    <x v="92"/>
    <x v="4"/>
    <s v="ANDRADE CHECA DIANA LUCIA"/>
    <s v="001-001-000000366"/>
    <s v="Directo"/>
    <x v="65"/>
    <n v="118"/>
    <x v="69"/>
    <n v="4053.2999999999997"/>
    <n v="810.66"/>
    <n v="3242.64"/>
    <n v="696.64828199999999"/>
    <n v="5.9037990000000002"/>
    <n v="1"/>
    <n v="118"/>
    <n v="2545.9917179999998"/>
  </r>
  <r>
    <x v="284"/>
    <x v="4"/>
    <s v="OFICINA"/>
    <s v="001-001-000000503"/>
    <s v="Directo"/>
    <x v="173"/>
    <n v="10.01"/>
    <x v="69"/>
    <n v="343.84305000000001"/>
    <n v="103.15304999999999"/>
    <n v="240.69"/>
    <n v="50.512832369999998"/>
    <n v="5.0462369999999996"/>
    <n v="1"/>
    <n v="10.01"/>
    <n v="190.17716762999999"/>
  </r>
  <r>
    <x v="114"/>
    <x v="4"/>
    <s v="OFICINA"/>
    <s v="001-001-000000533"/>
    <s v="Directo"/>
    <x v="93"/>
    <n v="122"/>
    <x v="69"/>
    <n v="4190.7049999999999"/>
    <n v="1466.7449999999999"/>
    <n v="2723.96"/>
    <n v="602.560562"/>
    <n v="4.9390210000000003"/>
    <n v="1"/>
    <n v="122"/>
    <n v="2121.3994379999999"/>
  </r>
  <r>
    <x v="306"/>
    <x v="4"/>
    <s v="OFICINA"/>
    <s v="001-001-000000558"/>
    <s v="Directo"/>
    <x v="93"/>
    <n v="27.28"/>
    <x v="69"/>
    <n v="937.07380000000001"/>
    <n v="327.97379999999998"/>
    <n v="609.1"/>
    <n v="113.01241951999999"/>
    <n v="4.142684"/>
    <n v="1"/>
    <n v="27.28"/>
    <n v="496.08758048000004"/>
  </r>
  <r>
    <x v="126"/>
    <x v="4"/>
    <s v="JULIO VASQUEZ"/>
    <s v="001-001-000000635"/>
    <s v="Constructores"/>
    <x v="104"/>
    <n v="7.0000000000000007E-2"/>
    <x v="69"/>
    <n v="2.4045000000000001"/>
    <n v="2.4045000000000001"/>
    <n v="0"/>
    <n v="0.29940988000000002"/>
    <n v="4.2772839999999999"/>
    <n v="1"/>
    <n v="7.0000000000000007E-2"/>
    <n v="-0.29940988000000002"/>
  </r>
  <r>
    <x v="300"/>
    <x v="4"/>
    <s v="OFICINA"/>
    <s v="001-001-000000652"/>
    <s v="Distribuidores"/>
    <x v="20"/>
    <n v="44.02"/>
    <x v="69"/>
    <n v="1512.08915"/>
    <n v="680.43915000000004"/>
    <n v="831.65"/>
    <n v="187.21023690000001"/>
    <n v="4.2528449999999998"/>
    <n v="1"/>
    <n v="44.02"/>
    <n v="644.43976309999994"/>
  </r>
  <r>
    <x v="130"/>
    <x v="4"/>
    <s v="OFICINA"/>
    <s v="001-001-000000653"/>
    <s v="Distribuidores"/>
    <x v="98"/>
    <n v="1"/>
    <x v="69"/>
    <n v="34.352499999999999"/>
    <n v="12.022500000000001"/>
    <n v="22.33"/>
    <n v="4.2528449999999998"/>
    <n v="4.2528449999999998"/>
    <n v="1"/>
    <n v="1"/>
    <n v="18.077154999999998"/>
  </r>
  <r>
    <x v="140"/>
    <x v="4"/>
    <s v="OFICINA"/>
    <s v="001-001-000000709"/>
    <s v="Constructores"/>
    <x v="104"/>
    <n v="52"/>
    <x v="69"/>
    <n v="1786.2"/>
    <n v="267.93"/>
    <n v="1518.27"/>
    <n v="233.53678400000001"/>
    <n v="4.4910920000000001"/>
    <n v="1"/>
    <n v="52"/>
    <n v="1284.7332160000001"/>
  </r>
  <r>
    <x v="144"/>
    <x v="4"/>
    <s v="OFICINA"/>
    <s v="001-001-000000742"/>
    <s v="Constructores"/>
    <x v="104"/>
    <n v="3.1"/>
    <x v="69"/>
    <n v="106.49275"/>
    <n v="15.97275"/>
    <n v="90.52"/>
    <n v="14.3306521"/>
    <n v="4.6227909999999994"/>
    <n v="1"/>
    <n v="3.1"/>
    <n v="76.189347900000001"/>
  </r>
  <r>
    <x v="307"/>
    <x v="4"/>
    <s v="OFICINA"/>
    <s v="001-001-000000852"/>
    <s v="Distribuidores"/>
    <x v="20"/>
    <n v="3.1"/>
    <x v="69"/>
    <n v="106.47825"/>
    <n v="47.91825"/>
    <n v="58.56"/>
    <n v="14.3306521"/>
    <n v="4.6227909999999994"/>
    <n v="1"/>
    <n v="3.1"/>
    <n v="44.2293479"/>
  </r>
  <r>
    <x v="161"/>
    <x v="4"/>
    <s v="OFICINA"/>
    <s v="001-001-000000881"/>
    <s v="Distribuidores"/>
    <x v="98"/>
    <n v="2"/>
    <x v="69"/>
    <n v="68.7"/>
    <n v="0"/>
    <n v="68.7"/>
    <n v="9.2455820000000006"/>
    <n v="4.6227910000000003"/>
    <n v="1"/>
    <n v="2"/>
    <n v="59.454418000000004"/>
  </r>
  <r>
    <x v="203"/>
    <x v="12"/>
    <s v="OFICINA"/>
    <s v="001-001-000000801"/>
    <s v="Distribuidores"/>
    <x v="20"/>
    <n v="30.1"/>
    <x v="70"/>
    <n v="1170.2896000000001"/>
    <n v="526.62959999999998"/>
    <n v="643.66"/>
    <n v="17.948509600000001"/>
    <n v="0.59629600000000005"/>
    <n v="1"/>
    <n v="30.1"/>
    <n v="625.7114904"/>
  </r>
  <r>
    <x v="308"/>
    <x v="12"/>
    <s v="OFICINA"/>
    <s v="001-001-000000664"/>
    <s v="Distribuidores"/>
    <x v="128"/>
    <n v="24"/>
    <x v="71"/>
    <n v="824.40000000000009"/>
    <n v="288.54000000000002"/>
    <n v="535.86"/>
    <n v="0"/>
    <n v="0"/>
    <n v="1"/>
    <n v="24"/>
    <n v="535.86"/>
  </r>
  <r>
    <x v="138"/>
    <x v="12"/>
    <s v="OFICINA"/>
    <s v="001-001-000000695"/>
    <s v="Distribuidores"/>
    <x v="45"/>
    <n v="9"/>
    <x v="71"/>
    <n v="309.15499999999997"/>
    <n v="92.745000000000005"/>
    <n v="216.41"/>
    <n v="5.0312159999999997"/>
    <n v="0.55902399999999997"/>
    <n v="1"/>
    <n v="9"/>
    <n v="211.378784"/>
  </r>
  <r>
    <x v="309"/>
    <x v="12"/>
    <s v="OFICINA"/>
    <s v="001-001-000000744"/>
    <s v="Directo"/>
    <x v="179"/>
    <n v="17.5"/>
    <x v="71"/>
    <n v="601.13249999999994"/>
    <n v="60.112499999999997"/>
    <n v="541.02"/>
    <n v="9.0102600000000006"/>
    <n v="0.514872"/>
    <n v="1"/>
    <n v="17.5"/>
    <n v="532.00973999999997"/>
  </r>
  <r>
    <x v="23"/>
    <x v="13"/>
    <s v="BALLADARES PEREZ REINA JACQUELINE"/>
    <s v="001-001-000000002"/>
    <s v="Directo"/>
    <x v="180"/>
    <n v="10.08"/>
    <x v="72"/>
    <n v="423.36400000000003"/>
    <n v="63.503999999999998"/>
    <n v="359.86"/>
    <n v="71.808004800000006"/>
    <n v="7.1238100000000006"/>
    <n v="1"/>
    <n v="10.08"/>
    <n v="288.05199520000002"/>
  </r>
  <r>
    <x v="48"/>
    <x v="13"/>
    <s v="MOPOSITA GUITARRA ENMA PATRICIA"/>
    <s v="001-001-000000151"/>
    <s v="Directo"/>
    <x v="35"/>
    <n v="5.18"/>
    <x v="72"/>
    <n v="217.55799999999999"/>
    <n v="10.878"/>
    <n v="206.68"/>
    <n v="38.993890039999997"/>
    <n v="7.5277779999999996"/>
    <n v="1"/>
    <n v="5.18"/>
    <n v="167.68610996000001"/>
  </r>
  <r>
    <x v="310"/>
    <x v="13"/>
    <s v="MOPOSITA GUITARRA ENMA PATRICIA"/>
    <s v="001-001-000000249"/>
    <s v="Directo"/>
    <x v="181"/>
    <n v="1.8"/>
    <x v="72"/>
    <n v="75.599999999999994"/>
    <n v="0"/>
    <n v="75.599999999999994"/>
    <n v="13.202999999999999"/>
    <n v="7.3349999999999991"/>
    <n v="1"/>
    <n v="1.8"/>
    <n v="62.396999999999991"/>
  </r>
  <r>
    <x v="101"/>
    <x v="13"/>
    <s v="MOPOSITA GUITARRA ENMA PATRICIA"/>
    <s v="001-001-000000435"/>
    <s v="Directo"/>
    <x v="83"/>
    <n v="12"/>
    <x v="72"/>
    <n v="545.28200000000004"/>
    <n v="81.792000000000002"/>
    <n v="463.49"/>
    <n v="77.716331999999994"/>
    <n v="6.4763609999999998"/>
    <n v="1"/>
    <n v="12"/>
    <n v="385.77366800000004"/>
  </r>
  <r>
    <x v="311"/>
    <x v="13"/>
    <s v="MOPOSITA GUITARRA ENMA PATRICIA"/>
    <s v="001-001-000000485"/>
    <s v="Directo"/>
    <x v="182"/>
    <n v="1"/>
    <x v="72"/>
    <n v="38.880000000000003"/>
    <n v="0"/>
    <n v="38.880000000000003"/>
    <n v="6.4763609999999998"/>
    <n v="6.4763609999999998"/>
    <n v="1"/>
    <n v="1"/>
    <n v="32.403639000000005"/>
  </r>
  <r>
    <x v="111"/>
    <x v="13"/>
    <s v="MOPOSITA GUITARRA ENMA PATRICIA"/>
    <s v="001-001-000000501"/>
    <s v="Directo"/>
    <x v="94"/>
    <n v="20.399999999999999"/>
    <x v="72"/>
    <n v="793.14520000000005"/>
    <n v="79.315200000000004"/>
    <n v="713.83"/>
    <n v="113.872086"/>
    <n v="5.5819650000000003"/>
    <n v="1"/>
    <n v="20.399999999999999"/>
    <n v="599.95791400000007"/>
  </r>
  <r>
    <x v="247"/>
    <x v="13"/>
    <s v="OFICINA"/>
    <s v="001-001-000000545"/>
    <s v="Directo"/>
    <x v="182"/>
    <n v="1"/>
    <x v="72"/>
    <n v="38.880000000000003"/>
    <n v="0"/>
    <n v="38.880000000000003"/>
    <n v="5.2327269999999997"/>
    <n v="5.2327269999999997"/>
    <n v="1"/>
    <n v="1"/>
    <n v="33.647273000000006"/>
  </r>
  <r>
    <x v="158"/>
    <x v="13"/>
    <s v="OFICINA"/>
    <s v="001-001-000000862"/>
    <s v="Directo"/>
    <x v="123"/>
    <n v="125.67"/>
    <x v="72"/>
    <n v="4886.0499200000004"/>
    <n v="977.20992000000001"/>
    <n v="3908.84"/>
    <n v="609.28774605000001"/>
    <n v="4.8483150000000004"/>
    <n v="1"/>
    <n v="125.67"/>
    <n v="3299.5522539500002"/>
  </r>
  <r>
    <x v="205"/>
    <x v="13"/>
    <s v="OFICINA"/>
    <s v="001-001-000000865"/>
    <s v="Directo"/>
    <x v="182"/>
    <n v="1"/>
    <x v="72"/>
    <n v="38.880000000000003"/>
    <n v="0"/>
    <n v="38.880000000000003"/>
    <n v="4.8483150000000004"/>
    <n v="4.8483150000000004"/>
    <n v="1"/>
    <n v="1"/>
    <n v="34.031685000000003"/>
  </r>
  <r>
    <x v="48"/>
    <x v="13"/>
    <s v="MOPOSITA GUITARRA ENMA PATRICIA"/>
    <s v="001-001-000000151"/>
    <s v="Directo"/>
    <x v="35"/>
    <n v="7.92"/>
    <x v="72"/>
    <n v="356.4"/>
    <n v="17.82"/>
    <n v="338.58"/>
    <n v="58.726799999999997"/>
    <n v="7.415"/>
    <n v="1"/>
    <n v="7.92"/>
    <n v="279.85320000000002"/>
  </r>
  <r>
    <x v="310"/>
    <x v="13"/>
    <s v="MOPOSITA GUITARRA ENMA PATRICIA"/>
    <s v="001-001-000000249"/>
    <s v="Directo"/>
    <x v="181"/>
    <n v="1.2"/>
    <x v="72"/>
    <n v="54"/>
    <n v="3.78"/>
    <n v="50.22"/>
    <n v="8.8019999999999996"/>
    <n v="7.335"/>
    <n v="1"/>
    <n v="1.2"/>
    <n v="41.417999999999999"/>
  </r>
  <r>
    <x v="101"/>
    <x v="13"/>
    <s v="MOPOSITA GUITARRA ENMA PATRICIA"/>
    <s v="001-001-000000435"/>
    <s v="Directo"/>
    <x v="83"/>
    <n v="8"/>
    <x v="72"/>
    <n v="363.51800000000003"/>
    <n v="54.527999999999999"/>
    <n v="308.99"/>
    <n v="50.561168000000002"/>
    <n v="6.3201460000000003"/>
    <n v="1"/>
    <n v="8"/>
    <n v="258.428832"/>
  </r>
  <r>
    <x v="311"/>
    <x v="13"/>
    <s v="MOPOSITA GUITARRA ENMA PATRICIA"/>
    <s v="001-001-000000485"/>
    <s v="Directo"/>
    <x v="182"/>
    <n v="0.8"/>
    <x v="72"/>
    <n v="31.1"/>
    <n v="0"/>
    <n v="31.1"/>
    <n v="4.8399479999999997"/>
    <n v="6.0499349999999996"/>
    <n v="1"/>
    <n v="0.8"/>
    <n v="26.260052000000002"/>
  </r>
  <r>
    <x v="111"/>
    <x v="13"/>
    <s v="MOPOSITA GUITARRA ENMA PATRICIA"/>
    <s v="001-001-000000501"/>
    <s v="Directo"/>
    <x v="94"/>
    <n v="13.6"/>
    <x v="72"/>
    <n v="528.76679999999999"/>
    <n v="52.876800000000003"/>
    <n v="475.89"/>
    <n v="80.2742176"/>
    <n v="5.9025160000000003"/>
    <n v="1"/>
    <n v="13.6"/>
    <n v="395.6157824"/>
  </r>
  <r>
    <x v="247"/>
    <x v="13"/>
    <s v="OFICINA"/>
    <s v="001-001-000000545"/>
    <s v="Directo"/>
    <x v="182"/>
    <n v="0.8"/>
    <x v="72"/>
    <n v="31.1"/>
    <n v="0"/>
    <n v="31.1"/>
    <n v="4.5250000000000004"/>
    <n v="5.65625"/>
    <n v="1"/>
    <n v="0.8"/>
    <n v="26.575000000000003"/>
  </r>
  <r>
    <x v="158"/>
    <x v="13"/>
    <s v="OFICINA"/>
    <s v="001-001-000000862"/>
    <s v="Directo"/>
    <x v="123"/>
    <n v="115.1"/>
    <x v="72"/>
    <n v="4475.0875999999998"/>
    <n v="895.01760000000002"/>
    <n v="3580.07"/>
    <n v="344.73762140000002"/>
    <n v="2.9951140000000005"/>
    <n v="1"/>
    <n v="115.1"/>
    <n v="3235.3323786000001"/>
  </r>
  <r>
    <x v="205"/>
    <x v="13"/>
    <s v="OFICINA"/>
    <s v="001-001-000000865"/>
    <s v="Directo"/>
    <x v="182"/>
    <n v="0.6"/>
    <x v="72"/>
    <n v="23.33"/>
    <n v="0"/>
    <n v="23.33"/>
    <n v="1.7790678"/>
    <n v="2.9651130000000001"/>
    <n v="1"/>
    <n v="0.6"/>
    <n v="21.550932199999998"/>
  </r>
  <r>
    <x v="11"/>
    <x v="12"/>
    <s v="MOPOSITA GUITARRA ENMA PATRICIA"/>
    <s v="001-001-000000351"/>
    <s v="Distribuidores"/>
    <x v="20"/>
    <n v="3"/>
    <x v="73"/>
    <n v="103.04750000000001"/>
    <n v="36.067500000000003"/>
    <n v="66.98"/>
    <n v="21.642474"/>
    <n v="7.2141580000000003"/>
    <n v="1"/>
    <n v="3"/>
    <n v="45.337526000000004"/>
  </r>
  <r>
    <x v="312"/>
    <x v="12"/>
    <s v="OFICINA"/>
    <s v="001-001-000000601"/>
    <s v="Distribuidores"/>
    <x v="20"/>
    <n v="25.2"/>
    <x v="73"/>
    <n v="865.61899999999991"/>
    <n v="389.529"/>
    <n v="476.09"/>
    <n v="136.119564"/>
    <n v="5.4015700000000004"/>
    <n v="1"/>
    <n v="25.2"/>
    <n v="339.97043599999995"/>
  </r>
  <r>
    <x v="123"/>
    <x v="12"/>
    <s v="OFICINA"/>
    <s v="001-001-000000615"/>
    <s v="Distribuidores"/>
    <x v="20"/>
    <n v="12.6"/>
    <x v="73"/>
    <n v="432.81450000000001"/>
    <n v="194.7645"/>
    <n v="238.05"/>
    <n v="54.015519599999998"/>
    <n v="4.2869460000000004"/>
    <n v="1"/>
    <n v="12.6"/>
    <n v="184.03448040000001"/>
  </r>
  <r>
    <x v="313"/>
    <x v="12"/>
    <s v="OFICINA"/>
    <s v="001-001-000000672"/>
    <s v="Distribuidores"/>
    <x v="20"/>
    <n v="22"/>
    <x v="73"/>
    <n v="755.70499999999993"/>
    <n v="340.065"/>
    <n v="415.64"/>
    <n v="80.552868000000004"/>
    <n v="3.6614940000000002"/>
    <n v="1"/>
    <n v="22"/>
    <n v="335.087132"/>
  </r>
  <r>
    <x v="142"/>
    <x v="12"/>
    <s v="OFICINA"/>
    <s v="001-001-000000720"/>
    <s v="Distribuidores"/>
    <x v="114"/>
    <n v="33"/>
    <x v="73"/>
    <n v="1133.5550000000001"/>
    <n v="340.065"/>
    <n v="793.49"/>
    <n v="120.829302"/>
    <n v="3.6614939999999998"/>
    <n v="1"/>
    <n v="33"/>
    <n v="672.66069800000002"/>
  </r>
  <r>
    <x v="143"/>
    <x v="12"/>
    <s v="OFICINA"/>
    <s v="001-001-000000739"/>
    <s v="Distribuidores"/>
    <x v="114"/>
    <n v="1.5"/>
    <x v="73"/>
    <n v="51.517499999999998"/>
    <n v="15.4575"/>
    <n v="36.06"/>
    <n v="5.4922409999999999"/>
    <n v="3.6614939999999998"/>
    <n v="1"/>
    <n v="1.5"/>
    <n v="30.567759000000002"/>
  </r>
  <r>
    <x v="199"/>
    <x v="12"/>
    <s v="JULIO VASQUEZ"/>
    <s v="001-001-000000089"/>
    <s v="Arquitectos"/>
    <x v="39"/>
    <n v="9"/>
    <x v="74"/>
    <n v="306"/>
    <n v="0"/>
    <n v="306"/>
    <n v="45.369801000000002"/>
    <n v="5.0410890000000004"/>
    <n v="1"/>
    <n v="9"/>
    <n v="260.630199"/>
  </r>
  <r>
    <x v="41"/>
    <x v="12"/>
    <s v="MOPOSITA GUITARRA ENMA PATRICIA"/>
    <s v="001-001-000000101"/>
    <s v="Directo"/>
    <x v="26"/>
    <n v="250"/>
    <x v="74"/>
    <n v="8500"/>
    <n v="2278"/>
    <n v="6222"/>
    <n v="1260.0235"/>
    <n v="5.0400939999999999"/>
    <n v="1"/>
    <n v="250"/>
    <n v="4961.9764999999998"/>
  </r>
  <r>
    <x v="60"/>
    <x v="12"/>
    <s v="MOPOSITA GUITARRA ENMA PATRICIA"/>
    <s v="001-001-000000222"/>
    <s v="Directo"/>
    <x v="26"/>
    <n v="20"/>
    <x v="74"/>
    <n v="680"/>
    <n v="182.24"/>
    <n v="497.76"/>
    <n v="102.0067"/>
    <n v="5.1003349999999994"/>
    <n v="1"/>
    <n v="20"/>
    <n v="395.75329999999997"/>
  </r>
  <r>
    <x v="314"/>
    <x v="12"/>
    <s v="ANDRADE CHECA DIANA LUCIA"/>
    <s v="001-001-000000266"/>
    <s v="Directo"/>
    <x v="26"/>
    <n v="6"/>
    <x v="74"/>
    <n v="206.1"/>
    <n v="0"/>
    <n v="206.1"/>
    <n v="30.542088"/>
    <n v="5.0903479999999997"/>
    <n v="1"/>
    <n v="6"/>
    <n v="175.55791199999999"/>
  </r>
  <r>
    <x v="315"/>
    <x v="12"/>
    <s v="CASTILLO YAQUE SONIA ROXANA"/>
    <s v="001-001-000000326"/>
    <s v="Distribuidores"/>
    <x v="20"/>
    <n v="48"/>
    <x v="74"/>
    <n v="1648.8"/>
    <n v="0"/>
    <n v="1648.8"/>
    <n v="240.319008"/>
    <n v="5.0066459999999999"/>
    <n v="1"/>
    <n v="48"/>
    <n v="1408.480992"/>
  </r>
  <r>
    <x v="87"/>
    <x v="12"/>
    <s v="MOPOSITA GUITARRA ENMA PATRICIA"/>
    <s v="001-001-000000336"/>
    <s v="Distribuidores"/>
    <x v="20"/>
    <n v="107"/>
    <x v="74"/>
    <n v="3675.45"/>
    <n v="1470.18"/>
    <n v="2205.27"/>
    <n v="535.71112200000005"/>
    <n v="5.0066460000000008"/>
    <n v="1"/>
    <n v="107"/>
    <n v="1669.5588779999998"/>
  </r>
  <r>
    <x v="316"/>
    <x v="12"/>
    <s v="CASTILLO YAQUE SONIA ROXANA"/>
    <s v="001-001-000000372"/>
    <s v="Distribuidores"/>
    <x v="20"/>
    <n v="23.4"/>
    <x v="74"/>
    <n v="803.78600000000006"/>
    <n v="321.51600000000002"/>
    <n v="482.27"/>
    <n v="116.10246960000001"/>
    <n v="4.9616440000000006"/>
    <n v="1"/>
    <n v="23.4"/>
    <n v="366.16753039999998"/>
  </r>
  <r>
    <x v="317"/>
    <x v="12"/>
    <s v="CASTILLO YAQUE SONIA ROXANA"/>
    <s v="001-001-000000376"/>
    <s v="Distribuidores"/>
    <x v="20"/>
    <n v="12"/>
    <x v="74"/>
    <n v="412.2"/>
    <n v="164.88"/>
    <n v="247.32"/>
    <n v="59.719571999999999"/>
    <n v="4.9766310000000002"/>
    <n v="1"/>
    <n v="12"/>
    <n v="187.60042799999999"/>
  </r>
  <r>
    <x v="317"/>
    <x v="12"/>
    <s v="CASTILLO YAQUE SONIA ROXANA"/>
    <s v="001-001-000000377"/>
    <s v="Distribuidores"/>
    <x v="20"/>
    <n v="25"/>
    <x v="74"/>
    <n v="858.75"/>
    <n v="343.5"/>
    <n v="515.25"/>
    <n v="124.415775"/>
    <n v="4.9766310000000002"/>
    <n v="1"/>
    <n v="25"/>
    <n v="390.834225"/>
  </r>
  <r>
    <x v="312"/>
    <x v="12"/>
    <s v="OFICINA"/>
    <s v="001-001-000000601"/>
    <s v="Distribuidores"/>
    <x v="20"/>
    <n v="25.2"/>
    <x v="74"/>
    <n v="865.61899999999991"/>
    <n v="389.529"/>
    <n v="476.09"/>
    <n v="111.7658304"/>
    <n v="4.4351520000000004"/>
    <n v="1"/>
    <n v="25.2"/>
    <n v="364.3241696"/>
  </r>
  <r>
    <x v="133"/>
    <x v="12"/>
    <s v="OFICINA"/>
    <s v="001-001-000000666"/>
    <s v="Directo"/>
    <x v="107"/>
    <n v="13"/>
    <x v="74"/>
    <n v="446.55499999999995"/>
    <n v="133.965"/>
    <n v="312.58999999999997"/>
    <n v="53.923986999999997"/>
    <n v="4.1479989999999995"/>
    <n v="1"/>
    <n v="13"/>
    <n v="258.66601299999996"/>
  </r>
  <r>
    <x v="318"/>
    <x v="12"/>
    <s v="OFICINA"/>
    <s v="001-001-000000723"/>
    <s v="Distribuidores"/>
    <x v="21"/>
    <n v="5"/>
    <x v="74"/>
    <n v="171.7525"/>
    <n v="60.112499999999997"/>
    <n v="111.64"/>
    <n v="20.739995"/>
    <n v="4.1479990000000004"/>
    <n v="1"/>
    <n v="5"/>
    <n v="90.900004999999993"/>
  </r>
  <r>
    <x v="319"/>
    <x v="12"/>
    <s v="OFICINA"/>
    <s v="001-001-000000766"/>
    <s v="Distribuidores"/>
    <x v="21"/>
    <n v="5"/>
    <x v="74"/>
    <n v="171.7525"/>
    <n v="60.112499999999997"/>
    <n v="111.64"/>
    <n v="20.739995"/>
    <n v="4.1479990000000004"/>
    <n v="1"/>
    <n v="5"/>
    <n v="90.900004999999993"/>
  </r>
  <r>
    <x v="320"/>
    <x v="12"/>
    <s v="OFICINA"/>
    <s v="001-001-000000770"/>
    <s v="Distribuidores"/>
    <x v="20"/>
    <n v="128"/>
    <x v="74"/>
    <n v="4396.7999999999993"/>
    <n v="1978.56"/>
    <n v="2418.2399999999998"/>
    <n v="530.94387200000006"/>
    <n v="4.1479990000000004"/>
    <n v="1"/>
    <n v="128"/>
    <n v="1887.2961279999997"/>
  </r>
  <r>
    <x v="153"/>
    <x v="12"/>
    <s v="OFICINA"/>
    <s v="001-001-000000819"/>
    <s v="Distribuidores"/>
    <x v="20"/>
    <n v="3"/>
    <x v="74"/>
    <n v="103.05250000000001"/>
    <n v="46.372500000000002"/>
    <n v="56.68"/>
    <n v="10.180227"/>
    <n v="3.3934090000000001"/>
    <n v="1"/>
    <n v="3"/>
    <n v="46.499772999999998"/>
  </r>
  <r>
    <x v="250"/>
    <x v="12"/>
    <s v="OFICINA"/>
    <s v="001-001-000000891"/>
    <s v="Distribuidores"/>
    <x v="20"/>
    <n v="1"/>
    <x v="74"/>
    <n v="34.347499999999997"/>
    <n v="15.4575"/>
    <n v="18.89"/>
    <n v="3.5420560000000001"/>
    <n v="3.5420560000000001"/>
    <n v="1"/>
    <n v="1"/>
    <n v="15.347944"/>
  </r>
  <r>
    <x v="24"/>
    <x v="12"/>
    <s v="SERRANO GARRIDO GIOVANNA DEL ROCIO"/>
    <s v="001-001-000000007"/>
    <s v="Directo"/>
    <x v="3"/>
    <n v="13"/>
    <x v="75"/>
    <n v="494"/>
    <n v="24.7"/>
    <n v="469.3"/>
    <n v="77.987260000000006"/>
    <n v="5.9990200000000007"/>
    <n v="1"/>
    <n v="13"/>
    <n v="391.31274000000002"/>
  </r>
  <r>
    <x v="210"/>
    <x v="12"/>
    <s v="SERRANO GARRIDO GIOVANNA DEL ROCIO"/>
    <s v="001-001-000000081"/>
    <s v="Distribuidores"/>
    <x v="20"/>
    <n v="36"/>
    <x v="75"/>
    <n v="1368"/>
    <n v="478.8"/>
    <n v="889.2"/>
    <n v="228.35293200000001"/>
    <n v="6.3431370000000005"/>
    <n v="1"/>
    <n v="36"/>
    <n v="660.84706800000004"/>
  </r>
  <r>
    <x v="55"/>
    <x v="12"/>
    <s v="SERRANO GARRIDO GIOVANNA DEL ROCIO"/>
    <s v="001-001-000000178"/>
    <s v="Directo"/>
    <x v="43"/>
    <n v="9"/>
    <x v="75"/>
    <n v="306"/>
    <n v="45.9"/>
    <n v="260.10000000000002"/>
    <n v="57.016458"/>
    <n v="6.3351620000000004"/>
    <n v="1"/>
    <n v="9"/>
    <n v="203.08354200000002"/>
  </r>
  <r>
    <x v="321"/>
    <x v="12"/>
    <s v="SERRANO GARRIDO GIOVANNA DEL ROCIO"/>
    <s v="001-001-000000188"/>
    <s v="Arquitectos"/>
    <x v="183"/>
    <n v="1"/>
    <x v="75"/>
    <n v="34"/>
    <n v="5.0999999999999996"/>
    <n v="28.9"/>
    <n v="6.3351620000000004"/>
    <n v="6.3351620000000004"/>
    <n v="1"/>
    <n v="1"/>
    <n v="22.564837999999998"/>
  </r>
  <r>
    <x v="84"/>
    <x v="12"/>
    <s v="MOPOSITA GUITARRA ENMA PATRICIA"/>
    <s v="001-001-000000316"/>
    <s v="Distribuidores"/>
    <x v="20"/>
    <n v="10"/>
    <x v="75"/>
    <n v="343.505"/>
    <n v="120.22499999999999"/>
    <n v="223.28"/>
    <n v="59.95579"/>
    <n v="5.9955790000000002"/>
    <n v="1"/>
    <n v="10"/>
    <n v="163.32420999999999"/>
  </r>
  <r>
    <x v="220"/>
    <x v="12"/>
    <s v="CASTILLO YAQUE SONIA ROXANA"/>
    <s v="001-001-000000383"/>
    <s v="Distribuidores"/>
    <x v="20"/>
    <n v="15"/>
    <x v="75"/>
    <n v="515.24750000000006"/>
    <n v="180.33750000000001"/>
    <n v="334.91"/>
    <n v="85.983855000000005"/>
    <n v="5.7322570000000006"/>
    <n v="1"/>
    <n v="15"/>
    <n v="248.92614500000002"/>
  </r>
  <r>
    <x v="322"/>
    <x v="12"/>
    <s v="MOPOSITA GUITARRA ENMA PATRICIA"/>
    <s v="001-001-000000418"/>
    <s v="Distribuidores"/>
    <x v="20"/>
    <n v="45"/>
    <x v="75"/>
    <n v="1545.7525000000001"/>
    <n v="541.01250000000005"/>
    <n v="1004.74"/>
    <n v="270.48208499999998"/>
    <n v="6.010713"/>
    <n v="1"/>
    <n v="45"/>
    <n v="734.25791500000003"/>
  </r>
  <r>
    <x v="323"/>
    <x v="12"/>
    <s v="MOPOSITA GUITARRA ENMA PATRICIA"/>
    <s v="001-001-000000438"/>
    <s v="Distribuidores"/>
    <x v="20"/>
    <n v="45"/>
    <x v="75"/>
    <n v="1545.7525000000001"/>
    <n v="541.01250000000005"/>
    <n v="1004.74"/>
    <n v="252.41206500000001"/>
    <n v="5.6091570000000006"/>
    <n v="1"/>
    <n v="45"/>
    <n v="752.32793500000002"/>
  </r>
  <r>
    <x v="284"/>
    <x v="12"/>
    <s v="OFICINA"/>
    <s v="001-001-000000503"/>
    <s v="Directo"/>
    <x v="173"/>
    <n v="10"/>
    <x v="75"/>
    <n v="343.5"/>
    <n v="103.05"/>
    <n v="240.45"/>
    <n v="56.091569999999997"/>
    <n v="5.6091569999999997"/>
    <n v="1"/>
    <n v="10"/>
    <n v="184.35843"/>
  </r>
  <r>
    <x v="312"/>
    <x v="12"/>
    <s v="OFICINA"/>
    <s v="001-001-000000601"/>
    <s v="Distribuidores"/>
    <x v="20"/>
    <n v="25.2"/>
    <x v="75"/>
    <n v="865.61899999999991"/>
    <n v="389.529"/>
    <n v="476.09"/>
    <n v="141.35075639999999"/>
    <n v="5.6091569999999997"/>
    <n v="1"/>
    <n v="25.2"/>
    <n v="334.73924360000001"/>
  </r>
  <r>
    <x v="324"/>
    <x v="12"/>
    <s v="OFICINA"/>
    <s v="001-001-000000735"/>
    <s v="Distribuidores"/>
    <x v="21"/>
    <n v="10"/>
    <x v="75"/>
    <n v="343.5"/>
    <n v="103.05"/>
    <n v="240.45"/>
    <n v="50.989109999999997"/>
    <n v="5.0989109999999993"/>
    <n v="1"/>
    <n v="10"/>
    <n v="189.46089000000001"/>
  </r>
  <r>
    <x v="287"/>
    <x v="12"/>
    <s v="OFICINA"/>
    <s v="001-001-000000885"/>
    <s v="Distribuidores"/>
    <x v="21"/>
    <n v="2"/>
    <x v="75"/>
    <n v="68.7"/>
    <n v="20.61"/>
    <n v="48.09"/>
    <n v="10.197822"/>
    <n v="5.0989110000000002"/>
    <n v="1"/>
    <n v="2"/>
    <n v="37.892178000000001"/>
  </r>
  <r>
    <x v="31"/>
    <x v="12"/>
    <s v="SERRANO GARRIDO GIOVANNA DEL ROCIO"/>
    <s v="001-001-000000034"/>
    <s v="Distribuidores"/>
    <x v="151"/>
    <n v="4"/>
    <x v="76"/>
    <n v="152"/>
    <n v="45.6"/>
    <n v="106.4"/>
    <n v="26"/>
    <n v="6.5"/>
    <n v="1"/>
    <n v="4"/>
    <n v="80.400000000000006"/>
  </r>
  <r>
    <x v="210"/>
    <x v="12"/>
    <s v="SERRANO GARRIDO GIOVANNA DEL ROCIO"/>
    <s v="001-001-000000080"/>
    <s v="Distribuidores"/>
    <x v="151"/>
    <n v="2.5"/>
    <x v="76"/>
    <n v="95"/>
    <n v="28.5"/>
    <n v="66.5"/>
    <n v="19.925000000000001"/>
    <n v="7.9700000000000006"/>
    <n v="1"/>
    <n v="2.5"/>
    <n v="46.575000000000003"/>
  </r>
  <r>
    <x v="300"/>
    <x v="12"/>
    <s v="OFICINA"/>
    <s v="001-001-000000650"/>
    <s v="Distribuidores"/>
    <x v="20"/>
    <n v="85"/>
    <x v="77"/>
    <n v="2919.7474999999999"/>
    <n v="1313.8875"/>
    <n v="1605.86"/>
    <n v="95.955565000000007"/>
    <n v="1.128889"/>
    <n v="1"/>
    <n v="85"/>
    <n v="1509.9044349999999"/>
  </r>
  <r>
    <x v="91"/>
    <x v="12"/>
    <s v="MOPOSITA GUITARRA ENMA PATRICIA"/>
    <s v="001-001-000000359"/>
    <s v="Directo"/>
    <x v="74"/>
    <n v="17"/>
    <x v="78"/>
    <n v="578"/>
    <n v="86.7"/>
    <n v="491.3"/>
    <n v="112.352694"/>
    <n v="6.6089820000000001"/>
    <n v="1"/>
    <n v="17"/>
    <n v="378.94730600000003"/>
  </r>
  <r>
    <x v="325"/>
    <x v="12"/>
    <s v="OFICINA"/>
    <s v="001-001-000000415"/>
    <s v="Directo"/>
    <x v="184"/>
    <n v="11"/>
    <x v="78"/>
    <n v="377.84828500000003"/>
    <n v="124.728285"/>
    <n v="253.12"/>
    <n v="72.221050000000005"/>
    <n v="6.5655500000000009"/>
    <n v="1"/>
    <n v="11"/>
    <n v="180.89895000000001"/>
  </r>
  <r>
    <x v="100"/>
    <x v="12"/>
    <s v="MOPOSITA GUITARRA ENMA PATRICIA"/>
    <s v="001-001-000000423"/>
    <s v="Directo"/>
    <x v="82"/>
    <n v="7"/>
    <x v="78"/>
    <n v="240.45400000000001"/>
    <n v="28.853999999999999"/>
    <n v="211.6"/>
    <n v="45.958849999999998"/>
    <n v="6.56555"/>
    <n v="1"/>
    <n v="7"/>
    <n v="165.64114999999998"/>
  </r>
  <r>
    <x v="187"/>
    <x v="12"/>
    <s v="OFICINA"/>
    <s v="001-001-000000443"/>
    <s v="Directo"/>
    <x v="82"/>
    <n v="2"/>
    <x v="78"/>
    <n v="68.7"/>
    <n v="0"/>
    <n v="68.7"/>
    <n v="7.6189479999999996"/>
    <n v="3.8094739999999998"/>
    <n v="1"/>
    <n v="2"/>
    <n v="61.081052"/>
  </r>
  <r>
    <x v="191"/>
    <x v="12"/>
    <s v="OFICINA"/>
    <s v="001-001-000000563"/>
    <s v="Directo"/>
    <x v="185"/>
    <n v="35"/>
    <x v="78"/>
    <n v="1202.2549999999999"/>
    <n v="120.22499999999999"/>
    <n v="1082.03"/>
    <n v="97.455295000000007"/>
    <n v="2.7844370000000001"/>
    <n v="1"/>
    <n v="35"/>
    <n v="984.57470499999999"/>
  </r>
  <r>
    <x v="312"/>
    <x v="12"/>
    <s v="OFICINA"/>
    <s v="001-001-000000601"/>
    <s v="Distribuidores"/>
    <x v="20"/>
    <n v="25.2"/>
    <x v="78"/>
    <n v="865.61899999999991"/>
    <n v="389.529"/>
    <n v="476.09"/>
    <n v="62.522308799999998"/>
    <n v="2.4810439999999998"/>
    <n v="1"/>
    <n v="25.2"/>
    <n v="413.56769119999996"/>
  </r>
  <r>
    <x v="125"/>
    <x v="12"/>
    <s v="OFICINA"/>
    <s v="001-001-000000633"/>
    <s v="Distribuidores"/>
    <x v="45"/>
    <n v="22"/>
    <x v="78"/>
    <n v="755.7"/>
    <n v="226.71"/>
    <n v="528.99"/>
    <n v="53.808106000000002"/>
    <n v="2.4458230000000003"/>
    <n v="1"/>
    <n v="22"/>
    <n v="475.181894"/>
  </r>
  <r>
    <x v="326"/>
    <x v="12"/>
    <s v="OFICINA"/>
    <s v="001-001-000000761"/>
    <s v="Distribuidores"/>
    <x v="20"/>
    <n v="30"/>
    <x v="78"/>
    <n v="1030.5050000000001"/>
    <n v="463.72500000000002"/>
    <n v="566.78"/>
    <n v="72.320790000000002"/>
    <n v="2.4106930000000002"/>
    <n v="1"/>
    <n v="30"/>
    <n v="494.45920999999998"/>
  </r>
  <r>
    <x v="17"/>
    <x v="12"/>
    <s v="OFICINA"/>
    <s v="001-001-000000450"/>
    <s v="Directo"/>
    <x v="88"/>
    <n v="17"/>
    <x v="71"/>
    <n v="583.95499999999993"/>
    <n v="175.185"/>
    <n v="408.77"/>
    <n v="119.85"/>
    <n v="7.05"/>
    <n v="1"/>
    <n v="17"/>
    <n v="288.91999999999996"/>
  </r>
  <r>
    <x v="115"/>
    <x v="12"/>
    <s v="OFICINA"/>
    <s v="001-001-000000546"/>
    <s v="Directo"/>
    <x v="96"/>
    <n v="14.4"/>
    <x v="71"/>
    <n v="494.642"/>
    <n v="148.392"/>
    <n v="346.25"/>
    <n v="44.193182399999998"/>
    <n v="3.0689709999999999"/>
    <n v="1"/>
    <n v="14.4"/>
    <n v="302.05681759999999"/>
  </r>
  <r>
    <x v="174"/>
    <x v="12"/>
    <s v="OFICINA"/>
    <s v="001-001-000000121"/>
    <s v="Constructores"/>
    <x v="186"/>
    <n v="52"/>
    <x v="77"/>
    <n v="1768"/>
    <n v="265.2"/>
    <n v="1502.8"/>
    <n v="232.77316400000001"/>
    <n v="4.476407"/>
    <n v="1"/>
    <n v="52"/>
    <n v="1270.026836"/>
  </r>
  <r>
    <x v="47"/>
    <x v="12"/>
    <s v="SERRANO GARRIDO GIOVANNA DEL ROCIO"/>
    <s v="001-001-000000131"/>
    <s v="Distribuidores"/>
    <x v="33"/>
    <n v="120"/>
    <x v="77"/>
    <n v="4080"/>
    <n v="1428"/>
    <n v="2652"/>
    <n v="599.13516000000004"/>
    <n v="4.9927930000000007"/>
    <n v="1"/>
    <n v="120"/>
    <n v="2052.8648400000002"/>
  </r>
  <r>
    <x v="48"/>
    <x v="12"/>
    <s v="SERRANO GARRIDO GIOVANNA DEL ROCIO"/>
    <s v="001-001-000000153"/>
    <s v="Distribuidores"/>
    <x v="33"/>
    <n v="25"/>
    <x v="77"/>
    <n v="850"/>
    <n v="297.5"/>
    <n v="552.5"/>
    <n v="79.013824999999997"/>
    <n v="3.1605529999999997"/>
    <n v="1"/>
    <n v="25"/>
    <n v="473.486175"/>
  </r>
  <r>
    <x v="67"/>
    <x v="12"/>
    <s v="MOPOSITA GUITARRA ENMA PATRICIA"/>
    <s v="001-001-000000243"/>
    <s v="Distribuidores"/>
    <x v="33"/>
    <n v="45"/>
    <x v="77"/>
    <n v="1530"/>
    <n v="535.5"/>
    <n v="994.5"/>
    <n v="153.02376000000001"/>
    <n v="3.4005280000000004"/>
    <n v="1"/>
    <n v="45"/>
    <n v="841.47623999999996"/>
  </r>
  <r>
    <x v="68"/>
    <x v="12"/>
    <s v="MOPOSITA GUITARRA ENMA PATRICIA"/>
    <s v="001-001-000000244"/>
    <s v="Distribuidores"/>
    <x v="33"/>
    <n v="4"/>
    <x v="77"/>
    <n v="136"/>
    <n v="40.799999999999997"/>
    <n v="95.2"/>
    <n v="13.602112"/>
    <n v="3.400528"/>
    <n v="1"/>
    <n v="4"/>
    <n v="81.597887999999998"/>
  </r>
  <r>
    <x v="327"/>
    <x v="12"/>
    <s v="OFICINA"/>
    <s v="001-001-000000775"/>
    <s v="Arquitectos"/>
    <x v="129"/>
    <n v="3"/>
    <x v="77"/>
    <n v="103.04750000000001"/>
    <n v="36.067500000000003"/>
    <n v="66.98"/>
    <n v="9.1923300000000001"/>
    <n v="3.0641099999999999"/>
    <n v="1"/>
    <n v="3"/>
    <n v="57.787670000000006"/>
  </r>
  <r>
    <x v="327"/>
    <x v="12"/>
    <s v="OFICINA"/>
    <s v="001-001-000000776"/>
    <s v="Arquitectos"/>
    <x v="129"/>
    <n v="1"/>
    <x v="77"/>
    <n v="34.352499999999999"/>
    <n v="12.022500000000001"/>
    <n v="22.33"/>
    <n v="3.0641099999999999"/>
    <n v="3.0641099999999999"/>
    <n v="1"/>
    <n v="1"/>
    <n v="19.265889999999999"/>
  </r>
  <r>
    <x v="34"/>
    <x v="2"/>
    <s v="SERRANO GARRIDO GIOVANNA DEL ROCIO"/>
    <s v="001-001-000000044"/>
    <s v="Directo"/>
    <x v="187"/>
    <n v="75.2"/>
    <x v="79"/>
    <n v="2857.6"/>
    <n v="1428.8"/>
    <n v="1428.8"/>
    <n v="686.2"/>
    <n v="9.125"/>
    <n v="1"/>
    <n v="75.2"/>
    <n v="742.59999999999991"/>
  </r>
  <r>
    <x v="328"/>
    <x v="2"/>
    <s v="SERRANO GARRIDO GIOVANNA DEL ROCIO"/>
    <s v="001-001-000000099"/>
    <s v="Distribuidores"/>
    <x v="20"/>
    <n v="14"/>
    <x v="79"/>
    <n v="476"/>
    <n v="166.6"/>
    <n v="309.39999999999998"/>
    <n v="126.189098"/>
    <n v="9.0135070000000006"/>
    <n v="1"/>
    <n v="14"/>
    <n v="183.21090199999998"/>
  </r>
  <r>
    <x v="31"/>
    <x v="12"/>
    <s v="SERRANO GARRIDO GIOVANNA DEL ROCIO"/>
    <s v="001-001-000000036"/>
    <s v="Directo"/>
    <x v="14"/>
    <n v="22.5"/>
    <x v="80"/>
    <n v="855"/>
    <n v="427.5"/>
    <n v="427.5"/>
    <n v="156.375"/>
    <n v="6.95"/>
    <n v="1"/>
    <n v="22.5"/>
    <n v="271.125"/>
  </r>
  <r>
    <x v="44"/>
    <x v="12"/>
    <s v="SERRANO GARRIDO GIOVANNA DEL ROCIO"/>
    <s v="001-001-000000125"/>
    <s v="Directo"/>
    <x v="14"/>
    <n v="2.25"/>
    <x v="80"/>
    <n v="85.5"/>
    <n v="0"/>
    <n v="85.5"/>
    <n v="16.787371499999999"/>
    <n v="7.4610539999999999"/>
    <n v="1"/>
    <n v="2.25"/>
    <n v="68.712628499999994"/>
  </r>
  <r>
    <x v="312"/>
    <x v="12"/>
    <s v="OFICINA"/>
    <s v="001-001-000000601"/>
    <s v="Distribuidores"/>
    <x v="20"/>
    <n v="25.2"/>
    <x v="80"/>
    <n v="865.61899999999991"/>
    <n v="389.529"/>
    <n v="476.09"/>
    <n v="112.4464572"/>
    <n v="4.462161"/>
    <n v="1"/>
    <n v="25.2"/>
    <n v="363.64354279999998"/>
  </r>
  <r>
    <x v="123"/>
    <x v="12"/>
    <s v="OFICINA"/>
    <s v="001-001-000000614"/>
    <s v="Distribuidores"/>
    <x v="128"/>
    <n v="18"/>
    <x v="80"/>
    <n v="618.30499999999995"/>
    <n v="216.405"/>
    <n v="401.9"/>
    <n v="54.764099999999999"/>
    <n v="3.0424500000000001"/>
    <n v="1"/>
    <n v="18"/>
    <n v="347.13589999999999"/>
  </r>
  <r>
    <x v="329"/>
    <x v="12"/>
    <s v="OFICINA"/>
    <s v="001-001-000000842"/>
    <s v="Distribuidores"/>
    <x v="20"/>
    <n v="4.9000000000000004"/>
    <x v="80"/>
    <n v="168.32175000000001"/>
    <n v="75.741749999999996"/>
    <n v="92.58"/>
    <n v="14.2147089"/>
    <n v="2.9009609999999997"/>
    <n v="1"/>
    <n v="4.9000000000000004"/>
    <n v="78.365291099999993"/>
  </r>
  <r>
    <x v="269"/>
    <x v="12"/>
    <s v="OFICINA"/>
    <s v="001-001-000000875"/>
    <s v="Distribuidores"/>
    <x v="20"/>
    <n v="1.4"/>
    <x v="80"/>
    <n v="48.090499999999999"/>
    <n v="21.640499999999999"/>
    <n v="26.45"/>
    <n v="4.0613454000000004"/>
    <n v="2.9009610000000006"/>
    <n v="1"/>
    <n v="1.4"/>
    <n v="22.388654599999999"/>
  </r>
  <r>
    <x v="0"/>
    <x v="2"/>
    <s v="OFICINA"/>
    <s v="001-001-000000031"/>
    <s v="Directo"/>
    <x v="188"/>
    <n v="79.2"/>
    <x v="79"/>
    <n v="3009.6"/>
    <n v="1504.8"/>
    <n v="1504.8"/>
    <n v="657.60662879999995"/>
    <n v="8.303113999999999"/>
    <n v="1"/>
    <n v="79.2"/>
    <n v="847.1933712"/>
  </r>
  <r>
    <x v="330"/>
    <x v="2"/>
    <s v="MOPOSITA GUITARRA ENMA PATRICIA"/>
    <s v="001-001-000000492"/>
    <s v="Directo"/>
    <x v="188"/>
    <n v="180"/>
    <x v="79"/>
    <n v="6183"/>
    <n v="1854.9"/>
    <n v="4328.1000000000004"/>
    <n v="1384.5002400000001"/>
    <n v="7.6916680000000008"/>
    <n v="1"/>
    <n v="180"/>
    <n v="2943.5997600000001"/>
  </r>
  <r>
    <x v="259"/>
    <x v="2"/>
    <s v="CASTILLO YAQUE SONIA ROXANA"/>
    <s v="001-001-000000519"/>
    <s v="Arquitectos"/>
    <x v="103"/>
    <n v="9.6"/>
    <x v="79"/>
    <n v="346.37040000000002"/>
    <n v="103.9104"/>
    <n v="242.46"/>
    <n v="53.992003199999999"/>
    <n v="5.6241669999999999"/>
    <n v="1"/>
    <n v="9.6"/>
    <n v="188.46799680000001"/>
  </r>
  <r>
    <x v="215"/>
    <x v="2"/>
    <s v="SERRANO GARRIDO GIOVANNA DEL ROCIO"/>
    <s v="001-001-000000138"/>
    <s v="Distribuidores"/>
    <x v="21"/>
    <n v="4.08"/>
    <x v="81"/>
    <n v="155.04400000000001"/>
    <n v="54.264000000000003"/>
    <n v="100.78"/>
    <n v="28.69962984"/>
    <n v="7.0342229999999999"/>
    <n v="1"/>
    <n v="4.08"/>
    <n v="72.080370160000001"/>
  </r>
  <r>
    <x v="49"/>
    <x v="2"/>
    <s v="SERRANO GARRIDO GIOVANNA DEL ROCIO"/>
    <s v="001-001-000000157"/>
    <s v="Distribuidores"/>
    <x v="21"/>
    <n v="20.16"/>
    <x v="81"/>
    <n v="766.07799999999997"/>
    <n v="268.12799999999999"/>
    <n v="497.95"/>
    <n v="132.7657968"/>
    <n v="6.5856050000000002"/>
    <n v="1"/>
    <n v="20.16"/>
    <n v="365.18420319999996"/>
  </r>
  <r>
    <x v="331"/>
    <x v="2"/>
    <s v="MOPOSITA GUITARRA ENMA PATRICIA"/>
    <s v="001-001-000000209"/>
    <s v="Directo"/>
    <x v="81"/>
    <n v="4"/>
    <x v="81"/>
    <n v="152"/>
    <n v="15.2"/>
    <n v="136.80000000000001"/>
    <n v="26.342420000000001"/>
    <n v="6.5856050000000002"/>
    <n v="1"/>
    <n v="4"/>
    <n v="110.45758000000001"/>
  </r>
  <r>
    <x v="85"/>
    <x v="2"/>
    <s v="MOPOSITA GUITARRA ENMA PATRICIA"/>
    <s v="001-001-000000319"/>
    <s v="Distribuidores"/>
    <x v="21"/>
    <n v="8.16"/>
    <x v="81"/>
    <n v="317.26128"/>
    <n v="111.04128"/>
    <n v="206.22"/>
    <n v="50.728908480000001"/>
    <n v="6.2167779999999997"/>
    <n v="1"/>
    <n v="8.16"/>
    <n v="155.49109152"/>
  </r>
  <r>
    <x v="89"/>
    <x v="2"/>
    <s v="ANDRADE CHECA DIANA LUCIA"/>
    <s v="001-001-000000340"/>
    <s v="Arquitectos"/>
    <x v="129"/>
    <n v="3"/>
    <x v="81"/>
    <n v="116.64399999999999"/>
    <n v="40.823999999999998"/>
    <n v="75.819999999999993"/>
    <n v="18.650334000000001"/>
    <n v="6.2167780000000006"/>
    <n v="1"/>
    <n v="3"/>
    <n v="57.169665999999992"/>
  </r>
  <r>
    <x v="90"/>
    <x v="2"/>
    <s v="ANDRADE CHECA DIANA LUCIA"/>
    <s v="001-001-000000353"/>
    <s v="Arquitectos"/>
    <x v="129"/>
    <n v="2"/>
    <x v="81"/>
    <n v="77.756"/>
    <n v="27.216000000000001"/>
    <n v="50.54"/>
    <n v="12.433555999999999"/>
    <n v="6.2167779999999997"/>
    <n v="1"/>
    <n v="2"/>
    <n v="38.106443999999996"/>
  </r>
  <r>
    <x v="332"/>
    <x v="2"/>
    <s v="OFICINA"/>
    <s v="001-001-000000803"/>
    <s v="Distribuidores"/>
    <x v="20"/>
    <n v="64.08"/>
    <x v="82"/>
    <n v="2201.1466"/>
    <n v="990.51660000000004"/>
    <n v="1210.6300000000001"/>
    <n v="390.99808944"/>
    <n v="6.101718"/>
    <n v="1"/>
    <n v="64.08"/>
    <n v="819.63191056000005"/>
  </r>
  <r>
    <x v="23"/>
    <x v="2"/>
    <s v="SERRANO GARRIDO GIOVANNA DEL ROCIO"/>
    <s v="001-001-000000006"/>
    <s v="Directo"/>
    <x v="3"/>
    <n v="19.2"/>
    <x v="83"/>
    <n v="729.6"/>
    <n v="0"/>
    <n v="729.6"/>
    <n v="105.63957120000001"/>
    <n v="5.5020610000000003"/>
    <n v="1"/>
    <n v="19.2"/>
    <n v="623.96042880000005"/>
  </r>
  <r>
    <x v="25"/>
    <x v="2"/>
    <s v="BALLADARES PEREZ REINA JACQUELINE"/>
    <s v="001-001-000000010"/>
    <s v="Directo"/>
    <x v="5"/>
    <n v="50.16"/>
    <x v="83"/>
    <n v="1906.0763999999999"/>
    <n v="152.4864"/>
    <n v="1753.59"/>
    <n v="267.5436588"/>
    <n v="5.3338050000000008"/>
    <n v="1"/>
    <n v="50.16"/>
    <n v="1486.0463411999999"/>
  </r>
  <r>
    <x v="28"/>
    <x v="2"/>
    <s v="BALLADARES PEREZ REINA JACQUELINE"/>
    <s v="001-001-000000019"/>
    <s v="Directo"/>
    <x v="10"/>
    <n v="10.08"/>
    <x v="83"/>
    <n v="383.04"/>
    <n v="0"/>
    <n v="383.04"/>
    <n v="55.165904640000001"/>
    <n v="5.4728079999999997"/>
    <n v="1"/>
    <n v="10.08"/>
    <n v="327.87409536000001"/>
  </r>
  <r>
    <x v="28"/>
    <x v="2"/>
    <s v="SERRANO GARRIDO GIOVANNA DEL ROCIO"/>
    <s v="001-001-000000020"/>
    <s v="Distribuidores"/>
    <x v="4"/>
    <n v="1.44"/>
    <x v="83"/>
    <n v="54.715999999999994"/>
    <n v="16.416"/>
    <n v="38.299999999999997"/>
    <n v="7.88084352"/>
    <n v="5.4728080000000006"/>
    <n v="1"/>
    <n v="1.44"/>
    <n v="30.419156479999998"/>
  </r>
  <r>
    <x v="37"/>
    <x v="2"/>
    <s v="SERRANO GARRIDO GIOVANNA DEL ROCIO"/>
    <s v="001-001-000000061"/>
    <s v="Distribuidores"/>
    <x v="21"/>
    <n v="7.2"/>
    <x v="83"/>
    <n v="273.60000000000002"/>
    <n v="95.76"/>
    <n v="177.84"/>
    <n v="39.520843200000002"/>
    <n v="5.4890059999999998"/>
    <n v="1"/>
    <n v="7.2"/>
    <n v="138.3191568"/>
  </r>
  <r>
    <x v="333"/>
    <x v="2"/>
    <s v="SERRANO GARRIDO GIOVANNA DEL ROCIO"/>
    <s v="001-001-000000088"/>
    <s v="Distribuidores"/>
    <x v="20"/>
    <n v="4.08"/>
    <x v="83"/>
    <n v="155.04400000000001"/>
    <n v="54.264000000000003"/>
    <n v="100.78"/>
    <n v="22.395144479999999"/>
    <n v="5.4890059999999998"/>
    <n v="1"/>
    <n v="4.08"/>
    <n v="78.384855520000002"/>
  </r>
  <r>
    <x v="334"/>
    <x v="2"/>
    <s v="SERRANO GARRIDO GIOVANNA DEL ROCIO"/>
    <s v="001-001-000000092"/>
    <s v="Distribuidores"/>
    <x v="20"/>
    <n v="2.16"/>
    <x v="83"/>
    <n v="82.078000000000003"/>
    <n v="28.728000000000002"/>
    <n v="53.35"/>
    <n v="11.856252960000001"/>
    <n v="5.4890059999999998"/>
    <n v="1"/>
    <n v="2.16"/>
    <n v="41.493747040000002"/>
  </r>
  <r>
    <x v="334"/>
    <x v="2"/>
    <s v="SERRANO GARRIDO GIOVANNA DEL ROCIO"/>
    <s v="001-001-000000093"/>
    <s v="Distribuidores"/>
    <x v="20"/>
    <n v="5.04"/>
    <x v="83"/>
    <n v="191.52199999999999"/>
    <n v="67.031999999999996"/>
    <n v="124.49"/>
    <n v="27.664590239999999"/>
    <n v="5.4890059999999998"/>
    <n v="1"/>
    <n v="5.04"/>
    <n v="96.825409759999999"/>
  </r>
  <r>
    <x v="43"/>
    <x v="2"/>
    <s v="SERRANO GARRIDO GIOVANNA DEL ROCIO"/>
    <s v="001-001-000000106"/>
    <s v="Distribuidores"/>
    <x v="21"/>
    <n v="9.1199999999999992"/>
    <x v="83"/>
    <n v="346.55599999999998"/>
    <n v="121.29600000000001"/>
    <n v="225.26"/>
    <n v="48.636841439999998"/>
    <n v="5.3329870000000001"/>
    <n v="1"/>
    <n v="9.1199999999999992"/>
    <n v="176.62315855999998"/>
  </r>
  <r>
    <x v="43"/>
    <x v="2"/>
    <s v="SERRANO GARRIDO GIOVANNA DEL ROCIO"/>
    <s v="001-001-000000108"/>
    <s v="Distribuidores"/>
    <x v="20"/>
    <n v="6.96"/>
    <x v="83"/>
    <n v="264.47800000000001"/>
    <n v="92.567999999999998"/>
    <n v="171.91"/>
    <n v="37.117589520000003"/>
    <n v="5.3329870000000001"/>
    <n v="1"/>
    <n v="6.96"/>
    <n v="134.79241048"/>
  </r>
  <r>
    <x v="174"/>
    <x v="2"/>
    <s v="SERRANO GARRIDO GIOVANNA DEL ROCIO"/>
    <s v="001-001-000000122"/>
    <s v="Directo"/>
    <x v="189"/>
    <n v="6.48"/>
    <x v="83"/>
    <n v="246.24"/>
    <n v="0"/>
    <n v="246.24"/>
    <n v="36.457808399999998"/>
    <n v="5.6262049999999997"/>
    <n v="1"/>
    <n v="6.48"/>
    <n v="209.7821916"/>
  </r>
  <r>
    <x v="215"/>
    <x v="2"/>
    <s v="MOPOSITA GUITARRA ENMA PATRICIA"/>
    <s v="001-001-000000139"/>
    <s v="Directo"/>
    <x v="42"/>
    <n v="20"/>
    <x v="83"/>
    <n v="760"/>
    <n v="152"/>
    <n v="608"/>
    <n v="110.69056"/>
    <n v="5.5345279999999999"/>
    <n v="1"/>
    <n v="20"/>
    <n v="497.30944"/>
  </r>
  <r>
    <x v="267"/>
    <x v="2"/>
    <s v="SERRANO GARRIDO GIOVANNA DEL ROCIO"/>
    <s v="001-001-000000147"/>
    <s v="Directo"/>
    <x v="189"/>
    <n v="4.08"/>
    <x v="83"/>
    <n v="155.04"/>
    <n v="0"/>
    <n v="155.04"/>
    <n v="22.58087424"/>
    <n v="5.5345279999999999"/>
    <n v="1"/>
    <n v="4.08"/>
    <n v="132.45912576000001"/>
  </r>
  <r>
    <x v="48"/>
    <x v="2"/>
    <s v="MOPOSITA GUITARRA ENMA PATRICIA"/>
    <s v="001-001-000000152"/>
    <s v="Directo"/>
    <x v="36"/>
    <n v="23.76"/>
    <x v="83"/>
    <n v="902.88159999999993"/>
    <n v="63.201599999999999"/>
    <n v="839.68"/>
    <n v="131.50038527999999"/>
    <n v="5.534527999999999"/>
    <n v="1"/>
    <n v="23.76"/>
    <n v="708.17961472000002"/>
  </r>
  <r>
    <x v="54"/>
    <x v="2"/>
    <s v="MOPOSITA GUITARRA ENMA PATRICIA"/>
    <s v="001-001-000000177"/>
    <s v="Directo"/>
    <x v="42"/>
    <n v="7"/>
    <x v="83"/>
    <n v="266"/>
    <n v="53.2"/>
    <n v="212.8"/>
    <n v="38.164909999999999"/>
    <n v="5.4521299999999995"/>
    <n v="1"/>
    <n v="7"/>
    <n v="174.63509000000002"/>
  </r>
  <r>
    <x v="335"/>
    <x v="2"/>
    <s v="MOPOSITA GUITARRA ENMA PATRICIA"/>
    <s v="001-001-000000181"/>
    <s v="Arquitectos"/>
    <x v="190"/>
    <n v="16.079999999999998"/>
    <x v="83"/>
    <n v="611.0440000000001"/>
    <n v="61.103999999999999"/>
    <n v="549.94000000000005"/>
    <n v="87.6702504"/>
    <n v="5.4521300000000004"/>
    <n v="1"/>
    <n v="16.079999999999998"/>
    <n v="462.26974960000007"/>
  </r>
  <r>
    <x v="60"/>
    <x v="2"/>
    <s v="SERRANO GARRIDO GIOVANNA DEL ROCIO"/>
    <s v="001-001-000000223"/>
    <s v="Directo"/>
    <x v="47"/>
    <n v="78"/>
    <x v="83"/>
    <n v="2964"/>
    <n v="296.39999999999998"/>
    <n v="2667.6"/>
    <n v="425.26614000000001"/>
    <n v="5.4521300000000004"/>
    <n v="1"/>
    <n v="78"/>
    <n v="2242.3338599999997"/>
  </r>
  <r>
    <x v="62"/>
    <x v="2"/>
    <s v="MOPOSITA GUITARRA ENMA PATRICIA"/>
    <s v="001-001-000000228"/>
    <s v="Directo"/>
    <x v="50"/>
    <n v="36"/>
    <x v="83"/>
    <n v="1368"/>
    <n v="68.400000000000006"/>
    <n v="1299.5999999999999"/>
    <n v="182.58750000000001"/>
    <n v="5.0718750000000004"/>
    <n v="1"/>
    <n v="36"/>
    <n v="1117.0124999999998"/>
  </r>
  <r>
    <x v="7"/>
    <x v="2"/>
    <s v="MOPOSITA GUITARRA ENMA PATRICIA"/>
    <s v="001-001-000000237"/>
    <s v="Directo"/>
    <x v="50"/>
    <n v="6"/>
    <x v="83"/>
    <n v="228"/>
    <n v="11.4"/>
    <n v="216.6"/>
    <n v="33.588678000000002"/>
    <n v="5.5981130000000006"/>
    <n v="1"/>
    <n v="6"/>
    <n v="183.01132200000001"/>
  </r>
  <r>
    <x v="177"/>
    <x v="2"/>
    <s v="MOPOSITA GUITARRA ENMA PATRICIA"/>
    <s v="001-001-000000256"/>
    <s v="Arquitectos"/>
    <x v="183"/>
    <n v="3.5"/>
    <x v="83"/>
    <n v="133"/>
    <n v="19.95"/>
    <n v="113.05"/>
    <n v="19.692452500000002"/>
    <n v="5.6264150000000006"/>
    <n v="1"/>
    <n v="3.5"/>
    <n v="93.357547499999995"/>
  </r>
  <r>
    <x v="74"/>
    <x v="2"/>
    <s v="ANDRADE CHECA DIANA LUCIA"/>
    <s v="001-001-000000274"/>
    <s v="Directo"/>
    <x v="58"/>
    <n v="15.84"/>
    <x v="83"/>
    <n v="601.91600000000005"/>
    <n v="30.096"/>
    <n v="571.82000000000005"/>
    <n v="85.77562752"/>
    <n v="5.4151280000000002"/>
    <n v="1"/>
    <n v="15.84"/>
    <n v="486.04437248000005"/>
  </r>
  <r>
    <x v="75"/>
    <x v="2"/>
    <s v="MOPOSITA GUITARRA ENMA PATRICIA"/>
    <s v="001-001-000000277"/>
    <s v="Distribuidores"/>
    <x v="20"/>
    <n v="7.68"/>
    <x v="83"/>
    <n v="298.59841600000004"/>
    <n v="108.988416"/>
    <n v="189.61"/>
    <n v="41.599710719999997"/>
    <n v="5.4166289999999995"/>
    <n v="1"/>
    <n v="7.68"/>
    <n v="148.01028928000002"/>
  </r>
  <r>
    <x v="82"/>
    <x v="2"/>
    <s v="ANDRADE CHECA DIANA LUCIA"/>
    <s v="001-001-000000312"/>
    <s v="Directo"/>
    <x v="67"/>
    <n v="27"/>
    <x v="83"/>
    <n v="1049.76"/>
    <n v="0"/>
    <n v="1049.76"/>
    <n v="146.40056100000001"/>
    <n v="5.4222430000000008"/>
    <n v="1"/>
    <n v="27"/>
    <n v="903.35943899999995"/>
  </r>
  <r>
    <x v="82"/>
    <x v="2"/>
    <s v="ANDRADE CHECA DIANA LUCIA"/>
    <s v="001-001-000000312"/>
    <s v="Directo"/>
    <x v="67"/>
    <n v="3"/>
    <x v="83"/>
    <n v="116.64"/>
    <n v="116.64"/>
    <n v="0"/>
    <n v="16.266729000000002"/>
    <n v="5.4222430000000008"/>
    <n v="1"/>
    <n v="3"/>
    <n v="-16.266729000000002"/>
  </r>
  <r>
    <x v="85"/>
    <x v="2"/>
    <s v="MOPOSITA GUITARRA ENMA PATRICIA"/>
    <s v="001-001-000000319"/>
    <s v="Distribuidores"/>
    <x v="21"/>
    <n v="22.08"/>
    <x v="83"/>
    <n v="858.47463999999991"/>
    <n v="300.46463999999997"/>
    <n v="558.01"/>
    <n v="119.44531488"/>
    <n v="5.4096610000000007"/>
    <n v="1"/>
    <n v="22.08"/>
    <n v="438.56468511999998"/>
  </r>
  <r>
    <x v="87"/>
    <x v="2"/>
    <s v="MOPOSITA GUITARRA ENMA PATRICIA"/>
    <s v="001-001-000000335"/>
    <s v="Distribuidores"/>
    <x v="20"/>
    <n v="13.2"/>
    <x v="83"/>
    <n v="513.21559999999999"/>
    <n v="179.62559999999999"/>
    <n v="333.59"/>
    <n v="71.839706399999997"/>
    <n v="5.4424020000000004"/>
    <n v="1"/>
    <n v="13.2"/>
    <n v="261.75029359999996"/>
  </r>
  <r>
    <x v="89"/>
    <x v="2"/>
    <s v="ANDRADE CHECA DIANA LUCIA"/>
    <s v="001-001-000000343"/>
    <s v="Directo"/>
    <x v="72"/>
    <n v="41.6"/>
    <x v="83"/>
    <n v="1617.41"/>
    <n v="0"/>
    <n v="1617.41"/>
    <n v="226.40392320000001"/>
    <n v="5.4424020000000004"/>
    <n v="1"/>
    <n v="41.6"/>
    <n v="1391.0060768000001"/>
  </r>
  <r>
    <x v="89"/>
    <x v="2"/>
    <s v="ANDRADE CHECA DIANA LUCIA"/>
    <s v="001-001-000000343"/>
    <s v="Directo"/>
    <x v="72"/>
    <n v="4"/>
    <x v="83"/>
    <n v="155.52000000000001"/>
    <n v="155.52000000000001"/>
    <n v="0"/>
    <n v="21.769608000000002"/>
    <n v="5.4424020000000004"/>
    <n v="1"/>
    <n v="4"/>
    <n v="-21.769608000000002"/>
  </r>
  <r>
    <x v="90"/>
    <x v="2"/>
    <s v="ANDRADE CHECA DIANA LUCIA"/>
    <s v="001-001-000000354"/>
    <s v="Arquitectos"/>
    <x v="129"/>
    <n v="1"/>
    <x v="83"/>
    <n v="38.878"/>
    <n v="13.608000000000001"/>
    <n v="25.27"/>
    <n v="5.6286009999999997"/>
    <n v="5.6286009999999997"/>
    <n v="1"/>
    <n v="1"/>
    <n v="19.641399"/>
  </r>
  <r>
    <x v="93"/>
    <x v="2"/>
    <s v="ANDRADE CHECA DIANA LUCIA"/>
    <s v="001-001-000000371"/>
    <s v="Directo"/>
    <x v="75"/>
    <n v="80"/>
    <x v="83"/>
    <n v="3110.4"/>
    <n v="466.56"/>
    <n v="2643.84"/>
    <n v="443.55808000000002"/>
    <n v="5.5444760000000004"/>
    <n v="1"/>
    <n v="80"/>
    <n v="2200.2819200000004"/>
  </r>
  <r>
    <x v="13"/>
    <x v="2"/>
    <s v="MOPOSITA GUITARRA ENMA PATRICIA"/>
    <s v="001-001-000000388"/>
    <s v="Distribuidores"/>
    <x v="21"/>
    <n v="8.16"/>
    <x v="83"/>
    <n v="317.26128"/>
    <n v="111.04128"/>
    <n v="206.22"/>
    <n v="44.912827679999999"/>
    <n v="5.5040230000000001"/>
    <n v="1"/>
    <n v="8.16"/>
    <n v="161.30717232000001"/>
  </r>
  <r>
    <x v="233"/>
    <x v="2"/>
    <s v="ANDRADE CHECA DIANA LUCIA"/>
    <s v="001-001-000000399"/>
    <s v="Directo"/>
    <x v="148"/>
    <n v="14"/>
    <x v="83"/>
    <n v="544.32000000000005"/>
    <n v="136.08000000000001"/>
    <n v="408.24"/>
    <n v="76.861819999999994"/>
    <n v="5.4901299999999997"/>
    <n v="1"/>
    <n v="14"/>
    <n v="331.37818000000004"/>
  </r>
  <r>
    <x v="263"/>
    <x v="2"/>
    <s v="MOPOSITA GUITARRA ENMA PATRICIA"/>
    <s v="001-001-000000406"/>
    <s v="Distribuidores"/>
    <x v="21"/>
    <n v="12.96"/>
    <x v="83"/>
    <n v="503.87968000000001"/>
    <n v="176.35968"/>
    <n v="327.52"/>
    <n v="68.731156799999994"/>
    <n v="5.303329999999999"/>
    <n v="1"/>
    <n v="12.96"/>
    <n v="258.78884319999997"/>
  </r>
  <r>
    <x v="100"/>
    <x v="2"/>
    <s v="MOPOSITA GUITARRA ENMA PATRICIA"/>
    <s v="001-001-000000423"/>
    <s v="Directo"/>
    <x v="82"/>
    <n v="20"/>
    <x v="83"/>
    <n v="777.60199999999998"/>
    <n v="93.311999999999998"/>
    <n v="684.29"/>
    <n v="103.09278"/>
    <n v="5.1546390000000004"/>
    <n v="1"/>
    <n v="20"/>
    <n v="581.19722000000002"/>
  </r>
  <r>
    <x v="101"/>
    <x v="2"/>
    <s v="MOPOSITA GUITARRA ENMA PATRICIA"/>
    <s v="001-001-000000436"/>
    <s v="Distribuidores"/>
    <x v="20"/>
    <n v="12.72"/>
    <x v="83"/>
    <n v="494.55376000000001"/>
    <n v="173.09376"/>
    <n v="321.45999999999998"/>
    <n v="64.253337360000003"/>
    <n v="5.0513630000000003"/>
    <n v="1"/>
    <n v="12.72"/>
    <n v="257.20666263999999"/>
  </r>
  <r>
    <x v="104"/>
    <x v="2"/>
    <s v="OFICINA"/>
    <s v="001-001-000000455"/>
    <s v="Directo"/>
    <x v="89"/>
    <n v="5.5"/>
    <x v="83"/>
    <n v="213.8408"/>
    <n v="25.660799999999998"/>
    <n v="188.18"/>
    <n v="26.733080000000001"/>
    <n v="4.8605600000000004"/>
    <n v="1"/>
    <n v="5.5"/>
    <n v="161.44692000000001"/>
  </r>
  <r>
    <x v="336"/>
    <x v="2"/>
    <s v="MOPOSITA GUITARRA ENMA PATRICIA"/>
    <s v="001-001-000000469"/>
    <s v="Distribuidores"/>
    <x v="20"/>
    <n v="26.16"/>
    <x v="83"/>
    <n v="1017.09528"/>
    <n v="355.98527999999999"/>
    <n v="661.11"/>
    <n v="125.71070280000001"/>
    <n v="4.8054550000000003"/>
    <n v="1"/>
    <n v="26.16"/>
    <n v="535.39929719999998"/>
  </r>
  <r>
    <x v="337"/>
    <x v="2"/>
    <s v="MOPOSITA GUITARRA ENMA PATRICIA"/>
    <s v="001-001-000000471"/>
    <s v="Constructores"/>
    <x v="191"/>
    <n v="120"/>
    <x v="83"/>
    <n v="4665.6000000000004"/>
    <n v="933.12"/>
    <n v="3732.48"/>
    <n v="576.65459999999996"/>
    <n v="4.8054549999999994"/>
    <n v="1"/>
    <n v="120"/>
    <n v="3155.8254000000002"/>
  </r>
  <r>
    <x v="338"/>
    <x v="2"/>
    <s v="MOPOSITA GUITARRA ENMA PATRICIA"/>
    <s v="001-001-000000478"/>
    <s v="Distribuidores"/>
    <x v="20"/>
    <n v="2.88"/>
    <x v="83"/>
    <n v="98.934799999999996"/>
    <n v="34.6248"/>
    <n v="64.31"/>
    <n v="11.808"/>
    <n v="4.1000000000000005"/>
    <n v="1"/>
    <n v="2.88"/>
    <n v="52.502000000000002"/>
  </r>
  <r>
    <x v="339"/>
    <x v="2"/>
    <s v="MOPOSITA GUITARRA ENMA PATRICIA"/>
    <s v="001-001-000000493"/>
    <s v="Directo"/>
    <x v="192"/>
    <n v="5.52"/>
    <x v="83"/>
    <n v="214.62175999999999"/>
    <n v="21.461760000000002"/>
    <n v="193.16"/>
    <n v="26.14568976"/>
    <n v="4.7365380000000004"/>
    <n v="1"/>
    <n v="5.52"/>
    <n v="167.01431023999999"/>
  </r>
  <r>
    <x v="340"/>
    <x v="2"/>
    <s v="MOPOSITA GUITARRA ENMA PATRICIA"/>
    <s v="001-001-000000495"/>
    <s v="Directo"/>
    <x v="192"/>
    <n v="14.48"/>
    <x v="83"/>
    <n v="562.97824000000003"/>
    <n v="56.29824"/>
    <n v="506.68"/>
    <n v="64.406388399999997"/>
    <n v="4.4479549999999994"/>
    <n v="1"/>
    <n v="14.48"/>
    <n v="442.27361159999998"/>
  </r>
  <r>
    <x v="111"/>
    <x v="2"/>
    <s v="MOPOSITA GUITARRA ENMA PATRICIA"/>
    <s v="001-001-000000500"/>
    <s v="Directo"/>
    <x v="3"/>
    <n v="13"/>
    <x v="83"/>
    <n v="446.54750000000001"/>
    <n v="22.327500000000001"/>
    <n v="424.22"/>
    <n v="57.920070000000003"/>
    <n v="4.4553900000000004"/>
    <n v="1"/>
    <n v="13"/>
    <n v="366.29993000000002"/>
  </r>
  <r>
    <x v="341"/>
    <x v="2"/>
    <s v="CASTILLO YAQUE SONIA ROXANA"/>
    <s v="001-001-000000505"/>
    <s v="Distribuidores"/>
    <x v="21"/>
    <n v="6"/>
    <x v="83"/>
    <n v="206.09500000000003"/>
    <n v="72.135000000000005"/>
    <n v="133.96"/>
    <n v="26.759124"/>
    <n v="4.459854"/>
    <n v="1"/>
    <n v="6"/>
    <n v="107.20087600000001"/>
  </r>
  <r>
    <x v="234"/>
    <x v="2"/>
    <s v="JULIO VASQUEZ"/>
    <s v="001-001-000000528"/>
    <s v="Directo"/>
    <x v="193"/>
    <n v="7.2"/>
    <x v="83"/>
    <n v="247.32"/>
    <n v="0"/>
    <n v="247.32"/>
    <n v="32.561424000000002"/>
    <n v="4.5224200000000003"/>
    <n v="1"/>
    <n v="7.2"/>
    <n v="214.75857600000001"/>
  </r>
  <r>
    <x v="234"/>
    <x v="2"/>
    <s v="OFICINA"/>
    <s v="001-001-000000531"/>
    <s v="Distribuidores"/>
    <x v="20"/>
    <n v="13"/>
    <x v="83"/>
    <n v="446.55250000000001"/>
    <n v="156.29249999999999"/>
    <n v="290.26"/>
    <n v="58.791460000000001"/>
    <n v="4.5224200000000003"/>
    <n v="1"/>
    <n v="13"/>
    <n v="231.46853999999999"/>
  </r>
  <r>
    <x v="114"/>
    <x v="2"/>
    <s v="MOPOSITA GUITARRA ENMA PATRICIA"/>
    <s v="001-001-000000535"/>
    <s v="Distribuidores"/>
    <x v="20"/>
    <n v="100.08"/>
    <x v="83"/>
    <n v="3437.7465999999999"/>
    <n v="1546.9866"/>
    <n v="1890.76"/>
    <n v="455.97999240000001"/>
    <n v="4.5561550000000004"/>
    <n v="1"/>
    <n v="100.08"/>
    <n v="1434.7800075999999"/>
  </r>
  <r>
    <x v="118"/>
    <x v="2"/>
    <s v="OFICINA"/>
    <s v="001-001-000000587"/>
    <s v="Arquitectos"/>
    <x v="194"/>
    <n v="22"/>
    <x v="83"/>
    <n v="755.7"/>
    <n v="0"/>
    <n v="755.7"/>
    <n v="107.300292"/>
    <n v="4.8772859999999998"/>
    <n v="1"/>
    <n v="22"/>
    <n v="648.39970800000003"/>
  </r>
  <r>
    <x v="121"/>
    <x v="2"/>
    <s v="OFICINA"/>
    <s v="001-001-000000599"/>
    <s v="Distribuidores"/>
    <x v="20"/>
    <n v="44.16"/>
    <x v="83"/>
    <n v="1516.9032"/>
    <n v="682.60320000000002"/>
    <n v="834.3"/>
    <n v="212.29120703999999"/>
    <n v="4.8073190000000006"/>
    <n v="1"/>
    <n v="44.16"/>
    <n v="622.00879295999994"/>
  </r>
  <r>
    <x v="342"/>
    <x v="2"/>
    <s v="OFICINA"/>
    <s v="001-001-000000604"/>
    <s v="Arquitectos"/>
    <x v="194"/>
    <n v="10"/>
    <x v="83"/>
    <n v="343.5"/>
    <n v="0"/>
    <n v="343.5"/>
    <n v="47.765599999999999"/>
    <n v="4.7765599999999999"/>
    <n v="1"/>
    <n v="10"/>
    <n v="295.73439999999999"/>
  </r>
  <r>
    <x v="343"/>
    <x v="2"/>
    <s v="OFICINA"/>
    <s v="001-001-000000608"/>
    <s v="Distribuidores"/>
    <x v="20"/>
    <n v="18"/>
    <x v="83"/>
    <n v="618.29500000000007"/>
    <n v="278.23500000000001"/>
    <n v="340.06"/>
    <n v="86.664258000000004"/>
    <n v="4.8146810000000002"/>
    <n v="1"/>
    <n v="18"/>
    <n v="253.39574199999998"/>
  </r>
  <r>
    <x v="344"/>
    <x v="2"/>
    <s v="OFICINA"/>
    <s v="001-001-000000610"/>
    <s v="Distribuidores"/>
    <x v="21"/>
    <n v="2.16"/>
    <x v="83"/>
    <n v="74.198599999999999"/>
    <n v="25.968599999999999"/>
    <n v="48.23"/>
    <n v="10.39971096"/>
    <n v="4.8146809999999993"/>
    <n v="1"/>
    <n v="2.16"/>
    <n v="37.830289039999997"/>
  </r>
  <r>
    <x v="169"/>
    <x v="2"/>
    <s v="OFICINA"/>
    <s v="001-001-000000620"/>
    <s v="Arquitectos"/>
    <x v="194"/>
    <n v="1.2"/>
    <x v="83"/>
    <n v="41.22"/>
    <n v="0"/>
    <n v="41.22"/>
    <n v="5.7073463999999996"/>
    <n v="4.7561219999999995"/>
    <n v="1"/>
    <n v="1.2"/>
    <n v="35.5126536"/>
  </r>
  <r>
    <x v="345"/>
    <x v="2"/>
    <s v="OFICINA"/>
    <s v="001-001-000000628"/>
    <s v="Distribuidores"/>
    <x v="20"/>
    <n v="25.2"/>
    <x v="83"/>
    <n v="865.61899999999991"/>
    <n v="389.529"/>
    <n v="476.09"/>
    <n v="118.6579296"/>
    <n v="4.7086480000000002"/>
    <n v="1"/>
    <n v="25.2"/>
    <n v="357.43207039999999"/>
  </r>
  <r>
    <x v="132"/>
    <x v="2"/>
    <s v="OFICINA"/>
    <s v="001-001-000000655"/>
    <s v="Distribuidores"/>
    <x v="20"/>
    <n v="61.2"/>
    <x v="83"/>
    <n v="2102.2190000000001"/>
    <n v="945.99900000000002"/>
    <n v="1156.22"/>
    <n v="290.61799200000002"/>
    <n v="4.7486600000000001"/>
    <n v="1"/>
    <n v="61.2"/>
    <n v="865.60200800000007"/>
  </r>
  <r>
    <x v="132"/>
    <x v="2"/>
    <s v="OFICINA"/>
    <s v="001-001-000000656"/>
    <s v="Distribuidores"/>
    <x v="21"/>
    <n v="6"/>
    <x v="83"/>
    <n v="206.09500000000003"/>
    <n v="72.135000000000005"/>
    <n v="133.96"/>
    <n v="28.491959999999999"/>
    <n v="4.7486600000000001"/>
    <n v="1"/>
    <n v="6"/>
    <n v="105.46804"/>
  </r>
  <r>
    <x v="346"/>
    <x v="2"/>
    <s v="OFICINA"/>
    <s v="001-001-000000685"/>
    <s v="Distribuidores"/>
    <x v="20"/>
    <n v="20.16"/>
    <x v="83"/>
    <n v="692.50319999999999"/>
    <n v="311.6232"/>
    <n v="380.88"/>
    <n v="95.732985600000006"/>
    <n v="4.7486600000000001"/>
    <n v="1"/>
    <n v="20.16"/>
    <n v="285.14701439999999"/>
  </r>
  <r>
    <x v="136"/>
    <x v="2"/>
    <s v="OFICINA"/>
    <s v="001-001-000000686"/>
    <s v="Directo"/>
    <x v="109"/>
    <n v="22"/>
    <x v="83"/>
    <n v="755.69500000000005"/>
    <n v="113.355"/>
    <n v="642.34"/>
    <n v="104.47051999999999"/>
    <n v="4.7486600000000001"/>
    <n v="1"/>
    <n v="22"/>
    <n v="537.86948000000007"/>
  </r>
  <r>
    <x v="181"/>
    <x v="2"/>
    <s v="OFICINA"/>
    <s v="001-001-000000704"/>
    <s v="Distribuidores"/>
    <x v="20"/>
    <n v="4.08"/>
    <x v="83"/>
    <n v="140.14660000000001"/>
    <n v="63.066600000000001"/>
    <n v="77.08"/>
    <n v="19.435683839999999"/>
    <n v="4.7636479999999999"/>
    <n v="1"/>
    <n v="4.08"/>
    <n v="57.644316160000002"/>
  </r>
  <r>
    <x v="347"/>
    <x v="2"/>
    <s v="OFICINA"/>
    <s v="001-001-000000708"/>
    <s v="Distribuidores"/>
    <x v="21"/>
    <n v="6"/>
    <x v="83"/>
    <n v="206.09500000000003"/>
    <n v="72.135000000000005"/>
    <n v="133.96"/>
    <n v="28.630973999999998"/>
    <n v="4.7718289999999994"/>
    <n v="1"/>
    <n v="6"/>
    <n v="105.32902600000001"/>
  </r>
  <r>
    <x v="348"/>
    <x v="2"/>
    <s v="OFICINA"/>
    <s v="001-001-000000731"/>
    <s v="Distribuidores"/>
    <x v="20"/>
    <n v="35.04"/>
    <x v="83"/>
    <n v="1203.6208000000001"/>
    <n v="541.63080000000002"/>
    <n v="661.99"/>
    <n v="167.20488816"/>
    <n v="4.7718290000000003"/>
    <n v="1"/>
    <n v="35.04"/>
    <n v="494.78511184000001"/>
  </r>
  <r>
    <x v="143"/>
    <x v="2"/>
    <s v="OFICINA"/>
    <s v="001-001-000000740"/>
    <s v="Distribuidores"/>
    <x v="20"/>
    <n v="5.04"/>
    <x v="83"/>
    <n v="173.11579999999998"/>
    <n v="77.905799999999999"/>
    <n v="95.21"/>
    <n v="24.2251884"/>
    <n v="4.8065850000000001"/>
    <n v="1"/>
    <n v="5.04"/>
    <n v="70.9848116"/>
  </r>
  <r>
    <x v="273"/>
    <x v="2"/>
    <s v="OFICINA"/>
    <s v="001-001-000000746"/>
    <s v="Directo"/>
    <x v="118"/>
    <n v="12.5"/>
    <x v="83"/>
    <n v="429.38375000000002"/>
    <n v="107.34375"/>
    <n v="322.04000000000002"/>
    <n v="60.435524999999998"/>
    <n v="4.8348420000000001"/>
    <n v="1"/>
    <n v="12.5"/>
    <n v="261.60447500000004"/>
  </r>
  <r>
    <x v="145"/>
    <x v="2"/>
    <s v="SERRANO GARRIDO GIOVANNA DEL ROCIO"/>
    <s v="001-001-000000750"/>
    <s v="Distribuidores"/>
    <x v="21"/>
    <n v="17.04"/>
    <x v="83"/>
    <n v="585.31719999999996"/>
    <n v="175.59719999999999"/>
    <n v="409.72"/>
    <n v="82.79032248"/>
    <n v="4.858587"/>
    <n v="1"/>
    <n v="17.04"/>
    <n v="326.92967752000004"/>
  </r>
  <r>
    <x v="296"/>
    <x v="2"/>
    <s v="OFICINA"/>
    <s v="001-001-000000765"/>
    <s v="Distribuidores"/>
    <x v="20"/>
    <n v="3.12"/>
    <x v="83"/>
    <n v="107.1674"/>
    <n v="48.227400000000003"/>
    <n v="58.94"/>
    <n v="15.15879144"/>
    <n v="4.858587"/>
    <n v="1"/>
    <n v="3.12"/>
    <n v="43.781208559999996"/>
  </r>
  <r>
    <x v="290"/>
    <x v="2"/>
    <s v="OFICINA"/>
    <s v="001-001-000000771"/>
    <s v="Distribuidores"/>
    <x v="20"/>
    <n v="15.12"/>
    <x v="83"/>
    <n v="519.36739999999998"/>
    <n v="233.7174"/>
    <n v="285.64999999999998"/>
    <n v="73.461835440000002"/>
    <n v="4.858587"/>
    <n v="1"/>
    <n v="15.12"/>
    <n v="212.18816455999996"/>
  </r>
  <r>
    <x v="147"/>
    <x v="2"/>
    <s v="OFICINA"/>
    <s v="001-001-000000778"/>
    <s v="Directo"/>
    <x v="117"/>
    <n v="16.02"/>
    <x v="83"/>
    <n v="550.29"/>
    <n v="0"/>
    <n v="550.29"/>
    <n v="78.496862579999998"/>
    <n v="4.8999290000000002"/>
    <n v="1"/>
    <n v="16.02"/>
    <n v="471.79313741999999"/>
  </r>
  <r>
    <x v="349"/>
    <x v="2"/>
    <s v="OFICINA"/>
    <s v="001-001-000000780"/>
    <s v="Distribuidores"/>
    <x v="20"/>
    <n v="15.12"/>
    <x v="83"/>
    <n v="519.36739999999998"/>
    <n v="233.7174"/>
    <n v="285.64999999999998"/>
    <n v="74.086926480000002"/>
    <n v="4.8999290000000002"/>
    <n v="1"/>
    <n v="15.12"/>
    <n v="211.56307351999999"/>
  </r>
  <r>
    <x v="350"/>
    <x v="2"/>
    <s v="OFICINA"/>
    <s v="001-001-000000798"/>
    <s v="Distribuidores"/>
    <x v="20"/>
    <n v="1.44"/>
    <x v="83"/>
    <n v="49.458799999999997"/>
    <n v="22.258800000000001"/>
    <n v="27.2"/>
    <n v="7.8833433599999996"/>
    <n v="5.4745439999999999"/>
    <n v="1"/>
    <n v="1.44"/>
    <n v="19.316656639999998"/>
  </r>
  <r>
    <x v="153"/>
    <x v="2"/>
    <s v="OFICINA"/>
    <s v="001-001-000000820"/>
    <s v="Distribuidores"/>
    <x v="128"/>
    <n v="8"/>
    <x v="83"/>
    <n v="274.8"/>
    <n v="96.18"/>
    <n v="178.62"/>
    <n v="44.734879999999997"/>
    <n v="5.5918599999999996"/>
    <n v="1"/>
    <n v="8"/>
    <n v="133.88512"/>
  </r>
  <r>
    <x v="351"/>
    <x v="2"/>
    <s v="OFICINA"/>
    <s v="001-001-000000831"/>
    <s v="Distribuidores"/>
    <x v="20"/>
    <n v="12"/>
    <x v="83"/>
    <n v="412.20000000000005"/>
    <n v="185.49"/>
    <n v="226.71"/>
    <n v="69.700739999999996"/>
    <n v="5.808395"/>
    <n v="1"/>
    <n v="12"/>
    <n v="157.00926000000001"/>
  </r>
  <r>
    <x v="352"/>
    <x v="2"/>
    <s v="OFICINA"/>
    <s v="001-001-000000846"/>
    <s v="Distribuidores"/>
    <x v="21"/>
    <n v="10.08"/>
    <x v="83"/>
    <n v="346.25439999999998"/>
    <n v="103.87439999999999"/>
    <n v="242.38"/>
    <n v="58.548621599999997"/>
    <n v="5.808395"/>
    <n v="1"/>
    <n v="10.08"/>
    <n v="183.83137840000001"/>
  </r>
  <r>
    <x v="161"/>
    <x v="2"/>
    <s v="OFICINA"/>
    <s v="001-001-000000882"/>
    <s v="Distribuidores"/>
    <x v="20"/>
    <n v="11.28"/>
    <x v="83"/>
    <n v="387.47059999999999"/>
    <n v="174.36060000000001"/>
    <n v="213.11"/>
    <n v="65.379376320000006"/>
    <n v="5.7960440000000011"/>
    <n v="1"/>
    <n v="11.28"/>
    <n v="147.73062368000001"/>
  </r>
  <r>
    <x v="207"/>
    <x v="2"/>
    <s v="OFICINA"/>
    <s v="001-001-000000902"/>
    <s v="Distribuidores"/>
    <x v="21"/>
    <n v="17.04"/>
    <x v="83"/>
    <n v="585.31719999999996"/>
    <n v="175.59719999999999"/>
    <n v="409.72"/>
    <n v="97.696539599999994"/>
    <n v="5.733365"/>
    <n v="1"/>
    <n v="17.04"/>
    <n v="312.02346040000003"/>
  </r>
  <r>
    <x v="164"/>
    <x v="2"/>
    <s v="OFICINA"/>
    <s v="001-001-000000907"/>
    <s v="Distribuidores"/>
    <x v="20"/>
    <n v="5.04"/>
    <x v="83"/>
    <n v="173.11579999999998"/>
    <n v="77.905799999999999"/>
    <n v="95.21"/>
    <n v="28.8567468"/>
    <n v="5.7255450000000003"/>
    <n v="1"/>
    <n v="5.04"/>
    <n v="66.353253199999997"/>
  </r>
  <r>
    <x v="166"/>
    <x v="2"/>
    <s v="OFICINA"/>
    <s v="001-001-000000915"/>
    <s v="Distribuidores"/>
    <x v="128"/>
    <n v="18"/>
    <x v="83"/>
    <n v="618.30499999999995"/>
    <n v="216.405"/>
    <n v="401.9"/>
    <n v="102.933144"/>
    <n v="5.7185079999999999"/>
    <n v="1"/>
    <n v="18"/>
    <n v="298.96685600000001"/>
  </r>
  <r>
    <x v="166"/>
    <x v="2"/>
    <s v="OFICINA"/>
    <s v="001-001-000000914"/>
    <s v="Distribuidores"/>
    <x v="20"/>
    <n v="37.200000000000003"/>
    <x v="83"/>
    <n v="1277.819"/>
    <n v="575.01900000000001"/>
    <n v="702.8"/>
    <n v="212.7284976"/>
    <n v="5.7185079999999999"/>
    <n v="1"/>
    <n v="37.200000000000003"/>
    <n v="490.07150239999999"/>
  </r>
  <r>
    <x v="353"/>
    <x v="2"/>
    <s v="OFICINA"/>
    <s v="001-001-000000918"/>
    <s v="Distribuidores"/>
    <x v="21"/>
    <n v="8.4"/>
    <x v="83"/>
    <n v="288.54199999999997"/>
    <n v="86.561999999999998"/>
    <n v="201.98"/>
    <n v="47.980102799999997"/>
    <n v="5.7119169999999997"/>
    <n v="1"/>
    <n v="8.4"/>
    <n v="153.99989719999999"/>
  </r>
  <r>
    <x v="283"/>
    <x v="2"/>
    <s v="OFICINA"/>
    <s v="001-001-000000920"/>
    <s v="Distribuidores"/>
    <x v="128"/>
    <n v="16.5"/>
    <x v="83"/>
    <n v="566.77125000000001"/>
    <n v="198.37125"/>
    <n v="368.4"/>
    <n v="94.246630499999995"/>
    <n v="5.7119169999999997"/>
    <n v="1"/>
    <n v="16.5"/>
    <n v="274.1533695"/>
  </r>
  <r>
    <x v="265"/>
    <x v="11"/>
    <s v="SERRANO GARRIDO GIOVANNA DEL ROCIO"/>
    <s v="001-001-000000009"/>
    <s v="Directo"/>
    <x v="162"/>
    <n v="1.08"/>
    <x v="84"/>
    <n v="52.92"/>
    <n v="0"/>
    <n v="52.92"/>
    <n v="7.4968826399999999"/>
    <n v="6.9415579999999997"/>
    <n v="1"/>
    <n v="1.08"/>
    <n v="45.423117359999999"/>
  </r>
  <r>
    <x v="5"/>
    <x v="11"/>
    <s v="MOPOSITA GUITARRA ENMA PATRICIA"/>
    <s v="001-001-000000169"/>
    <s v="Directo"/>
    <x v="2"/>
    <n v="25"/>
    <x v="84"/>
    <n v="1225"/>
    <n v="183.75"/>
    <n v="1041.25"/>
    <n v="167.10695000000001"/>
    <n v="6.6842780000000008"/>
    <n v="1"/>
    <n v="25"/>
    <n v="874.14305000000002"/>
  </r>
  <r>
    <x v="70"/>
    <x v="11"/>
    <s v="MOPOSITA GUITARRA ENMA PATRICIA"/>
    <s v="001-001-000000250"/>
    <s v="Directo"/>
    <x v="2"/>
    <n v="18"/>
    <x v="84"/>
    <n v="882"/>
    <n v="132.30000000000001"/>
    <n v="749.7"/>
    <n v="118.05748199999999"/>
    <n v="6.5587489999999997"/>
    <n v="1"/>
    <n v="18"/>
    <n v="631.64251800000011"/>
  </r>
  <r>
    <x v="80"/>
    <x v="11"/>
    <s v="ANDRADE CHECA DIANA LUCIA"/>
    <s v="001-001-000000307"/>
    <s v="Directo"/>
    <x v="65"/>
    <n v="2.2000000000000002"/>
    <x v="84"/>
    <n v="108.8584"/>
    <n v="16.328399999999998"/>
    <n v="92.53"/>
    <n v="13.4458258"/>
    <n v="6.1117389999999991"/>
    <n v="1"/>
    <n v="2.2000000000000002"/>
    <n v="79.084174200000007"/>
  </r>
  <r>
    <x v="88"/>
    <x v="11"/>
    <s v="ANDRADE CHECA DIANA LUCIA"/>
    <s v="001-001-000000339"/>
    <s v="Directo"/>
    <x v="71"/>
    <n v="18"/>
    <x v="85"/>
    <n v="890.64"/>
    <n v="0"/>
    <n v="890.64"/>
    <n v="105.032106"/>
    <n v="5.8351170000000003"/>
    <n v="1"/>
    <n v="18"/>
    <n v="785.60789399999999"/>
  </r>
  <r>
    <x v="88"/>
    <x v="11"/>
    <s v="ANDRADE CHECA DIANA LUCIA"/>
    <s v="001-001-000000339"/>
    <s v="Directo"/>
    <x v="71"/>
    <n v="2"/>
    <x v="85"/>
    <n v="98.96"/>
    <n v="98.96"/>
    <n v="0"/>
    <n v="11.670234000000001"/>
    <n v="5.8351170000000003"/>
    <n v="1"/>
    <n v="2"/>
    <n v="-11.670234000000001"/>
  </r>
  <r>
    <x v="190"/>
    <x v="11"/>
    <s v="OFICINA"/>
    <s v="001-001-000000523"/>
    <s v="Distribuidores"/>
    <x v="33"/>
    <n v="2"/>
    <x v="85"/>
    <n v="98.957999999999998"/>
    <n v="29.687999999999999"/>
    <n v="69.27"/>
    <n v="8.2563180000000003"/>
    <n v="4.1281590000000001"/>
    <n v="1"/>
    <n v="2"/>
    <n v="61.013681999999996"/>
  </r>
  <r>
    <x v="269"/>
    <x v="11"/>
    <s v="OFICINA"/>
    <s v="001-001-000000874"/>
    <s v="Distribuidores"/>
    <x v="128"/>
    <n v="4.1399999999999997"/>
    <x v="85"/>
    <n v="204.84652"/>
    <n v="71.696520000000007"/>
    <n v="133.15"/>
    <n v="16.766097479999999"/>
    <n v="4.0497820000000004"/>
    <n v="1"/>
    <n v="4.1399999999999997"/>
    <n v="116.38390252000001"/>
  </r>
  <r>
    <x v="246"/>
    <x v="11"/>
    <s v="SERRANO GARRIDO GIOVANNA DEL ROCIO"/>
    <s v="001-001-000000212"/>
    <s v="Distribuidores"/>
    <x v="4"/>
    <n v="2.4"/>
    <x v="85"/>
    <n v="100.8"/>
    <n v="35.28"/>
    <n v="65.52"/>
    <n v="16.519999200000001"/>
    <n v="6.8833330000000004"/>
    <n v="1"/>
    <n v="2.4"/>
    <n v="49.000000799999995"/>
  </r>
  <r>
    <x v="42"/>
    <x v="11"/>
    <s v="MOPOSITA GUITARRA ENMA PATRICIA"/>
    <s v="001-001-000000105"/>
    <s v="Directo"/>
    <x v="27"/>
    <n v="5"/>
    <x v="85"/>
    <n v="245"/>
    <n v="0"/>
    <n v="245"/>
    <n v="32.066785000000003"/>
    <n v="6.4133570000000004"/>
    <n v="1"/>
    <n v="5"/>
    <n v="212.93321499999999"/>
  </r>
  <r>
    <x v="43"/>
    <x v="11"/>
    <s v="MOPOSITA GUITARRA ENMA PATRICIA"/>
    <s v="001-001-000000107"/>
    <s v="Directo"/>
    <x v="28"/>
    <n v="5.4"/>
    <x v="86"/>
    <n v="226.8"/>
    <n v="0"/>
    <n v="226.8"/>
    <n v="21.718368000000002"/>
    <n v="4.0219199999999997"/>
    <n v="1"/>
    <n v="5.4"/>
    <n v="205.08163200000001"/>
  </r>
  <r>
    <x v="233"/>
    <x v="11"/>
    <s v="ANDRADE CHECA DIANA LUCIA"/>
    <s v="001-001-000000399"/>
    <s v="Directo"/>
    <x v="148"/>
    <n v="50"/>
    <x v="86"/>
    <n v="2122"/>
    <n v="530.5"/>
    <n v="1591.5"/>
    <n v="197.89709999999999"/>
    <n v="3.9579420000000001"/>
    <n v="1"/>
    <n v="50"/>
    <n v="1393.6029000000001"/>
  </r>
  <r>
    <x v="233"/>
    <x v="11"/>
    <s v="ANDRADE CHECA DIANA LUCIA"/>
    <s v="001-001-000000402"/>
    <s v="Directo"/>
    <x v="148"/>
    <n v="8.5"/>
    <x v="86"/>
    <n v="360.745"/>
    <n v="90.185000000000002"/>
    <n v="270.56"/>
    <n v="33.642507000000002"/>
    <n v="3.9579420000000001"/>
    <n v="1"/>
    <n v="8.5"/>
    <n v="236.91749300000001"/>
  </r>
  <r>
    <x v="284"/>
    <x v="11"/>
    <s v="OFICINA"/>
    <s v="001-001-000000503"/>
    <s v="Directo"/>
    <x v="173"/>
    <n v="10"/>
    <x v="86"/>
    <n v="424.4"/>
    <n v="127.32"/>
    <n v="297.08"/>
    <n v="62.731430000000003"/>
    <n v="6.2731430000000001"/>
    <n v="1"/>
    <n v="10"/>
    <n v="234.34857"/>
  </r>
  <r>
    <x v="237"/>
    <x v="11"/>
    <s v="OFICINA"/>
    <s v="001-001-000000668"/>
    <s v="Distribuidores"/>
    <x v="20"/>
    <n v="2"/>
    <x v="86"/>
    <n v="77.762"/>
    <n v="34.991999999999997"/>
    <n v="42.77"/>
    <n v="8.1382879999999993"/>
    <n v="4.0691439999999997"/>
    <n v="1"/>
    <n v="2"/>
    <n v="34.631712000000007"/>
  </r>
  <r>
    <x v="272"/>
    <x v="11"/>
    <s v="OFICINA"/>
    <s v="001-001-000000676"/>
    <s v="Distribuidores"/>
    <x v="20"/>
    <n v="6"/>
    <x v="86"/>
    <n v="233.27600000000001"/>
    <n v="104.976"/>
    <n v="128.30000000000001"/>
    <n v="21.914634"/>
    <n v="3.6524389999999998"/>
    <n v="1"/>
    <n v="6"/>
    <n v="106.385366"/>
  </r>
  <r>
    <x v="273"/>
    <x v="11"/>
    <s v="OFICINA"/>
    <s v="001-001-000000746"/>
    <s v="Directo"/>
    <x v="118"/>
    <n v="238.4"/>
    <x v="87"/>
    <n v="9268.9879999999994"/>
    <n v="2317.248"/>
    <n v="6951.74"/>
    <n v="888.46602080000002"/>
    <n v="3.7267869999999998"/>
    <n v="1"/>
    <n v="238.4"/>
    <n v="6063.2739791999993"/>
  </r>
  <r>
    <x v="275"/>
    <x v="11"/>
    <s v="OFICINA"/>
    <s v="001-001-000000779"/>
    <s v="Distribuidores"/>
    <x v="20"/>
    <n v="24"/>
    <x v="87"/>
    <n v="933.12400000000002"/>
    <n v="419.904"/>
    <n v="513.22"/>
    <n v="114.230424"/>
    <n v="4.759601"/>
    <n v="1"/>
    <n v="24"/>
    <n v="398.98957600000006"/>
  </r>
  <r>
    <x v="302"/>
    <x v="11"/>
    <s v="OFICINA"/>
    <s v="001-001-000000810"/>
    <s v="Distribuidores"/>
    <x v="20"/>
    <n v="35.799999999999997"/>
    <x v="87"/>
    <n v="1391.8968"/>
    <n v="626.35680000000002"/>
    <n v="765.54"/>
    <n v="171.97740039999999"/>
    <n v="4.8038379999999998"/>
    <n v="1"/>
    <n v="35.799999999999997"/>
    <n v="593.5625996"/>
  </r>
  <r>
    <x v="26"/>
    <x v="11"/>
    <s v="BALLADARES PEREZ REINA JACQUELINE"/>
    <s v="001-001-000000011"/>
    <s v="Directo"/>
    <x v="6"/>
    <n v="6"/>
    <x v="87"/>
    <n v="252"/>
    <n v="12.6"/>
    <n v="239.4"/>
    <n v="27.48"/>
    <n v="4.58"/>
    <n v="1"/>
    <n v="6"/>
    <n v="211.92000000000002"/>
  </r>
  <r>
    <x v="43"/>
    <x v="11"/>
    <s v="MOPOSITA GUITARRA ENMA PATRICIA"/>
    <s v="001-001-000000107"/>
    <s v="Directo"/>
    <x v="28"/>
    <n v="3.6"/>
    <x v="87"/>
    <n v="151.19999999999999"/>
    <n v="0"/>
    <n v="151.19999999999999"/>
    <n v="14.8244436"/>
    <n v="4.1179009999999998"/>
    <n v="1"/>
    <n v="3.6"/>
    <n v="136.37555639999999"/>
  </r>
  <r>
    <x v="3"/>
    <x v="11"/>
    <s v="MOPOSITA GUITARRA ENMA PATRICIA"/>
    <s v="001-001-000000117"/>
    <s v="Directo"/>
    <x v="30"/>
    <n v="63"/>
    <x v="87"/>
    <n v="2646"/>
    <n v="396.9"/>
    <n v="2249.1"/>
    <n v="259.42776300000003"/>
    <n v="4.1179010000000007"/>
    <n v="1"/>
    <n v="63"/>
    <n v="1989.6722369999998"/>
  </r>
  <r>
    <x v="344"/>
    <x v="11"/>
    <s v="OFICINA"/>
    <s v="001-001-000000609"/>
    <s v="Distribuidores"/>
    <x v="20"/>
    <n v="1.2"/>
    <x v="87"/>
    <n v="46.655200000000001"/>
    <n v="20.995200000000001"/>
    <n v="25.66"/>
    <n v="4.0038456"/>
    <n v="3.336538"/>
    <n v="1"/>
    <n v="1.2"/>
    <n v="21.656154399999998"/>
  </r>
  <r>
    <x v="237"/>
    <x v="11"/>
    <s v="OFICINA"/>
    <s v="001-001-000000668"/>
    <s v="Distribuidores"/>
    <x v="20"/>
    <n v="6"/>
    <x v="87"/>
    <n v="233.27600000000001"/>
    <n v="104.976"/>
    <n v="128.30000000000001"/>
    <n v="19.142735999999999"/>
    <n v="3.1904559999999997"/>
    <n v="1"/>
    <n v="6"/>
    <n v="109.15726400000001"/>
  </r>
  <r>
    <x v="272"/>
    <x v="11"/>
    <s v="OFICINA"/>
    <s v="001-001-000000676"/>
    <s v="Distribuidores"/>
    <x v="20"/>
    <n v="18"/>
    <x v="87"/>
    <n v="699.83799999999997"/>
    <n v="314.928"/>
    <n v="384.91"/>
    <n v="53.382852"/>
    <n v="2.9657140000000002"/>
    <n v="1"/>
    <n v="18"/>
    <n v="331.52714800000001"/>
  </r>
  <r>
    <x v="137"/>
    <x v="11"/>
    <s v="OFICINA"/>
    <s v="001-001-000000689"/>
    <s v="Directo"/>
    <x v="110"/>
    <n v="9"/>
    <x v="87"/>
    <n v="349.92200000000003"/>
    <n v="34.991999999999997"/>
    <n v="314.93"/>
    <n v="26.862857999999999"/>
    <n v="2.9847619999999999"/>
    <n v="1"/>
    <n v="9"/>
    <n v="288.06714199999999"/>
  </r>
  <r>
    <x v="26"/>
    <x v="11"/>
    <s v="BALLADARES PEREZ REINA JACQUELINE"/>
    <s v="001-001-000000011"/>
    <s v="Directo"/>
    <x v="6"/>
    <n v="2.2200000000000002"/>
    <x v="87"/>
    <n v="93.242000000000004"/>
    <n v="4.6619999999999999"/>
    <n v="88.58"/>
    <n v="9.9979853399999996"/>
    <n v="4.5035969999999992"/>
    <n v="1"/>
    <n v="2.2200000000000002"/>
    <n v="78.582014659999999"/>
  </r>
  <r>
    <x v="80"/>
    <x v="11"/>
    <s v="ANDRADE CHECA DIANA LUCIA"/>
    <s v="001-001-000000307"/>
    <s v="Directo"/>
    <x v="65"/>
    <n v="12"/>
    <x v="87"/>
    <n v="509.28199999999998"/>
    <n v="76.391999999999996"/>
    <n v="432.89"/>
    <n v="54.345323999999998"/>
    <n v="4.5287769999999998"/>
    <n v="1"/>
    <n v="12"/>
    <n v="378.54467599999998"/>
  </r>
  <r>
    <x v="170"/>
    <x v="11"/>
    <s v="ANDRADE CHECA DIANA LUCIA"/>
    <s v="001-001-000000389"/>
    <s v="Directo"/>
    <x v="157"/>
    <n v="4.4400000000000004"/>
    <x v="87"/>
    <n v="188.42504"/>
    <n v="28.265039999999999"/>
    <n v="160.16"/>
    <n v="18.13305768"/>
    <n v="4.084022"/>
    <n v="1"/>
    <n v="4.4400000000000004"/>
    <n v="142.02694231999999"/>
  </r>
  <r>
    <x v="237"/>
    <x v="11"/>
    <s v="OFICINA"/>
    <s v="001-001-000000668"/>
    <s v="Distribuidores"/>
    <x v="20"/>
    <n v="10"/>
    <x v="87"/>
    <n v="388.8"/>
    <n v="174.96"/>
    <n v="213.84"/>
    <n v="40.745139999999999"/>
    <n v="4.0745139999999997"/>
    <n v="1"/>
    <n v="10"/>
    <n v="173.09486000000001"/>
  </r>
  <r>
    <x v="272"/>
    <x v="11"/>
    <s v="OFICINA"/>
    <s v="001-001-000000676"/>
    <s v="Distribuidores"/>
    <x v="20"/>
    <n v="30.52"/>
    <x v="87"/>
    <n v="1186.6179200000001"/>
    <n v="533.97792000000004"/>
    <n v="652.64"/>
    <n v="87.307221119999994"/>
    <n v="2.8606559999999996"/>
    <n v="1"/>
    <n v="30.52"/>
    <n v="565.33277887999998"/>
  </r>
  <r>
    <x v="137"/>
    <x v="11"/>
    <s v="OFICINA"/>
    <s v="001-001-000000689"/>
    <s v="Directo"/>
    <x v="110"/>
    <n v="12.21"/>
    <x v="87"/>
    <n v="474.72248000000002"/>
    <n v="47.472479999999997"/>
    <n v="427.25"/>
    <n v="34.928609760000001"/>
    <n v="2.8606559999999996"/>
    <n v="1"/>
    <n v="12.21"/>
    <n v="392.32139024000003"/>
  </r>
  <r>
    <x v="29"/>
    <x v="11"/>
    <s v="BALLADARES PEREZ REINA JACQUELINE"/>
    <s v="001-001-000000026"/>
    <s v="Directo"/>
    <x v="12"/>
    <n v="158.55000000000001"/>
    <x v="87"/>
    <n v="6659.1049999999996"/>
    <n v="998.86500000000001"/>
    <n v="5660.24"/>
    <n v="691.17224714999998"/>
    <n v="4.3593329999999995"/>
    <n v="1"/>
    <n v="158.55000000000001"/>
    <n v="4969.06775285"/>
  </r>
  <r>
    <x v="50"/>
    <x v="11"/>
    <s v="MOPOSITA GUITARRA ENMA PATRICIA"/>
    <s v="001-001-000000164"/>
    <s v="Arquitectos"/>
    <x v="156"/>
    <n v="10.5"/>
    <x v="87"/>
    <n v="441"/>
    <n v="0"/>
    <n v="441"/>
    <n v="41.821562999999998"/>
    <n v="3.9830059999999996"/>
    <n v="1"/>
    <n v="10.5"/>
    <n v="399.17843700000003"/>
  </r>
  <r>
    <x v="50"/>
    <x v="11"/>
    <s v="SERRANO GARRIDO GIOVANNA DEL ROCIO"/>
    <s v="001-001-000000165"/>
    <s v="Arquitectos"/>
    <x v="165"/>
    <n v="3.15"/>
    <x v="87"/>
    <n v="132.30000000000001"/>
    <n v="39.69"/>
    <n v="92.61"/>
    <n v="12.546468900000001"/>
    <n v="3.9830060000000005"/>
    <n v="1"/>
    <n v="3.15"/>
    <n v="80.063531100000006"/>
  </r>
  <r>
    <x v="72"/>
    <x v="11"/>
    <s v="ANDRADE CHECA DIANA LUCIA"/>
    <s v="001-001-000000269"/>
    <s v="Directo"/>
    <x v="56"/>
    <n v="42"/>
    <x v="87"/>
    <n v="1782.4780000000001"/>
    <n v="178.24799999999999"/>
    <n v="1604.23"/>
    <n v="167.28625199999999"/>
    <n v="3.9830059999999996"/>
    <n v="1"/>
    <n v="42"/>
    <n v="1436.9437480000001"/>
  </r>
  <r>
    <x v="131"/>
    <x v="11"/>
    <s v="OFICINA"/>
    <s v="001-001-000000654"/>
    <s v="Distribuidores"/>
    <x v="98"/>
    <n v="4.2"/>
    <x v="87"/>
    <n v="163.30360000000002"/>
    <n v="57.153599999999997"/>
    <n v="106.15"/>
    <n v="13.100543399999999"/>
    <n v="3.1191769999999996"/>
    <n v="1"/>
    <n v="4.2"/>
    <n v="93.049456600000013"/>
  </r>
  <r>
    <x v="153"/>
    <x v="11"/>
    <s v="OFICINA"/>
    <s v="001-001-000000820"/>
    <s v="Distribuidores"/>
    <x v="128"/>
    <n v="43"/>
    <x v="87"/>
    <n v="1671.8440000000001"/>
    <n v="585.14400000000001"/>
    <n v="1086.7"/>
    <n v="198.92875000000001"/>
    <n v="4.6262499999999998"/>
    <n v="1"/>
    <n v="43"/>
    <n v="887.77125000000001"/>
  </r>
  <r>
    <x v="266"/>
    <x v="11"/>
    <s v="SERRANO GARRIDO GIOVANNA DEL ROCIO"/>
    <s v="001-001-000000074"/>
    <s v="Distribuidores"/>
    <x v="21"/>
    <n v="13"/>
    <x v="88"/>
    <n v="546"/>
    <n v="191.1"/>
    <n v="354.9"/>
    <n v="61.210006"/>
    <n v="4.7084619999999999"/>
    <n v="1"/>
    <n v="13"/>
    <n v="293.68999399999996"/>
  </r>
  <r>
    <x v="354"/>
    <x v="11"/>
    <s v="MOPOSITA GUITARRA ENMA PATRICIA"/>
    <s v="001-001-000000392"/>
    <s v="Directo"/>
    <x v="143"/>
    <n v="7"/>
    <x v="89"/>
    <n v="297.07799999999997"/>
    <n v="103.97799999999999"/>
    <n v="193.1"/>
    <n v="29.785"/>
    <n v="4.2549999999999999"/>
    <n v="1"/>
    <n v="7"/>
    <n v="163.315"/>
  </r>
  <r>
    <x v="271"/>
    <x v="11"/>
    <s v="OFICINA"/>
    <s v="001-001-000000605"/>
    <s v="Distribuidores"/>
    <x v="21"/>
    <n v="6"/>
    <x v="89"/>
    <n v="233.27799999999999"/>
    <n v="81.647999999999996"/>
    <n v="151.63"/>
    <n v="28.734317999999998"/>
    <n v="4.789053"/>
    <n v="1"/>
    <n v="6"/>
    <n v="122.89568199999999"/>
  </r>
  <r>
    <x v="129"/>
    <x v="11"/>
    <s v="OFICINA"/>
    <s v="001-001-000000646"/>
    <s v="Distribuidores"/>
    <x v="21"/>
    <n v="6"/>
    <x v="89"/>
    <n v="233.27799999999999"/>
    <n v="81.647999999999996"/>
    <n v="151.63"/>
    <n v="28.734317999999998"/>
    <n v="4.789053"/>
    <n v="1"/>
    <n v="6"/>
    <n v="122.89568199999999"/>
  </r>
  <r>
    <x v="267"/>
    <x v="6"/>
    <s v="SERRANO GARRIDO GIOVANNA DEL ROCIO"/>
    <s v="001-001-000000148"/>
    <s v="Directo"/>
    <x v="195"/>
    <n v="244.08"/>
    <x v="90"/>
    <n v="7227.2108799999996"/>
    <n v="722.72087999999997"/>
    <n v="6504.49"/>
    <n v="4869.3959999999997"/>
    <n v="19.95"/>
    <n v="1"/>
    <n v="244.08"/>
    <n v="1635.0940000000001"/>
  </r>
  <r>
    <x v="355"/>
    <x v="13"/>
    <s v="MOPOSITA GUITARRA ENMA PATRICIA"/>
    <s v="001-001-000000097"/>
    <s v="Directo"/>
    <x v="196"/>
    <n v="2"/>
    <x v="91"/>
    <n v="90"/>
    <n v="0"/>
    <n v="90"/>
    <n v="16.05"/>
    <n v="8.0250000000000004"/>
    <n v="1"/>
    <n v="2"/>
    <n v="73.95"/>
  </r>
  <r>
    <x v="335"/>
    <x v="13"/>
    <s v="MOPOSITA GUITARRA ENMA PATRICIA"/>
    <s v="001-001-000000182"/>
    <s v="Constructores"/>
    <x v="197"/>
    <n v="70"/>
    <x v="91"/>
    <n v="3150"/>
    <n v="787.5"/>
    <n v="2362.5"/>
    <n v="561.75"/>
    <n v="8.0250000000000004"/>
    <n v="1"/>
    <n v="70"/>
    <n v="1800.75"/>
  </r>
  <r>
    <x v="59"/>
    <x v="13"/>
    <s v="SERRANO GARRIDO GIOVANNA DEL ROCIO"/>
    <s v="001-001-000000208"/>
    <s v="Distribuidores"/>
    <x v="20"/>
    <n v="6"/>
    <x v="91"/>
    <n v="270"/>
    <n v="108"/>
    <n v="162"/>
    <n v="47.060291999999997"/>
    <n v="7.8433819999999992"/>
    <n v="1"/>
    <n v="6"/>
    <n v="114.939708"/>
  </r>
  <r>
    <x v="356"/>
    <x v="13"/>
    <s v="OFICINA"/>
    <s v="001-001-000000404"/>
    <s v="Directo"/>
    <x v="198"/>
    <n v="8"/>
    <x v="91"/>
    <n v="363.52199999999999"/>
    <n v="36.351999999999997"/>
    <n v="327.17"/>
    <n v="64"/>
    <n v="8"/>
    <n v="1"/>
    <n v="8"/>
    <n v="263.17"/>
  </r>
  <r>
    <x v="357"/>
    <x v="13"/>
    <s v="MOPOSITA GUITARRA ENMA PATRICIA"/>
    <s v="001-001-000000475"/>
    <s v="Distribuidores"/>
    <x v="20"/>
    <n v="30"/>
    <x v="91"/>
    <n v="1166.4000000000001"/>
    <n v="408.24"/>
    <n v="758.16"/>
    <n v="110.93544"/>
    <n v="3.697848"/>
    <n v="1"/>
    <n v="30"/>
    <n v="647.22456"/>
  </r>
  <r>
    <x v="260"/>
    <x v="13"/>
    <s v="OFICINA"/>
    <s v="001-001-000000553"/>
    <s v="Directo"/>
    <x v="199"/>
    <n v="33"/>
    <x v="91"/>
    <n v="1283.0440000000001"/>
    <n v="128.304"/>
    <n v="1154.74"/>
    <n v="122.02898399999999"/>
    <n v="3.697848"/>
    <n v="1"/>
    <n v="33"/>
    <n v="1032.711016"/>
  </r>
  <r>
    <x v="120"/>
    <x v="13"/>
    <s v="OFICINA"/>
    <s v="001-001-000000593"/>
    <s v="Directo"/>
    <x v="99"/>
    <n v="9"/>
    <x v="91"/>
    <n v="349.92200000000003"/>
    <n v="34.991999999999997"/>
    <n v="314.93"/>
    <n v="29.458898999999999"/>
    <n v="3.2732109999999999"/>
    <n v="1"/>
    <n v="9"/>
    <n v="285.47110100000003"/>
  </r>
  <r>
    <x v="237"/>
    <x v="13"/>
    <s v="OFICINA"/>
    <s v="001-001-000000669"/>
    <s v="Distribuidores"/>
    <x v="21"/>
    <n v="35"/>
    <x v="91"/>
    <n v="1360.8000000000002"/>
    <n v="612.36"/>
    <n v="748.44"/>
    <n v="111.47108"/>
    <n v="3.1848879999999999"/>
    <n v="1"/>
    <n v="35"/>
    <n v="636.96892000000003"/>
  </r>
  <r>
    <x v="352"/>
    <x v="13"/>
    <s v="OFICINA"/>
    <s v="001-001-000000845"/>
    <s v="Distribuidores"/>
    <x v="21"/>
    <n v="3"/>
    <x v="91"/>
    <n v="116.642"/>
    <n v="34.991999999999997"/>
    <n v="81.650000000000006"/>
    <n v="9.5739180000000008"/>
    <n v="3.1913060000000004"/>
    <n v="1"/>
    <n v="3"/>
    <n v="72.076082"/>
  </r>
  <r>
    <x v="207"/>
    <x v="13"/>
    <s v="OFICINA"/>
    <s v="001-001-000000903"/>
    <s v="Distribuidores"/>
    <x v="149"/>
    <n v="18"/>
    <x v="92"/>
    <n v="699.84199999999998"/>
    <n v="209.952"/>
    <n v="489.89"/>
    <n v="121.5"/>
    <n v="6.75"/>
    <n v="1"/>
    <n v="18"/>
    <n v="368.39"/>
  </r>
  <r>
    <x v="51"/>
    <x v="13"/>
    <s v="MOPOSITA GUITARRA ENMA PATRICIA"/>
    <s v="001-001-000000167"/>
    <s v="Directo"/>
    <x v="200"/>
    <n v="32"/>
    <x v="93"/>
    <n v="1440"/>
    <n v="0"/>
    <n v="1440"/>
    <n v="207.453664"/>
    <n v="6.4829270000000001"/>
    <n v="1"/>
    <n v="32"/>
    <n v="1232.5463359999999"/>
  </r>
  <r>
    <x v="335"/>
    <x v="13"/>
    <s v="MOPOSITA GUITARRA ENMA PATRICIA"/>
    <s v="001-001-000000182"/>
    <s v="Constructores"/>
    <x v="197"/>
    <n v="280"/>
    <x v="93"/>
    <n v="12600"/>
    <n v="3150"/>
    <n v="9450"/>
    <n v="1586.2588000000001"/>
    <n v="5.6652100000000001"/>
    <n v="1"/>
    <n v="280"/>
    <n v="7863.7412000000004"/>
  </r>
  <r>
    <x v="64"/>
    <x v="13"/>
    <s v="MOPOSITA GUITARRA ENMA PATRICIA"/>
    <s v="001-001-000000234"/>
    <s v="Directo"/>
    <x v="52"/>
    <n v="27"/>
    <x v="93"/>
    <n v="1215"/>
    <n v="60.75"/>
    <n v="1154.25"/>
    <n v="156.49199999999999"/>
    <n v="5.7959999999999994"/>
    <n v="1"/>
    <n v="27"/>
    <n v="997.75800000000004"/>
  </r>
  <r>
    <x v="177"/>
    <x v="13"/>
    <s v="SERRANO GARRIDO GIOVANNA DEL ROCIO"/>
    <s v="001-001-000000254"/>
    <s v="Distribuidores"/>
    <x v="20"/>
    <n v="20"/>
    <x v="93"/>
    <n v="900"/>
    <n v="315"/>
    <n v="585"/>
    <n v="109.89012"/>
    <n v="5.4945059999999994"/>
    <n v="1"/>
    <n v="20"/>
    <n v="475.10987999999998"/>
  </r>
  <r>
    <x v="103"/>
    <x v="13"/>
    <s v="MOPOSITA GUITARRA ENMA PATRICIA"/>
    <s v="001-001-000000446"/>
    <s v="Directo"/>
    <x v="87"/>
    <n v="13"/>
    <x v="93"/>
    <n v="590.72199999999998"/>
    <n v="59.072000000000003"/>
    <n v="531.65"/>
    <n v="70.772390000000001"/>
    <n v="5.4440299999999997"/>
    <n v="1"/>
    <n v="13"/>
    <n v="460.87761"/>
  </r>
  <r>
    <x v="103"/>
    <x v="13"/>
    <s v="MOPOSITA GUITARRA ENMA PATRICIA"/>
    <s v="001-001-000000445"/>
    <s v="Directo"/>
    <x v="87"/>
    <n v="17"/>
    <x v="93"/>
    <n v="772.47800000000007"/>
    <n v="77.248000000000005"/>
    <n v="695.23"/>
    <n v="92.548509999999993"/>
    <n v="5.4440299999999997"/>
    <n v="1"/>
    <n v="17"/>
    <n v="602.68149000000005"/>
  </r>
  <r>
    <x v="358"/>
    <x v="13"/>
    <s v="OFICINA"/>
    <s v="001-001-000000624"/>
    <s v="Distribuidores"/>
    <x v="21"/>
    <n v="26"/>
    <x v="93"/>
    <n v="1010.878"/>
    <n v="353.80799999999999"/>
    <n v="657.07"/>
    <n v="139.94588400000001"/>
    <n v="5.3825340000000006"/>
    <n v="1"/>
    <n v="26"/>
    <n v="517.12411600000007"/>
  </r>
  <r>
    <x v="132"/>
    <x v="13"/>
    <s v="OFICINA"/>
    <s v="001-001-000000657"/>
    <s v="Distribuidores"/>
    <x v="21"/>
    <n v="30"/>
    <x v="93"/>
    <n v="1166.4000000000001"/>
    <n v="408.24"/>
    <n v="758.16"/>
    <n v="161.05113"/>
    <n v="5.3683709999999998"/>
    <n v="1"/>
    <n v="30"/>
    <n v="597.10887000000002"/>
  </r>
  <r>
    <x v="142"/>
    <x v="13"/>
    <s v="OFICINA"/>
    <s v="001-001-000000719"/>
    <s v="Distribuidores"/>
    <x v="115"/>
    <n v="2"/>
    <x v="93"/>
    <n v="77.757999999999996"/>
    <n v="23.327999999999999"/>
    <n v="54.43"/>
    <n v="10.736742"/>
    <n v="5.3683709999999998"/>
    <n v="1"/>
    <n v="2"/>
    <n v="43.693258"/>
  </r>
  <r>
    <x v="324"/>
    <x v="13"/>
    <s v="OFICINA"/>
    <s v="001-001-000000732"/>
    <s v="Distribuidores"/>
    <x v="21"/>
    <n v="17"/>
    <x v="93"/>
    <n v="660.95800000000008"/>
    <n v="198.28800000000001"/>
    <n v="462.67"/>
    <n v="93.133377999999993"/>
    <n v="5.478434"/>
    <n v="1"/>
    <n v="17"/>
    <n v="369.53662200000002"/>
  </r>
  <r>
    <x v="324"/>
    <x v="13"/>
    <s v="OFICINA"/>
    <s v="001-001-000000734"/>
    <s v="Distribuidores"/>
    <x v="21"/>
    <n v="6"/>
    <x v="93"/>
    <n v="233.28399999999999"/>
    <n v="69.983999999999995"/>
    <n v="163.30000000000001"/>
    <n v="32.870604"/>
    <n v="5.478434"/>
    <n v="1"/>
    <n v="6"/>
    <n v="130.429396"/>
  </r>
  <r>
    <x v="249"/>
    <x v="13"/>
    <s v="OFICINA"/>
    <s v="001-001-000000774"/>
    <s v="Distribuidores"/>
    <x v="21"/>
    <n v="37"/>
    <x v="93"/>
    <n v="1438.558"/>
    <n v="431.56799999999998"/>
    <n v="1006.99"/>
    <n v="179.469684"/>
    <n v="4.8505320000000003"/>
    <n v="1"/>
    <n v="37"/>
    <n v="827.52031599999998"/>
  </r>
  <r>
    <x v="183"/>
    <x v="13"/>
    <s v="OFICINA"/>
    <s v="001-001-000000781"/>
    <s v="Distribuidores"/>
    <x v="21"/>
    <n v="37"/>
    <x v="93"/>
    <n v="1438.558"/>
    <n v="431.56799999999998"/>
    <n v="1006.99"/>
    <n v="173.91121100000001"/>
    <n v="4.7003029999999999"/>
    <n v="1"/>
    <n v="37"/>
    <n v="833.07878900000003"/>
  </r>
  <r>
    <x v="26"/>
    <x v="13"/>
    <s v="OFICINA"/>
    <s v="001-001-000000012"/>
    <s v="Arquitectos"/>
    <x v="201"/>
    <n v="11"/>
    <x v="94"/>
    <n v="495"/>
    <n v="24.75"/>
    <n v="470.25"/>
    <n v="102.52"/>
    <n v="9.32"/>
    <n v="1"/>
    <n v="11"/>
    <n v="367.73"/>
  </r>
  <r>
    <x v="359"/>
    <x v="13"/>
    <s v="CASTILLO YAQUE SONIA ROXANA"/>
    <s v="001-001-000000439"/>
    <s v="Directo"/>
    <x v="202"/>
    <n v="2.88"/>
    <x v="94"/>
    <n v="137.4"/>
    <n v="0"/>
    <n v="137.4"/>
    <n v="23.160000960000001"/>
    <n v="8.0416670000000003"/>
    <n v="1"/>
    <n v="2.88"/>
    <n v="114.23999904"/>
  </r>
  <r>
    <x v="132"/>
    <x v="13"/>
    <s v="OFICINA"/>
    <s v="001-001-000000657"/>
    <s v="Distribuidores"/>
    <x v="21"/>
    <n v="2.8"/>
    <x v="94"/>
    <n v="108.86240000000001"/>
    <n v="38.102400000000003"/>
    <n v="70.760000000000005"/>
    <n v="20.344366000000001"/>
    <n v="7.2658450000000006"/>
    <n v="1"/>
    <n v="2.8"/>
    <n v="50.415634000000004"/>
  </r>
  <r>
    <x v="346"/>
    <x v="13"/>
    <s v="OFICINA"/>
    <s v="001-001-000000684"/>
    <s v="Distribuidores"/>
    <x v="20"/>
    <n v="4"/>
    <x v="94"/>
    <n v="155.524"/>
    <n v="69.983999999999995"/>
    <n v="85.54"/>
    <n v="29.063379999999999"/>
    <n v="7.2658449999999997"/>
    <n v="1"/>
    <n v="4"/>
    <n v="56.476620000000011"/>
  </r>
  <r>
    <x v="174"/>
    <x v="13"/>
    <s v="SERRANO GARRIDO GIOVANNA DEL ROCIO"/>
    <s v="001-001-000000120"/>
    <s v="Distribuidores"/>
    <x v="20"/>
    <n v="6"/>
    <x v="95"/>
    <n v="270"/>
    <n v="94.5"/>
    <n v="175.5"/>
    <n v="15.768882"/>
    <n v="2.6281469999999998"/>
    <n v="1"/>
    <n v="6"/>
    <n v="159.73111800000001"/>
  </r>
  <r>
    <x v="82"/>
    <x v="13"/>
    <s v="MOPOSITA GUITARRA ENMA PATRICIA"/>
    <s v="001-001-000000311"/>
    <s v="Distribuidores"/>
    <x v="21"/>
    <n v="36"/>
    <x v="95"/>
    <n v="1635.8440000000001"/>
    <n v="572.54399999999998"/>
    <n v="1063.3"/>
    <n v="124.17778800000001"/>
    <n v="3.4493830000000001"/>
    <n v="1"/>
    <n v="36"/>
    <n v="939.12221199999999"/>
  </r>
  <r>
    <x v="263"/>
    <x v="13"/>
    <s v="MOPOSITA GUITARRA ENMA PATRICIA"/>
    <s v="001-001-000000405"/>
    <s v="Distribuidores"/>
    <x v="21"/>
    <n v="38"/>
    <x v="95"/>
    <n v="1726.7219999999998"/>
    <n v="604.35199999999998"/>
    <n v="1122.3699999999999"/>
    <n v="139.321946"/>
    <n v="3.6663669999999997"/>
    <n v="1"/>
    <n v="38"/>
    <n v="983.04805399999987"/>
  </r>
  <r>
    <x v="360"/>
    <x v="13"/>
    <s v="MOPOSITA GUITARRA ENMA PATRICIA"/>
    <s v="001-001-000000424"/>
    <s v="Distribuidores"/>
    <x v="21"/>
    <n v="29"/>
    <x v="95"/>
    <n v="1317.7559999999999"/>
    <n v="461.21600000000001"/>
    <n v="856.54"/>
    <n v="101.665097"/>
    <n v="3.5056929999999999"/>
    <n v="1"/>
    <n v="29"/>
    <n v="754.8749029999999"/>
  </r>
  <r>
    <x v="361"/>
    <x v="13"/>
    <s v="MOPOSITA GUITARRA ENMA PATRICIA"/>
    <s v="001-001-000000541"/>
    <s v="Distribuidores"/>
    <x v="21"/>
    <n v="38"/>
    <x v="95"/>
    <n v="1477.444"/>
    <n v="517.10400000000004"/>
    <n v="960.34"/>
    <n v="117.95317799999999"/>
    <n v="3.104031"/>
    <n v="1"/>
    <n v="38"/>
    <n v="842.38682200000005"/>
  </r>
  <r>
    <x v="169"/>
    <x v="13"/>
    <s v="OFICINA"/>
    <s v="001-001-000000618"/>
    <s v="Distribuidores"/>
    <x v="21"/>
    <n v="9"/>
    <x v="95"/>
    <n v="349.92199999999997"/>
    <n v="122.47199999999999"/>
    <n v="227.45"/>
    <n v="27.368046"/>
    <n v="3.0408939999999998"/>
    <n v="1"/>
    <n v="9"/>
    <n v="200.081954"/>
  </r>
  <r>
    <x v="142"/>
    <x v="13"/>
    <s v="OFICINA"/>
    <s v="001-001-000000720"/>
    <s v="Distribuidores"/>
    <x v="114"/>
    <n v="21"/>
    <x v="95"/>
    <n v="816.48399999999992"/>
    <n v="244.94399999999999"/>
    <n v="571.54"/>
    <n v="64.377116999999998"/>
    <n v="3.0655769999999998"/>
    <n v="1"/>
    <n v="21"/>
    <n v="507.16288299999997"/>
  </r>
  <r>
    <x v="273"/>
    <x v="13"/>
    <s v="OFICINA"/>
    <s v="001-001-000000746"/>
    <s v="Directo"/>
    <x v="118"/>
    <n v="25.6"/>
    <x v="95"/>
    <n v="995.33199999999999"/>
    <n v="248.83199999999999"/>
    <n v="746.5"/>
    <n v="78.478771199999997"/>
    <n v="3.0655769999999998"/>
    <n v="1"/>
    <n v="25.6"/>
    <n v="668.02122880000002"/>
  </r>
  <r>
    <x v="145"/>
    <x v="13"/>
    <s v="SERRANO GARRIDO GIOVANNA DEL ROCIO"/>
    <s v="001-001-000000751"/>
    <s v="Distribuidores"/>
    <x v="21"/>
    <n v="15"/>
    <x v="95"/>
    <n v="583.20000000000005"/>
    <n v="174.96"/>
    <n v="408.24"/>
    <n v="45.671039999999998"/>
    <n v="3.0447359999999999"/>
    <n v="1"/>
    <n v="15"/>
    <n v="362.56896"/>
  </r>
  <r>
    <x v="148"/>
    <x v="13"/>
    <s v="OFICINA"/>
    <s v="001-001-000000793"/>
    <s v="Directo"/>
    <x v="118"/>
    <n v="45"/>
    <x v="95"/>
    <n v="1749.6"/>
    <n v="437.4"/>
    <n v="1312.2"/>
    <n v="132.04354499999999"/>
    <n v="2.934301"/>
    <n v="1"/>
    <n v="45"/>
    <n v="1180.1564550000001"/>
  </r>
  <r>
    <x v="362"/>
    <x v="13"/>
    <s v="OFICINA"/>
    <s v="001-001-000000822"/>
    <s v="Distribuidores"/>
    <x v="21"/>
    <n v="40"/>
    <x v="96"/>
    <n v="1555.2"/>
    <n v="466.56"/>
    <n v="1088.6400000000001"/>
    <n v="113.06196"/>
    <n v="2.826549"/>
    <n v="1"/>
    <n v="40"/>
    <n v="975.5780400000001"/>
  </r>
  <r>
    <x v="362"/>
    <x v="13"/>
    <s v="OFICINA"/>
    <s v="001-001-000000824"/>
    <s v="Distribuidores"/>
    <x v="21"/>
    <n v="6"/>
    <x v="96"/>
    <n v="233.28399999999999"/>
    <n v="69.983999999999995"/>
    <n v="163.30000000000001"/>
    <n v="17.69763"/>
    <n v="2.949605"/>
    <n v="1"/>
    <n v="6"/>
    <n v="145.60237000000001"/>
  </r>
  <r>
    <x v="156"/>
    <x v="13"/>
    <s v="OFICINA"/>
    <s v="001-001-000000855"/>
    <s v="Distribuidores"/>
    <x v="21"/>
    <n v="11"/>
    <x v="96"/>
    <n v="427.68399999999997"/>
    <n v="128.304"/>
    <n v="299.38"/>
    <n v="32.073667999999998"/>
    <n v="2.9157879999999996"/>
    <n v="1"/>
    <n v="11"/>
    <n v="267.306332"/>
  </r>
  <r>
    <x v="269"/>
    <x v="13"/>
    <s v="OFICINA"/>
    <s v="001-001-000000873"/>
    <s v="Distribuidores"/>
    <x v="21"/>
    <n v="2"/>
    <x v="96"/>
    <n v="77.757999999999996"/>
    <n v="23.327999999999999"/>
    <n v="54.43"/>
    <n v="5.8315760000000001"/>
    <n v="2.915788"/>
    <n v="1"/>
    <n v="2"/>
    <n v="48.598424000000001"/>
  </r>
  <r>
    <x v="262"/>
    <x v="13"/>
    <s v="MOPOSITA GUITARRA ENMA PATRICIA"/>
    <s v="001-001-000000286"/>
    <s v="Distribuidores"/>
    <x v="20"/>
    <n v="85"/>
    <x v="97"/>
    <n v="3862.3999999999996"/>
    <n v="1351.84"/>
    <n v="2510.56"/>
    <n v="247.10129000000001"/>
    <n v="2.9070740000000002"/>
    <n v="1"/>
    <n v="85"/>
    <n v="2263.4587099999999"/>
  </r>
  <r>
    <x v="231"/>
    <x v="13"/>
    <s v="MOPOSITA GUITARRA ENMA PATRICIA"/>
    <s v="001-001-000000294"/>
    <s v="Distribuidores"/>
    <x v="20"/>
    <n v="90"/>
    <x v="97"/>
    <n v="4089.5999999999995"/>
    <n v="1431.36"/>
    <n v="2658.24"/>
    <n v="262.39220999999998"/>
    <n v="2.9154689999999999"/>
    <n v="1"/>
    <n v="90"/>
    <n v="2395.8477899999998"/>
  </r>
  <r>
    <x v="219"/>
    <x v="13"/>
    <s v="MOPOSITA GUITARRA ENMA PATRICIA"/>
    <s v="001-001-000000356"/>
    <s v="Distribuidores"/>
    <x v="20"/>
    <n v="50"/>
    <x v="97"/>
    <n v="2272"/>
    <n v="795.2"/>
    <n v="1476.8"/>
    <n v="144.5008"/>
    <n v="2.8900160000000001"/>
    <n v="1"/>
    <n v="50"/>
    <n v="1332.2991999999999"/>
  </r>
  <r>
    <x v="201"/>
    <x v="13"/>
    <s v="MOPOSITA GUITARRA ENMA PATRICIA"/>
    <s v="001-001-000000479"/>
    <s v="Directo"/>
    <x v="203"/>
    <n v="14"/>
    <x v="97"/>
    <n v="544.322"/>
    <n v="54.432000000000002"/>
    <n v="489.89"/>
    <n v="44.287039999999998"/>
    <n v="3.1633599999999999"/>
    <n v="1"/>
    <n v="14"/>
    <n v="445.60296"/>
  </r>
  <r>
    <x v="168"/>
    <x v="13"/>
    <s v="OFICINA"/>
    <s v="001-001-000000540"/>
    <s v="Directo"/>
    <x v="203"/>
    <n v="12"/>
    <x v="97"/>
    <n v="466.56200000000001"/>
    <n v="93.311999999999998"/>
    <n v="373.25"/>
    <n v="37.878731999999999"/>
    <n v="3.156561"/>
    <n v="1"/>
    <n v="12"/>
    <n v="335.37126799999999"/>
  </r>
  <r>
    <x v="135"/>
    <x v="13"/>
    <s v="OFICINA"/>
    <s v="001-001-000000681"/>
    <s v="Distribuidores"/>
    <x v="20"/>
    <n v="41"/>
    <x v="97"/>
    <n v="1594.076"/>
    <n v="717.33600000000001"/>
    <n v="876.74"/>
    <n v="126.389183"/>
    <n v="3.0826630000000002"/>
    <n v="1"/>
    <n v="41"/>
    <n v="750.35081700000001"/>
  </r>
  <r>
    <x v="346"/>
    <x v="13"/>
    <s v="OFICINA"/>
    <s v="001-001-000000682"/>
    <s v="Distribuidores"/>
    <x v="20"/>
    <n v="15"/>
    <x v="97"/>
    <n v="583.20000000000005"/>
    <n v="262.44"/>
    <n v="320.76"/>
    <n v="46.239944999999999"/>
    <n v="3.0826629999999997"/>
    <n v="1"/>
    <n v="15"/>
    <n v="274.52005500000001"/>
  </r>
  <r>
    <x v="363"/>
    <x v="13"/>
    <s v="OFICINA"/>
    <s v="001-001-000000701"/>
    <s v="Distribuidores"/>
    <x v="20"/>
    <n v="1"/>
    <x v="97"/>
    <n v="38.875999999999998"/>
    <n v="17.495999999999999"/>
    <n v="21.38"/>
    <n v="3.0963500000000002"/>
    <n v="3.0963500000000002"/>
    <n v="1"/>
    <n v="1"/>
    <n v="18.283649999999998"/>
  </r>
  <r>
    <x v="364"/>
    <x v="13"/>
    <s v="OFICINA"/>
    <s v="001-001-000000849"/>
    <s v="Distribuidores"/>
    <x v="20"/>
    <n v="30"/>
    <x v="97"/>
    <n v="1166.4000000000001"/>
    <n v="524.88"/>
    <n v="641.52"/>
    <n v="86.719290000000001"/>
    <n v="2.8906429999999999"/>
    <n v="1"/>
    <n v="30"/>
    <n v="554.80070999999998"/>
  </r>
  <r>
    <x v="365"/>
    <x v="13"/>
    <s v="OFICINA"/>
    <s v="001-001-000000878"/>
    <s v="Distribuidores"/>
    <x v="20"/>
    <n v="5"/>
    <x v="97"/>
    <n v="194.4"/>
    <n v="87.48"/>
    <n v="106.92"/>
    <n v="15.39306"/>
    <n v="3.0786120000000001"/>
    <n v="1"/>
    <n v="5"/>
    <n v="91.526939999999996"/>
  </r>
  <r>
    <x v="32"/>
    <x v="13"/>
    <s v="OFICINA"/>
    <s v="001-001-000000040"/>
    <s v="Directo"/>
    <x v="16"/>
    <n v="6"/>
    <x v="98"/>
    <n v="270"/>
    <n v="27"/>
    <n v="243"/>
    <n v="33.81"/>
    <n v="5.6350000000000007"/>
    <n v="1"/>
    <n v="6"/>
    <n v="209.19"/>
  </r>
  <r>
    <x v="366"/>
    <x v="13"/>
    <s v="MOPOSITA GUITARRA ENMA PATRICIA"/>
    <s v="001-001-000000299"/>
    <s v="Distribuidores"/>
    <x v="20"/>
    <n v="6"/>
    <x v="98"/>
    <n v="272.64400000000001"/>
    <n v="95.424000000000007"/>
    <n v="177.22"/>
    <n v="33.76737"/>
    <n v="5.6278949999999996"/>
    <n v="1"/>
    <n v="6"/>
    <n v="143.45263"/>
  </r>
  <r>
    <x v="126"/>
    <x v="13"/>
    <s v="JULIO VASQUEZ"/>
    <s v="001-001-000000635"/>
    <s v="Constructores"/>
    <x v="104"/>
    <n v="6"/>
    <x v="98"/>
    <n v="233.27799999999999"/>
    <n v="23.327999999999999"/>
    <n v="209.95"/>
    <n v="36.272730000000003"/>
    <n v="6.0454550000000005"/>
    <n v="1"/>
    <n v="6"/>
    <n v="173.67726999999999"/>
  </r>
  <r>
    <x v="285"/>
    <x v="13"/>
    <s v="OFICINA"/>
    <s v="001-001-000000648"/>
    <s v="Distribuidores"/>
    <x v="20"/>
    <n v="14"/>
    <x v="99"/>
    <n v="544.32399999999996"/>
    <n v="244.94399999999999"/>
    <n v="299.38"/>
    <n v="0"/>
    <n v="0"/>
    <n v="1"/>
    <n v="14"/>
    <n v="299.38"/>
  </r>
  <r>
    <x v="3"/>
    <x v="11"/>
    <s v="MOPOSITA GUITARRA ENMA PATRICIA"/>
    <s v="001-001-000000113"/>
    <s v="Directo"/>
    <x v="163"/>
    <n v="6.5"/>
    <x v="100"/>
    <n v="273"/>
    <n v="13.65"/>
    <n v="259.35000000000002"/>
    <n v="17.073335499999999"/>
    <n v="2.6266669999999999"/>
    <n v="1"/>
    <n v="6.5"/>
    <n v="242.27666450000004"/>
  </r>
  <r>
    <x v="267"/>
    <x v="11"/>
    <s v="SERRANO GARRIDO GIOVANNA DEL ROCIO"/>
    <s v="001-001-000000146"/>
    <s v="Directo"/>
    <x v="164"/>
    <n v="5.2"/>
    <x v="100"/>
    <n v="234"/>
    <n v="70.2"/>
    <n v="163.80000000000001"/>
    <n v="13.6586684"/>
    <n v="2.6266669999999999"/>
    <n v="1"/>
    <n v="5.2"/>
    <n v="150.1413316"/>
  </r>
  <r>
    <x v="367"/>
    <x v="11"/>
    <s v="MOPOSITA GUITARRA ENMA PATRICIA"/>
    <s v="001-001-000000285"/>
    <s v="Arquitectos"/>
    <x v="165"/>
    <n v="3"/>
    <x v="100"/>
    <n v="127.316"/>
    <n v="38.195999999999998"/>
    <n v="89.12"/>
    <n v="7.7767860000000004"/>
    <n v="2.5922620000000003"/>
    <n v="1"/>
    <n v="3"/>
    <n v="81.343214000000003"/>
  </r>
  <r>
    <x v="132"/>
    <x v="11"/>
    <s v="OFICINA"/>
    <s v="001-001-000000659"/>
    <s v="Directo"/>
    <x v="106"/>
    <n v="8.5"/>
    <x v="100"/>
    <n v="330.48"/>
    <n v="0"/>
    <n v="330.48"/>
    <n v="20.1998335"/>
    <n v="2.3764509999999999"/>
    <n v="1"/>
    <n v="8.5"/>
    <n v="310.28016650000001"/>
  </r>
  <r>
    <x v="135"/>
    <x v="11"/>
    <s v="OFICINA"/>
    <s v="001-001-000000680"/>
    <s v="Directo"/>
    <x v="106"/>
    <n v="1.44"/>
    <x v="100"/>
    <n v="55.99"/>
    <n v="0"/>
    <n v="55.99"/>
    <n v="2.8403208000000002"/>
    <n v="1.9724450000000002"/>
    <n v="1"/>
    <n v="1.44"/>
    <n v="53.149679200000001"/>
  </r>
  <r>
    <x v="52"/>
    <x v="13"/>
    <s v="MOPOSITA GUITARRA ENMA PATRICIA"/>
    <s v="001-001-000000170"/>
    <s v="Directo"/>
    <x v="40"/>
    <n v="25"/>
    <x v="101"/>
    <n v="1125"/>
    <n v="78.75"/>
    <n v="1046.25"/>
    <n v="183.9375"/>
    <n v="7.3574999999999999"/>
    <n v="1"/>
    <n v="25"/>
    <n v="862.3125"/>
  </r>
  <r>
    <x v="229"/>
    <x v="13"/>
    <s v="MOPOSITA GUITARRA ENMA PATRICIA"/>
    <s v="001-001-000000176"/>
    <s v="Directo"/>
    <x v="40"/>
    <n v="1"/>
    <x v="101"/>
    <n v="45"/>
    <n v="0"/>
    <n v="45"/>
    <n v="7.310263"/>
    <n v="7.310263"/>
    <n v="1"/>
    <n v="1"/>
    <n v="37.689737000000001"/>
  </r>
  <r>
    <x v="368"/>
    <x v="13"/>
    <s v="ANDRADE CHECA DIANA LUCIA"/>
    <s v="001-001-000000259"/>
    <s v="Directo"/>
    <x v="204"/>
    <n v="8"/>
    <x v="101"/>
    <n v="360"/>
    <n v="18"/>
    <n v="342"/>
    <n v="58.469360000000002"/>
    <n v="7.3086700000000002"/>
    <n v="1"/>
    <n v="8"/>
    <n v="283.53064000000001"/>
  </r>
  <r>
    <x v="300"/>
    <x v="13"/>
    <s v="OFICINA"/>
    <s v="001-001-000000651"/>
    <s v="Distribuidores"/>
    <x v="122"/>
    <n v="8"/>
    <x v="101"/>
    <n v="311.04399999999998"/>
    <n v="108.864"/>
    <n v="202.18"/>
    <n v="57.898352000000003"/>
    <n v="7.2372940000000003"/>
    <n v="1"/>
    <n v="8"/>
    <n v="144.28164800000002"/>
  </r>
  <r>
    <x v="174"/>
    <x v="13"/>
    <s v="SERRANO GARRIDO GIOVANNA DEL ROCIO"/>
    <s v="001-001-000000119"/>
    <s v="Distribuidores"/>
    <x v="20"/>
    <n v="6.24"/>
    <x v="102"/>
    <n v="280.8"/>
    <n v="98.28"/>
    <n v="182.52"/>
    <n v="45.816469920000003"/>
    <n v="7.3423829999999999"/>
    <n v="1"/>
    <n v="6.24"/>
    <n v="136.70353008000001"/>
  </r>
  <r>
    <x v="121"/>
    <x v="13"/>
    <s v="OFICINA"/>
    <s v="001-001-000000596"/>
    <s v="Distribuidores"/>
    <x v="21"/>
    <n v="6"/>
    <x v="102"/>
    <n v="233.27799999999999"/>
    <n v="81.647999999999996"/>
    <n v="151.63"/>
    <n v="44.054298000000003"/>
    <n v="7.3423830000000008"/>
    <n v="1"/>
    <n v="6"/>
    <n v="107.57570199999999"/>
  </r>
  <r>
    <x v="24"/>
    <x v="13"/>
    <s v="OFICINA"/>
    <s v="001-001-000000008"/>
    <s v="Distribuidores"/>
    <x v="4"/>
    <n v="31"/>
    <x v="102"/>
    <n v="1395"/>
    <n v="279"/>
    <n v="1116"/>
    <n v="96.1"/>
    <n v="3.0999999999999996"/>
    <n v="1"/>
    <n v="31"/>
    <n v="1019.9"/>
  </r>
  <r>
    <x v="39"/>
    <x v="13"/>
    <s v="SERRANO GARRIDO GIOVANNA DEL ROCIO"/>
    <s v="001-001-000000068"/>
    <s v="Directo"/>
    <x v="24"/>
    <n v="23"/>
    <x v="102"/>
    <n v="1035"/>
    <n v="51.75"/>
    <n v="983.25"/>
    <n v="73.403902000000002"/>
    <n v="3.1914739999999999"/>
    <n v="1"/>
    <n v="23"/>
    <n v="909.84609799999998"/>
  </r>
  <r>
    <x v="2"/>
    <x v="13"/>
    <s v="SERRANO GARRIDO GIOVANNA DEL ROCIO"/>
    <s v="001-001-000000073"/>
    <s v="Distribuidores"/>
    <x v="21"/>
    <n v="100"/>
    <x v="102"/>
    <n v="4500"/>
    <n v="2250"/>
    <n v="2250"/>
    <n v="326.74380000000002"/>
    <n v="3.2674380000000003"/>
    <n v="1"/>
    <n v="100"/>
    <n v="1923.2562"/>
  </r>
  <r>
    <x v="214"/>
    <x v="13"/>
    <s v="SERRANO GARRIDO GIOVANNA DEL ROCIO"/>
    <s v="001-001-000000094"/>
    <s v="Constructores"/>
    <x v="142"/>
    <n v="2"/>
    <x v="102"/>
    <n v="90"/>
    <n v="9"/>
    <n v="81"/>
    <n v="6.5348759999999997"/>
    <n v="3.2674379999999998"/>
    <n v="1"/>
    <n v="2"/>
    <n v="74.465124000000003"/>
  </r>
  <r>
    <x v="47"/>
    <x v="13"/>
    <s v="OFICINA"/>
    <s v="001-001-000000132"/>
    <s v="Constructores"/>
    <x v="34"/>
    <n v="2"/>
    <x v="102"/>
    <n v="90"/>
    <n v="0"/>
    <n v="90"/>
    <n v="6.5348759999999997"/>
    <n v="3.2674379999999998"/>
    <n v="1"/>
    <n v="2"/>
    <n v="83.465124000000003"/>
  </r>
  <r>
    <x v="369"/>
    <x v="13"/>
    <s v="SERRANO GARRIDO GIOVANNA DEL ROCIO"/>
    <s v="001-001-000000145"/>
    <s v="Distribuidores"/>
    <x v="45"/>
    <n v="26"/>
    <x v="102"/>
    <n v="1170"/>
    <n v="351"/>
    <n v="819"/>
    <n v="83.838846000000004"/>
    <n v="3.2245710000000001"/>
    <n v="1"/>
    <n v="26"/>
    <n v="735.16115400000001"/>
  </r>
  <r>
    <x v="212"/>
    <x v="13"/>
    <s v="SERRANO GARRIDO GIOVANNA DEL ROCIO"/>
    <s v="001-001-000000201"/>
    <s v="Distribuidores"/>
    <x v="141"/>
    <n v="200"/>
    <x v="102"/>
    <n v="9000"/>
    <n v="4500"/>
    <n v="4500"/>
    <n v="638.51859999999999"/>
    <n v="3.192593"/>
    <n v="1"/>
    <n v="200"/>
    <n v="3861.4814000000001"/>
  </r>
  <r>
    <x v="59"/>
    <x v="13"/>
    <s v="MOPOSITA GUITARRA ENMA PATRICIA"/>
    <s v="001-001-000000207"/>
    <s v="Directo"/>
    <x v="46"/>
    <n v="25"/>
    <x v="102"/>
    <n v="1125"/>
    <n v="56.25"/>
    <n v="1068.75"/>
    <n v="79.814824999999999"/>
    <n v="3.192593"/>
    <n v="1"/>
    <n v="25"/>
    <n v="988.93517499999996"/>
  </r>
  <r>
    <x v="59"/>
    <x v="13"/>
    <s v="SERRANO GARRIDO GIOVANNA DEL ROCIO"/>
    <s v="001-001-000000208"/>
    <s v="Distribuidores"/>
    <x v="20"/>
    <n v="354"/>
    <x v="102"/>
    <n v="15930"/>
    <n v="6372"/>
    <n v="9558"/>
    <n v="1130.1779220000001"/>
    <n v="3.192593"/>
    <n v="1"/>
    <n v="354"/>
    <n v="8427.8220779999992"/>
  </r>
  <r>
    <x v="370"/>
    <x v="13"/>
    <s v="SERRANO GARRIDO GIOVANNA DEL ROCIO"/>
    <s v="001-001-000000232"/>
    <s v="Distribuidores"/>
    <x v="141"/>
    <n v="282"/>
    <x v="102"/>
    <n v="12690"/>
    <n v="6345"/>
    <n v="6345"/>
    <n v="911.10364800000002"/>
    <n v="3.230864"/>
    <n v="1"/>
    <n v="282"/>
    <n v="5433.8963519999998"/>
  </r>
  <r>
    <x v="71"/>
    <x v="13"/>
    <s v="SERRANO GARRIDO GIOVANNA DEL ROCIO"/>
    <s v="001-001-000000252"/>
    <s v="Distribuidores"/>
    <x v="21"/>
    <n v="190"/>
    <x v="102"/>
    <n v="8550"/>
    <n v="2992.5"/>
    <n v="5557.5"/>
    <n v="623.96"/>
    <n v="3.2840000000000003"/>
    <n v="1"/>
    <n v="190"/>
    <n v="4933.54"/>
  </r>
  <r>
    <x v="76"/>
    <x v="13"/>
    <s v="ANDRADE CHECA DIANA LUCIA"/>
    <s v="001-001-000000279"/>
    <s v="Directo"/>
    <x v="60"/>
    <n v="4.5"/>
    <x v="102"/>
    <n v="204.48"/>
    <n v="0"/>
    <n v="204.48"/>
    <n v="14.845261499999999"/>
    <n v="3.2989470000000001"/>
    <n v="1"/>
    <n v="4.5"/>
    <n v="189.6347385"/>
  </r>
  <r>
    <x v="85"/>
    <x v="13"/>
    <s v="CASTILLO YAQUE SONIA ROXANA"/>
    <s v="001-001-000000318"/>
    <s v="Distribuidores"/>
    <x v="20"/>
    <n v="68"/>
    <x v="102"/>
    <n v="3089.9180000000001"/>
    <n v="1235.9680000000001"/>
    <n v="1853.95"/>
    <n v="224.328396"/>
    <n v="3.2989470000000001"/>
    <n v="1"/>
    <n v="68"/>
    <n v="1629.6216039999999"/>
  </r>
  <r>
    <x v="85"/>
    <x v="13"/>
    <s v="CASTILLO YAQUE SONIA ROXANA"/>
    <s v="001-001-000000318"/>
    <s v="Distribuidores"/>
    <x v="20"/>
    <n v="33.28"/>
    <x v="102"/>
    <n v="1512.2372800000001"/>
    <n v="604.89728000000002"/>
    <n v="907.34"/>
    <n v="109.78895616"/>
    <n v="3.2989469999999996"/>
    <n v="1"/>
    <n v="33.28"/>
    <n v="797.55104384000003"/>
  </r>
  <r>
    <x v="85"/>
    <x v="13"/>
    <s v="CASTILLO YAQUE SONIA ROXANA"/>
    <s v="001-001-000000318"/>
    <s v="Distribuidores"/>
    <x v="20"/>
    <n v="21.08"/>
    <x v="102"/>
    <n v="957.88008000000002"/>
    <n v="383.15008"/>
    <n v="574.73"/>
    <n v="69.541802759999996"/>
    <n v="3.2989470000000001"/>
    <n v="1"/>
    <n v="21.08"/>
    <n v="505.18819724000002"/>
  </r>
  <r>
    <x v="85"/>
    <x v="13"/>
    <s v="CASTILLO YAQUE SONIA ROXANA"/>
    <s v="001-001-000000318"/>
    <s v="Distribuidores"/>
    <x v="20"/>
    <n v="2.8"/>
    <x v="102"/>
    <n v="127.2328"/>
    <n v="50.892800000000001"/>
    <n v="76.34"/>
    <n v="9.2370515999999991"/>
    <n v="3.2989470000000001"/>
    <n v="1"/>
    <n v="2.8"/>
    <n v="67.102948400000002"/>
  </r>
  <r>
    <x v="371"/>
    <x v="13"/>
    <s v="MOPOSITA GUITARRA ENMA PATRICIA"/>
    <s v="001-001-000000362"/>
    <s v="Distribuidores"/>
    <x v="20"/>
    <n v="3"/>
    <x v="102"/>
    <n v="136.322"/>
    <n v="47.712000000000003"/>
    <n v="88.61"/>
    <n v="9.5201039999999999"/>
    <n v="3.173368"/>
    <n v="1"/>
    <n v="3"/>
    <n v="79.089895999999996"/>
  </r>
  <r>
    <x v="372"/>
    <x v="13"/>
    <s v="MOPOSITA GUITARRA ENMA PATRICIA"/>
    <s v="001-001-000000403"/>
    <s v="Distribuidores"/>
    <x v="141"/>
    <n v="257"/>
    <x v="102"/>
    <n v="11565"/>
    <n v="5782.5"/>
    <n v="5782.5"/>
    <n v="812.44073600000002"/>
    <n v="3.1612480000000001"/>
    <n v="1"/>
    <n v="257"/>
    <n v="4970.0592639999995"/>
  </r>
  <r>
    <x v="101"/>
    <x v="13"/>
    <s v="MOPOSITA GUITARRA ENMA PATRICIA"/>
    <s v="001-001-000000435"/>
    <s v="Directo"/>
    <x v="83"/>
    <n v="45"/>
    <x v="102"/>
    <n v="2044.8"/>
    <n v="306.72000000000003"/>
    <n v="1738.08"/>
    <n v="125.08163999999999"/>
    <n v="2.7795920000000001"/>
    <n v="1"/>
    <n v="45"/>
    <n v="1612.99836"/>
  </r>
  <r>
    <x v="101"/>
    <x v="13"/>
    <s v="CASTILLO YAQUE SONIA ROXANA"/>
    <s v="001-001-000000434"/>
    <s v="Arquitectos"/>
    <x v="84"/>
    <n v="40"/>
    <x v="102"/>
    <n v="1817.6"/>
    <n v="272.64"/>
    <n v="1544.96"/>
    <n v="111.18368"/>
    <n v="2.7795920000000001"/>
    <n v="1"/>
    <n v="40"/>
    <n v="1433.7763199999999"/>
  </r>
  <r>
    <x v="188"/>
    <x v="13"/>
    <s v="MOPOSITA GUITARRA ENMA PATRICIA"/>
    <s v="001-001-000000465"/>
    <s v="Distribuidores"/>
    <x v="21"/>
    <n v="31"/>
    <x v="102"/>
    <n v="1408.644"/>
    <n v="493.024"/>
    <n v="915.62"/>
    <n v="79.796914000000001"/>
    <n v="2.5740940000000001"/>
    <n v="1"/>
    <n v="31"/>
    <n v="835.82308599999999"/>
  </r>
  <r>
    <x v="188"/>
    <x v="13"/>
    <s v="MOPOSITA GUITARRA ENMA PATRICIA"/>
    <s v="001-001-000000465"/>
    <s v="Distribuidores"/>
    <x v="21"/>
    <n v="67"/>
    <x v="102"/>
    <n v="3044.4780000000001"/>
    <n v="1065.568"/>
    <n v="1978.91"/>
    <n v="172.46429800000001"/>
    <n v="2.5740940000000001"/>
    <n v="1"/>
    <n v="67"/>
    <n v="1806.445702"/>
  </r>
  <r>
    <x v="110"/>
    <x v="13"/>
    <s v="CASTILLO YAQUE SONIA ROXANA"/>
    <s v="001-001-000000497"/>
    <s v="Arquitectos"/>
    <x v="84"/>
    <n v="8.36"/>
    <x v="102"/>
    <n v="325.03551999999996"/>
    <n v="48.755519999999997"/>
    <n v="276.27999999999997"/>
    <n v="21.153090639999999"/>
    <n v="2.5302739999999999"/>
    <n v="1"/>
    <n v="8.36"/>
    <n v="255.12690935999998"/>
  </r>
  <r>
    <x v="110"/>
    <x v="13"/>
    <s v="CASTILLO YAQUE SONIA ROXANA"/>
    <s v="001-001-000000498"/>
    <s v="Arquitectos"/>
    <x v="84"/>
    <n v="13.32"/>
    <x v="102"/>
    <n v="517.88224000000002"/>
    <n v="77.682239999999993"/>
    <n v="440.2"/>
    <n v="33.703249679999999"/>
    <n v="2.5302739999999999"/>
    <n v="1"/>
    <n v="13.32"/>
    <n v="406.49675031999999"/>
  </r>
  <r>
    <x v="110"/>
    <x v="13"/>
    <s v="CASTILLO YAQUE SONIA ROXANA"/>
    <s v="001-001-000000499"/>
    <s v="Arquitectos"/>
    <x v="84"/>
    <n v="13.32"/>
    <x v="102"/>
    <n v="517.88224000000002"/>
    <n v="77.682239999999993"/>
    <n v="440.2"/>
    <n v="33.703249679999999"/>
    <n v="2.5302739999999999"/>
    <n v="1"/>
    <n v="13.32"/>
    <n v="406.49675031999999"/>
  </r>
  <r>
    <x v="284"/>
    <x v="13"/>
    <s v="OFICINA"/>
    <s v="001-001-000000503"/>
    <s v="Directo"/>
    <x v="173"/>
    <n v="9.9"/>
    <x v="102"/>
    <n v="449.85679999999996"/>
    <n v="134.95679999999999"/>
    <n v="314.89999999999998"/>
    <n v="25.049712599999999"/>
    <n v="2.5302739999999999"/>
    <n v="1"/>
    <n v="9.9"/>
    <n v="289.85028739999996"/>
  </r>
  <r>
    <x v="260"/>
    <x v="13"/>
    <s v="OFICINA"/>
    <s v="001-001-000000553"/>
    <s v="Directo"/>
    <x v="199"/>
    <n v="47"/>
    <x v="102"/>
    <n v="1827.3559999999998"/>
    <n v="182.73599999999999"/>
    <n v="1644.62"/>
    <n v="110.689606"/>
    <n v="2.3550979999999999"/>
    <n v="1"/>
    <n v="47"/>
    <n v="1533.930394"/>
  </r>
  <r>
    <x v="373"/>
    <x v="13"/>
    <s v="OFICINA"/>
    <s v="001-001-000000630"/>
    <s v="Directo"/>
    <x v="199"/>
    <n v="15"/>
    <x v="102"/>
    <n v="583.20000000000005"/>
    <n v="58.32"/>
    <n v="524.88"/>
    <n v="35.374245000000002"/>
    <n v="2.3582830000000001"/>
    <n v="1"/>
    <n v="15"/>
    <n v="489.50575500000002"/>
  </r>
  <r>
    <x v="194"/>
    <x v="13"/>
    <s v="OFICINA"/>
    <s v="001-001-000000637"/>
    <s v="Distribuidores"/>
    <x v="21"/>
    <n v="15"/>
    <x v="102"/>
    <n v="583.20000000000005"/>
    <n v="204.12"/>
    <n v="379.08"/>
    <n v="35.374245000000002"/>
    <n v="2.3582830000000001"/>
    <n v="1"/>
    <n v="15"/>
    <n v="343.70575499999995"/>
  </r>
  <r>
    <x v="278"/>
    <x v="13"/>
    <s v="OFICINA"/>
    <s v="001-001-000000641"/>
    <s v="Distribuidores"/>
    <x v="128"/>
    <n v="12"/>
    <x v="102"/>
    <n v="466.55599999999998"/>
    <n v="163.29599999999999"/>
    <n v="303.26"/>
    <n v="28.299396000000002"/>
    <n v="2.3582830000000001"/>
    <n v="1"/>
    <n v="12"/>
    <n v="274.96060399999999"/>
  </r>
  <r>
    <x v="374"/>
    <x v="13"/>
    <s v="OFICINA"/>
    <s v="001-001-000000662"/>
    <s v="Distribuidores"/>
    <x v="128"/>
    <n v="8"/>
    <x v="102"/>
    <n v="311.04399999999998"/>
    <n v="108.864"/>
    <n v="202.18"/>
    <n v="18.866264000000001"/>
    <n v="2.3582830000000001"/>
    <n v="1"/>
    <n v="8"/>
    <n v="183.31373600000001"/>
  </r>
  <r>
    <x v="272"/>
    <x v="13"/>
    <s v="OFICINA"/>
    <s v="001-001-000000677"/>
    <s v="Directo"/>
    <x v="205"/>
    <n v="10.5"/>
    <x v="102"/>
    <n v="408.24"/>
    <n v="204.12"/>
    <n v="204.12"/>
    <n v="24.710972999999999"/>
    <n v="2.3534259999999998"/>
    <n v="1"/>
    <n v="10.5"/>
    <n v="179.40902700000001"/>
  </r>
  <r>
    <x v="137"/>
    <x v="13"/>
    <s v="OFICINA"/>
    <s v="001-001-000000690"/>
    <s v="Distribuidores"/>
    <x v="21"/>
    <n v="11"/>
    <x v="102"/>
    <n v="427.678"/>
    <n v="149.68799999999999"/>
    <n v="277.99"/>
    <n v="25.887685999999999"/>
    <n v="2.3534259999999998"/>
    <n v="1"/>
    <n v="11"/>
    <n v="252.10231400000001"/>
  </r>
  <r>
    <x v="256"/>
    <x v="13"/>
    <s v="OFICINA"/>
    <s v="001-001-000000725"/>
    <s v="Distribuidores"/>
    <x v="20"/>
    <n v="10"/>
    <x v="102"/>
    <n v="388.8"/>
    <n v="174.96"/>
    <n v="213.84"/>
    <n v="23.53426"/>
    <n v="2.3534259999999998"/>
    <n v="1"/>
    <n v="10"/>
    <n v="190.30574000000001"/>
  </r>
  <r>
    <x v="324"/>
    <x v="13"/>
    <s v="OFICINA"/>
    <s v="001-001-000000733"/>
    <s v="Distribuidores"/>
    <x v="21"/>
    <n v="12"/>
    <x v="102"/>
    <n v="466.55799999999999"/>
    <n v="139.96799999999999"/>
    <n v="326.58999999999997"/>
    <n v="28.258236"/>
    <n v="2.3548529999999999"/>
    <n v="1"/>
    <n v="12"/>
    <n v="298.33176399999996"/>
  </r>
  <r>
    <x v="324"/>
    <x v="13"/>
    <s v="OFICINA"/>
    <s v="001-001-000000736"/>
    <s v="Distribuidores"/>
    <x v="20"/>
    <n v="4"/>
    <x v="102"/>
    <n v="155.524"/>
    <n v="69.983999999999995"/>
    <n v="85.54"/>
    <n v="9.4194119999999995"/>
    <n v="2.3548529999999999"/>
    <n v="1"/>
    <n v="4"/>
    <n v="76.120588000000012"/>
  </r>
  <r>
    <x v="301"/>
    <x v="13"/>
    <s v="OFICINA"/>
    <s v="001-001-000000785"/>
    <s v="Distribuidores"/>
    <x v="21"/>
    <n v="22"/>
    <x v="102"/>
    <n v="855.35799999999995"/>
    <n v="256.608"/>
    <n v="598.75"/>
    <n v="51.764437999999998"/>
    <n v="2.352929"/>
    <n v="1"/>
    <n v="22"/>
    <n v="546.98556199999996"/>
  </r>
  <r>
    <x v="153"/>
    <x v="13"/>
    <s v="OFICINA"/>
    <s v="001-001-000000815"/>
    <s v="Distribuidores"/>
    <x v="21"/>
    <n v="4"/>
    <x v="102"/>
    <n v="155.51599999999999"/>
    <n v="46.655999999999999"/>
    <n v="108.86"/>
    <n v="9.4117160000000002"/>
    <n v="2.352929"/>
    <n v="1"/>
    <n v="4"/>
    <n v="99.448284000000001"/>
  </r>
  <r>
    <x v="352"/>
    <x v="13"/>
    <s v="OFICINA"/>
    <s v="001-001-000000844"/>
    <s v="Distribuidores"/>
    <x v="21"/>
    <n v="16"/>
    <x v="102"/>
    <n v="622.08399999999995"/>
    <n v="186.624"/>
    <n v="435.46"/>
    <n v="37.661695999999999"/>
    <n v="2.3538559999999999"/>
    <n v="1"/>
    <n v="16"/>
    <n v="397.79830399999997"/>
  </r>
  <r>
    <x v="375"/>
    <x v="13"/>
    <s v="OFICINA"/>
    <s v="001-001-000000864"/>
    <s v="Distribuidores"/>
    <x v="21"/>
    <n v="3"/>
    <x v="102"/>
    <n v="116.642"/>
    <n v="34.991999999999997"/>
    <n v="81.650000000000006"/>
    <n v="7.0615680000000003"/>
    <n v="2.3538559999999999"/>
    <n v="1"/>
    <n v="3"/>
    <n v="74.588432000000012"/>
  </r>
  <r>
    <x v="26"/>
    <x v="14"/>
    <s v="OFICINA"/>
    <s v="001-001-000000012"/>
    <s v="Arquitectos"/>
    <x v="201"/>
    <n v="2"/>
    <x v="103"/>
    <n v="80"/>
    <n v="4"/>
    <n v="76"/>
    <n v="0"/>
    <n v="0"/>
    <n v="1"/>
    <n v="2"/>
    <n v="76"/>
  </r>
  <r>
    <x v="27"/>
    <x v="14"/>
    <s v="OFICINA"/>
    <s v="001-001-000000015"/>
    <s v="Directo"/>
    <x v="8"/>
    <n v="1"/>
    <x v="103"/>
    <n v="40"/>
    <n v="0"/>
    <n v="40"/>
    <n v="0"/>
    <n v="0"/>
    <n v="1"/>
    <n v="1"/>
    <n v="40"/>
  </r>
  <r>
    <x v="376"/>
    <x v="14"/>
    <s v="BALLADARES PEREZ REINA JACQUELINE"/>
    <s v="001-001-000000030"/>
    <s v="Directo"/>
    <x v="206"/>
    <n v="1"/>
    <x v="103"/>
    <n v="40"/>
    <n v="0"/>
    <n v="40"/>
    <n v="0"/>
    <n v="0"/>
    <n v="1"/>
    <n v="1"/>
    <n v="40"/>
  </r>
  <r>
    <x v="37"/>
    <x v="14"/>
    <s v="SERRANO GARRIDO GIOVANNA DEL ROCIO"/>
    <s v="001-001-000000057"/>
    <s v="Constructores"/>
    <x v="22"/>
    <n v="6"/>
    <x v="103"/>
    <n v="240"/>
    <n v="0"/>
    <n v="240"/>
    <n v="0"/>
    <n v="0"/>
    <n v="1"/>
    <n v="6"/>
    <n v="240"/>
  </r>
  <r>
    <x v="37"/>
    <x v="14"/>
    <s v="BALLADARES PEREZ REINA JACQUELINE"/>
    <s v="001-001-000000059"/>
    <s v="Directo"/>
    <x v="206"/>
    <n v="1"/>
    <x v="103"/>
    <n v="40"/>
    <n v="0"/>
    <n v="40"/>
    <n v="0"/>
    <n v="0"/>
    <n v="1"/>
    <n v="1"/>
    <n v="40"/>
  </r>
  <r>
    <x v="26"/>
    <x v="14"/>
    <s v="OFICINA"/>
    <s v="001-001-000000012"/>
    <s v="Arquitectos"/>
    <x v="201"/>
    <n v="4"/>
    <x v="104"/>
    <n v="160"/>
    <n v="8"/>
    <n v="152"/>
    <n v="0"/>
    <n v="0"/>
    <n v="1"/>
    <n v="4"/>
    <n v="152"/>
  </r>
  <r>
    <x v="32"/>
    <x v="14"/>
    <s v="OFICINA"/>
    <s v="001-001-000000040"/>
    <s v="Directo"/>
    <x v="16"/>
    <n v="5"/>
    <x v="104"/>
    <n v="200"/>
    <n v="20"/>
    <n v="180"/>
    <n v="0"/>
    <n v="0"/>
    <n v="1"/>
    <n v="5"/>
    <n v="180"/>
  </r>
  <r>
    <x v="377"/>
    <x v="14"/>
    <s v="MOPOSITA GUITARRA ENMA PATRICIA"/>
    <s v="001-001-000000091"/>
    <s v="Directo"/>
    <x v="207"/>
    <n v="6"/>
    <x v="104"/>
    <n v="240"/>
    <n v="48"/>
    <n v="192"/>
    <n v="0"/>
    <n v="0"/>
    <n v="1"/>
    <n v="6"/>
    <n v="192"/>
  </r>
  <r>
    <x v="366"/>
    <x v="14"/>
    <s v="MOPOSITA GUITARRA ENMA PATRICIA"/>
    <s v="001-001-000000299"/>
    <s v="Distribuidores"/>
    <x v="20"/>
    <n v="2"/>
    <x v="104"/>
    <n v="80"/>
    <n v="28"/>
    <n v="52"/>
    <n v="0"/>
    <n v="0"/>
    <n v="1"/>
    <n v="2"/>
    <n v="52"/>
  </r>
  <r>
    <x v="84"/>
    <x v="14"/>
    <s v="ANDRADE CHECA DIANA LUCIA"/>
    <s v="001-001-000000315"/>
    <s v="Directo"/>
    <x v="68"/>
    <n v="1"/>
    <x v="104"/>
    <n v="40"/>
    <n v="4"/>
    <n v="36"/>
    <n v="0"/>
    <n v="0"/>
    <n v="1"/>
    <n v="1"/>
    <n v="36"/>
  </r>
  <r>
    <x v="378"/>
    <x v="10"/>
    <s v="CASTILLO YAQUE SONIA ROXANA"/>
    <s v="001-001-000000429"/>
    <s v="Distribuidores"/>
    <x v="21"/>
    <n v="42"/>
    <x v="105"/>
    <n v="2078.1559999999999"/>
    <n v="727.35599999999999"/>
    <n v="1350.8"/>
    <n v="532.16162999999995"/>
    <n v="12.670514999999998"/>
    <n v="1"/>
    <n v="42"/>
    <n v="818.63837000000001"/>
  </r>
  <r>
    <x v="35"/>
    <x v="10"/>
    <s v="SERRANO GARRIDO GIOVANNA DEL ROCIO"/>
    <s v="001-001-000000046"/>
    <s v="Arquitectos"/>
    <x v="19"/>
    <n v="13.12"/>
    <x v="106"/>
    <n v="642.88400000000001"/>
    <n v="32.143999999999998"/>
    <n v="610.74"/>
    <n v="102.11732895999999"/>
    <n v="7.7833329999999998"/>
    <n v="1"/>
    <n v="13.12"/>
    <n v="508.62267104"/>
  </r>
  <r>
    <x v="273"/>
    <x v="10"/>
    <s v="OFICINA"/>
    <s v="001-001-000000746"/>
    <s v="Directo"/>
    <x v="118"/>
    <n v="32.11"/>
    <x v="106"/>
    <n v="1588.8006999999998"/>
    <n v="397.20069999999998"/>
    <n v="1191.5999999999999"/>
    <n v="264.42642798000003"/>
    <n v="8.2350180000000002"/>
    <n v="1"/>
    <n v="32.11"/>
    <n v="927.17357201999994"/>
  </r>
  <r>
    <x v="205"/>
    <x v="10"/>
    <s v="OFICINA"/>
    <s v="001-001-000000869"/>
    <s v="Distribuidores"/>
    <x v="20"/>
    <n v="18.07"/>
    <x v="106"/>
    <n v="894.09662000000003"/>
    <n v="402.34661999999997"/>
    <n v="491.75"/>
    <n v="167.29617995999999"/>
    <n v="9.258227999999999"/>
    <n v="1"/>
    <n v="18.07"/>
    <n v="324.45382003999998"/>
  </r>
  <r>
    <x v="379"/>
    <x v="10"/>
    <s v="OFICINA"/>
    <s v="001-001-000000900"/>
    <s v="Distribuidores"/>
    <x v="128"/>
    <n v="3"/>
    <x v="106"/>
    <n v="148.44399999999999"/>
    <n v="51.954000000000001"/>
    <n v="96.49"/>
    <n v="29.18901"/>
    <n v="9.7296700000000005"/>
    <n v="1"/>
    <n v="3"/>
    <n v="67.300989999999999"/>
  </r>
  <r>
    <x v="209"/>
    <x v="6"/>
    <s v="SERRANO GARRIDO GIOVANNA DEL ROCIO"/>
    <s v="001-001-000000220"/>
    <s v="Directo"/>
    <x v="138"/>
    <n v="3.64"/>
    <x v="107"/>
    <n v="22.9111616"/>
    <n v="2.2911616000000001"/>
    <n v="20.62"/>
    <n v="16.962399999999999"/>
    <n v="4.6599999999999993"/>
    <n v="1"/>
    <n v="3.64"/>
    <n v="3.6576000000000022"/>
  </r>
  <r>
    <x v="208"/>
    <x v="6"/>
    <s v="OFICINA"/>
    <s v="001-001-000000567"/>
    <s v="Directo"/>
    <x v="137"/>
    <n v="3.26"/>
    <x v="108"/>
    <n v="13.53"/>
    <n v="0"/>
    <n v="13.53"/>
    <n v="0"/>
    <n v="0"/>
    <n v="1"/>
    <n v="3.26"/>
    <n v="13.53"/>
  </r>
  <r>
    <x v="209"/>
    <x v="6"/>
    <s v="SERRANO GARRIDO GIOVANNA DEL ROCIO"/>
    <s v="001-001-000000220"/>
    <s v="Directo"/>
    <x v="138"/>
    <n v="30.58"/>
    <x v="109"/>
    <n v="150.69982400000001"/>
    <n v="15.069824000000001"/>
    <n v="135.63"/>
    <n v="111.617"/>
    <n v="3.6500000000000004"/>
    <n v="1"/>
    <n v="30.58"/>
    <n v="24.012999999999991"/>
  </r>
  <r>
    <x v="209"/>
    <x v="6"/>
    <s v="SERRANO GARRIDO GIOVANNA DEL ROCIO"/>
    <s v="001-001-000000221"/>
    <s v="Directo"/>
    <x v="139"/>
    <n v="6.87"/>
    <x v="110"/>
    <n v="33.872982999999998"/>
    <n v="4.4029829999999999"/>
    <n v="29.47"/>
    <n v="25.075500000000002"/>
    <n v="3.6500000000000004"/>
    <n v="1"/>
    <n v="6.87"/>
    <n v="4.3944999999999972"/>
  </r>
  <r>
    <x v="29"/>
    <x v="6"/>
    <s v="SERRANO GARRIDO GIOVANNA DEL ROCIO"/>
    <s v="001-001-000000025"/>
    <s v="Directo"/>
    <x v="11"/>
    <n v="1.28"/>
    <x v="111"/>
    <n v="5.15"/>
    <n v="0"/>
    <n v="5.15"/>
    <n v="4.6719999999999997"/>
    <n v="3.65"/>
    <n v="1"/>
    <n v="1.28"/>
    <n v="0.47800000000000065"/>
  </r>
  <r>
    <x v="53"/>
    <x v="6"/>
    <s v="SERRANO GARRIDO GIOVANNA DEL ROCIO"/>
    <s v="001-001-000000172"/>
    <s v="Arquitectos"/>
    <x v="39"/>
    <n v="0.97"/>
    <x v="112"/>
    <n v="4.2343799999999998"/>
    <n v="0.63438000000000005"/>
    <n v="3.6"/>
    <n v="3.5405000000000002"/>
    <n v="3.6500000000000004"/>
    <n v="1"/>
    <n v="0.97"/>
    <n v="5.9499999999999886E-2"/>
  </r>
  <r>
    <x v="9"/>
    <x v="6"/>
    <s v="OFICINA"/>
    <s v="001-001-000000292"/>
    <s v="Arquitectos"/>
    <x v="39"/>
    <n v="12.6"/>
    <x v="112"/>
    <n v="54.940400000000004"/>
    <n v="8.2403999999999993"/>
    <n v="46.7"/>
    <n v="45.99"/>
    <n v="3.6500000000000004"/>
    <n v="1"/>
    <n v="12.6"/>
    <n v="0.71000000000000085"/>
  </r>
  <r>
    <x v="208"/>
    <x v="6"/>
    <s v="OFICINA"/>
    <s v="001-001-000000567"/>
    <s v="Directo"/>
    <x v="137"/>
    <n v="1.67"/>
    <x v="113"/>
    <n v="6.93"/>
    <n v="0"/>
    <n v="6.93"/>
    <n v="0"/>
    <n v="0"/>
    <n v="1"/>
    <n v="1.67"/>
    <n v="6.93"/>
  </r>
  <r>
    <x v="29"/>
    <x v="6"/>
    <s v="SERRANO GARRIDO GIOVANNA DEL ROCIO"/>
    <s v="001-001-000000025"/>
    <s v="Directo"/>
    <x v="11"/>
    <n v="2.5"/>
    <x v="114"/>
    <n v="10.050000000000001"/>
    <n v="0"/>
    <n v="10.050000000000001"/>
    <n v="9.1250025000000008"/>
    <n v="3.6500010000000005"/>
    <n v="1"/>
    <n v="2.5"/>
    <n v="0.92499749999999992"/>
  </r>
  <r>
    <x v="210"/>
    <x v="6"/>
    <s v="SERRANO GARRIDO GIOVANNA DEL ROCIO"/>
    <s v="001-001-000000083"/>
    <s v="Arquitectos"/>
    <x v="39"/>
    <n v="1.77"/>
    <x v="115"/>
    <n v="7.7175799999999999"/>
    <n v="1.1575800000000001"/>
    <n v="6.56"/>
    <n v="6.4604999999999997"/>
    <n v="3.65"/>
    <n v="1"/>
    <n v="1.77"/>
    <n v="9.9499999999999922E-2"/>
  </r>
  <r>
    <x v="53"/>
    <x v="6"/>
    <s v="SERRANO GARRIDO GIOVANNA DEL ROCIO"/>
    <s v="001-001-000000172"/>
    <s v="Arquitectos"/>
    <x v="39"/>
    <n v="11.24"/>
    <x v="115"/>
    <n v="49.010959999999997"/>
    <n v="7.3509599999999997"/>
    <n v="41.66"/>
    <n v="41.026000000000003"/>
    <n v="3.6500000000000004"/>
    <n v="1"/>
    <n v="11.24"/>
    <n v="0.63399999999999324"/>
  </r>
  <r>
    <x v="9"/>
    <x v="6"/>
    <s v="OFICINA"/>
    <s v="001-001-000000292"/>
    <s v="Arquitectos"/>
    <x v="39"/>
    <n v="86.4"/>
    <x v="115"/>
    <n v="376.69560000000001"/>
    <n v="56.505600000000001"/>
    <n v="320.19"/>
    <n v="250.95329280000001"/>
    <n v="2.9045519999999998"/>
    <n v="1"/>
    <n v="86.4"/>
    <n v="69.236707199999984"/>
  </r>
  <r>
    <x v="208"/>
    <x v="6"/>
    <s v="OFICINA"/>
    <s v="001-001-000000567"/>
    <s v="Directo"/>
    <x v="137"/>
    <n v="6.59"/>
    <x v="116"/>
    <n v="27.35"/>
    <n v="0"/>
    <n v="27.35"/>
    <n v="0"/>
    <n v="0"/>
    <n v="1"/>
    <n v="6.59"/>
    <n v="27.35"/>
  </r>
  <r>
    <x v="209"/>
    <x v="6"/>
    <s v="SERRANO GARRIDO GIOVANNA DEL ROCIO"/>
    <s v="001-001-000000220"/>
    <s v="Directo"/>
    <x v="138"/>
    <n v="1.1599999999999999"/>
    <x v="117"/>
    <n v="5.7216480000000001"/>
    <n v="0.57164800000000004"/>
    <n v="5.15"/>
    <n v="4.234"/>
    <n v="3.6500000000000004"/>
    <n v="1"/>
    <n v="1.1599999999999999"/>
    <n v="0.91600000000000037"/>
  </r>
  <r>
    <x v="53"/>
    <x v="6"/>
    <s v="SERRANO GARRIDO GIOVANNA DEL ROCIO"/>
    <s v="001-001-000000172"/>
    <s v="Arquitectos"/>
    <x v="39"/>
    <n v="1.02"/>
    <x v="118"/>
    <n v="4.4470799999999997"/>
    <n v="0.66708000000000001"/>
    <n v="3.78"/>
    <n v="3.7229999999999999"/>
    <n v="3.65"/>
    <n v="1"/>
    <n v="1.02"/>
    <n v="5.699999999999994E-2"/>
  </r>
  <r>
    <x v="211"/>
    <x v="8"/>
    <s v="MOPOSITA GUITARRA ENMA PATRICIA"/>
    <s v="001-001-000000156"/>
    <s v="Constructores"/>
    <x v="140"/>
    <n v="71.5"/>
    <x v="119"/>
    <n v="2717"/>
    <n v="0"/>
    <n v="2717"/>
    <n v="456.01949250000001"/>
    <n v="6.3778950000000005"/>
    <n v="1"/>
    <n v="71.5"/>
    <n v="2260.9805074999999"/>
  </r>
  <r>
    <x v="133"/>
    <x v="8"/>
    <s v="CASTILLO YAQUE SONIA ROXANA"/>
    <s v="001-001-000000667"/>
    <s v="Arquitectos"/>
    <x v="103"/>
    <n v="198"/>
    <x v="119"/>
    <n v="7698.2420000000002"/>
    <n v="2309.4720000000002"/>
    <n v="5388.77"/>
    <n v="1297.5668639999999"/>
    <n v="6.5533679999999999"/>
    <n v="1"/>
    <n v="198"/>
    <n v="4091.2031360000005"/>
  </r>
  <r>
    <x v="380"/>
    <x v="8"/>
    <s v="CASTILLO YAQUE SONIA ROXANA"/>
    <s v="001-001-000000697"/>
    <s v="Arquitectos"/>
    <x v="103"/>
    <n v="10"/>
    <x v="119"/>
    <n v="388.8"/>
    <n v="116.64"/>
    <n v="272.16000000000003"/>
    <n v="60.018360000000001"/>
    <n v="6.0018359999999999"/>
    <n v="1"/>
    <n v="10"/>
    <n v="212.14164000000002"/>
  </r>
  <r>
    <x v="381"/>
    <x v="8"/>
    <s v="CASTILLO YAQUE SONIA ROXANA"/>
    <s v="001-001-000000726"/>
    <s v="Arquitectos"/>
    <x v="103"/>
    <n v="4"/>
    <x v="119"/>
    <n v="155.51599999999999"/>
    <n v="46.655999999999999"/>
    <n v="108.86"/>
    <n v="20.604468000000001"/>
    <n v="5.1511170000000002"/>
    <n v="1"/>
    <n v="4"/>
    <n v="88.255532000000002"/>
  </r>
  <r>
    <x v="382"/>
    <x v="8"/>
    <s v="OFICINA"/>
    <s v="001-001-000000768"/>
    <s v="Arquitectos"/>
    <x v="103"/>
    <n v="1.5"/>
    <x v="119"/>
    <n v="58.316000000000003"/>
    <n v="17.495999999999999"/>
    <n v="40.82"/>
    <n v="7.4004345000000002"/>
    <n v="4.9336229999999999"/>
    <n v="1"/>
    <n v="1.5"/>
    <n v="33.419565499999997"/>
  </r>
  <r>
    <x v="83"/>
    <x v="7"/>
    <s v="ANDRADE CHECA DIANA LUCIA"/>
    <s v="001-001-000000314"/>
    <s v="Arquitectos"/>
    <x v="39"/>
    <n v="4"/>
    <x v="120"/>
    <n v="169.756"/>
    <n v="16.975999999999999"/>
    <n v="152.78"/>
    <n v="0"/>
    <n v="0"/>
    <n v="1"/>
    <n v="4"/>
    <n v="152.78"/>
  </r>
  <r>
    <x v="238"/>
    <x v="8"/>
    <s v="OFICINA"/>
    <s v="001-001-000000727"/>
    <s v="Distribuidores"/>
    <x v="20"/>
    <n v="20"/>
    <x v="121"/>
    <n v="777.6"/>
    <n v="349.92"/>
    <n v="427.68"/>
    <n v="172.48334"/>
    <n v="8.6241669999999999"/>
    <n v="1"/>
    <n v="20"/>
    <n v="255.19666000000001"/>
  </r>
  <r>
    <x v="245"/>
    <x v="8"/>
    <s v="SERRANO GARRIDO GIOVANNA DEL ROCIO"/>
    <s v="001-001-000000204"/>
    <s v="Distribuidores"/>
    <x v="20"/>
    <n v="20.5"/>
    <x v="122"/>
    <n v="779"/>
    <n v="272.64999999999998"/>
    <n v="506.35"/>
    <n v="139.19499999999999"/>
    <n v="6.79"/>
    <n v="1"/>
    <n v="20.5"/>
    <n v="367.15500000000003"/>
  </r>
  <r>
    <x v="216"/>
    <x v="8"/>
    <s v="OFICINA"/>
    <s v="001-001-000000217"/>
    <s v="Distribuidores"/>
    <x v="20"/>
    <n v="9"/>
    <x v="122"/>
    <n v="342"/>
    <n v="119.7"/>
    <n v="222.3"/>
    <n v="59.616"/>
    <n v="6.6239999999999997"/>
    <n v="1"/>
    <n v="9"/>
    <n v="162.68400000000003"/>
  </r>
  <r>
    <x v="218"/>
    <x v="8"/>
    <s v="CASTILLO YAQUE SONIA ROXANA"/>
    <s v="001-001-000000309"/>
    <s v="Distribuidores"/>
    <x v="20"/>
    <n v="14.5"/>
    <x v="122"/>
    <n v="615.38300000000004"/>
    <n v="215.38300000000001"/>
    <n v="400"/>
    <n v="98.454999999999998"/>
    <n v="6.79"/>
    <n v="1"/>
    <n v="14.5"/>
    <n v="301.54500000000002"/>
  </r>
  <r>
    <x v="119"/>
    <x v="8"/>
    <s v="OFICINA"/>
    <s v="001-001-000000590"/>
    <s v="Distribuidores"/>
    <x v="98"/>
    <n v="25"/>
    <x v="122"/>
    <n v="972"/>
    <n v="291.60000000000002"/>
    <n v="680.4"/>
    <n v="148.48147499999999"/>
    <n v="5.9392589999999998"/>
    <n v="1"/>
    <n v="25"/>
    <n v="531.91852500000005"/>
  </r>
  <r>
    <x v="24"/>
    <x v="8"/>
    <s v="OFICINA"/>
    <s v="001-001-000000008"/>
    <s v="Distribuidores"/>
    <x v="4"/>
    <n v="13"/>
    <x v="123"/>
    <n v="494"/>
    <n v="98.8"/>
    <n v="395.2"/>
    <n v="81.033328999999995"/>
    <n v="6.233333"/>
    <n v="1"/>
    <n v="13"/>
    <n v="314.16667100000001"/>
  </r>
  <r>
    <x v="26"/>
    <x v="8"/>
    <s v="SERRANO GARRIDO GIOVANNA DEL ROCIO"/>
    <s v="001-001-000000014"/>
    <s v="Distribuidores"/>
    <x v="20"/>
    <n v="39"/>
    <x v="123"/>
    <n v="1482"/>
    <n v="518.70000000000005"/>
    <n v="963.3"/>
    <n v="161.72001299999999"/>
    <n v="4.1466669999999999"/>
    <n v="1"/>
    <n v="39"/>
    <n v="801.57998699999996"/>
  </r>
  <r>
    <x v="34"/>
    <x v="8"/>
    <s v="SERRANO GARRIDO GIOVANNA DEL ROCIO"/>
    <s v="001-001-000000043"/>
    <s v="Distribuidores"/>
    <x v="151"/>
    <n v="10"/>
    <x v="123"/>
    <n v="380"/>
    <n v="114"/>
    <n v="266"/>
    <n v="41.466670000000001"/>
    <n v="4.1466669999999999"/>
    <n v="1"/>
    <n v="10"/>
    <n v="224.53333000000001"/>
  </r>
  <r>
    <x v="172"/>
    <x v="8"/>
    <s v="SERRANO GARRIDO GIOVANNA DEL ROCIO"/>
    <s v="001-001-000000085"/>
    <s v="Distribuidores"/>
    <x v="21"/>
    <n v="15"/>
    <x v="123"/>
    <n v="570"/>
    <n v="199.5"/>
    <n v="370.5"/>
    <n v="96.525000000000006"/>
    <n v="6.4350000000000005"/>
    <n v="1"/>
    <n v="15"/>
    <n v="273.97500000000002"/>
  </r>
  <r>
    <x v="214"/>
    <x v="8"/>
    <s v="SERRANO GARRIDO GIOVANNA DEL ROCIO"/>
    <s v="001-001-000000094"/>
    <s v="Constructores"/>
    <x v="142"/>
    <n v="6"/>
    <x v="123"/>
    <n v="228"/>
    <n v="22.8"/>
    <n v="205.2"/>
    <n v="43.32"/>
    <n v="7.22"/>
    <n v="1"/>
    <n v="6"/>
    <n v="161.88"/>
  </r>
  <r>
    <x v="355"/>
    <x v="8"/>
    <s v="SERRANO GARRIDO GIOVANNA DEL ROCIO"/>
    <s v="001-001-000000098"/>
    <s v="Distribuidores"/>
    <x v="21"/>
    <n v="2.5"/>
    <x v="123"/>
    <n v="95"/>
    <n v="33.25"/>
    <n v="61.75"/>
    <n v="14.44"/>
    <n v="5.7759999999999998"/>
    <n v="1"/>
    <n v="2.5"/>
    <n v="47.31"/>
  </r>
  <r>
    <x v="44"/>
    <x v="8"/>
    <s v="SERRANO GARRIDO GIOVANNA DEL ROCIO"/>
    <s v="001-001-000000124"/>
    <s v="Distribuidores"/>
    <x v="151"/>
    <n v="10"/>
    <x v="123"/>
    <n v="380"/>
    <n v="133"/>
    <n v="247"/>
    <n v="65.447620000000001"/>
    <n v="6.5447620000000004"/>
    <n v="1"/>
    <n v="10"/>
    <n v="181.55238"/>
  </r>
  <r>
    <x v="52"/>
    <x v="8"/>
    <s v="MOPOSITA GUITARRA ENMA PATRICIA"/>
    <s v="001-001-000000171"/>
    <s v="Directo"/>
    <x v="41"/>
    <n v="72"/>
    <x v="123"/>
    <n v="2736"/>
    <n v="273.60000000000002"/>
    <n v="2462.4"/>
    <n v="459.18"/>
    <n v="6.3775000000000004"/>
    <n v="1"/>
    <n v="72"/>
    <n v="2003.22"/>
  </r>
  <r>
    <x v="335"/>
    <x v="8"/>
    <s v="SERRANO GARRIDO GIOVANNA DEL ROCIO"/>
    <s v="001-001-000000180"/>
    <s v="Distribuidores"/>
    <x v="21"/>
    <n v="6.25"/>
    <x v="123"/>
    <n v="237.505"/>
    <n v="83.125"/>
    <n v="154.38"/>
    <n v="37.083331250000001"/>
    <n v="5.9333330000000002"/>
    <n v="1"/>
    <n v="6.25"/>
    <n v="117.29666874999999"/>
  </r>
  <r>
    <x v="212"/>
    <x v="8"/>
    <s v="OFICINA"/>
    <s v="001-001-000000200"/>
    <s v="Directo"/>
    <x v="143"/>
    <n v="25"/>
    <x v="123"/>
    <n v="950"/>
    <n v="332.5"/>
    <n v="617.5"/>
    <n v="153.42105000000001"/>
    <n v="6.1368420000000006"/>
    <n v="1"/>
    <n v="25"/>
    <n v="464.07894999999996"/>
  </r>
  <r>
    <x v="216"/>
    <x v="8"/>
    <s v="MOPOSITA GUITARRA ENMA PATRICIA"/>
    <s v="001-001-000000214"/>
    <s v="Constructores"/>
    <x v="144"/>
    <n v="47"/>
    <x v="123"/>
    <n v="1786"/>
    <n v="0"/>
    <n v="1786"/>
    <n v="288.46249999999998"/>
    <n v="6.1374999999999993"/>
    <n v="1"/>
    <n v="47"/>
    <n v="1497.5374999999999"/>
  </r>
  <r>
    <x v="60"/>
    <x v="8"/>
    <s v="MOPOSITA GUITARRA ENMA PATRICIA"/>
    <s v="001-001-000000224"/>
    <s v="Directo"/>
    <x v="48"/>
    <n v="27"/>
    <x v="123"/>
    <n v="1026"/>
    <n v="123.12"/>
    <n v="902.88"/>
    <n v="165.71250000000001"/>
    <n v="6.1375000000000002"/>
    <n v="1"/>
    <n v="27"/>
    <n v="737.16750000000002"/>
  </r>
  <r>
    <x v="254"/>
    <x v="8"/>
    <s v="MOPOSITA GUITARRA ENMA PATRICIA"/>
    <s v="001-001-000000229"/>
    <s v="Constructores"/>
    <x v="144"/>
    <n v="49.45"/>
    <x v="123"/>
    <n v="1879.1"/>
    <n v="0"/>
    <n v="1879.1"/>
    <n v="303.50451779999997"/>
    <n v="6.1376039999999987"/>
    <n v="1"/>
    <n v="49.45"/>
    <n v="1575.5954821999999"/>
  </r>
  <r>
    <x v="217"/>
    <x v="8"/>
    <s v="MOPOSITA GUITARRA ENMA PATRICIA"/>
    <s v="001-001-000000247"/>
    <s v="Distribuidores"/>
    <x v="20"/>
    <n v="34"/>
    <x v="123"/>
    <n v="1292"/>
    <n v="452.2"/>
    <n v="839.8"/>
    <n v="204.19886600000001"/>
    <n v="6.0058490000000004"/>
    <n v="1"/>
    <n v="34"/>
    <n v="635.601134"/>
  </r>
  <r>
    <x v="368"/>
    <x v="8"/>
    <s v="MOPOSITA GUITARRA ENMA PATRICIA"/>
    <s v="001-001-000000258"/>
    <s v="Constructores"/>
    <x v="144"/>
    <n v="11"/>
    <x v="123"/>
    <n v="466.83880000000005"/>
    <n v="32.678800000000003"/>
    <n v="434.16"/>
    <n v="66.064339000000004"/>
    <n v="6.0058490000000004"/>
    <n v="1"/>
    <n v="11"/>
    <n v="368.09566100000001"/>
  </r>
  <r>
    <x v="261"/>
    <x v="8"/>
    <s v="MOPOSITA GUITARRA ENMA PATRICIA"/>
    <s v="001-001-000000297"/>
    <s v="Distribuidores"/>
    <x v="151"/>
    <n v="7"/>
    <x v="123"/>
    <n v="272.15960000000001"/>
    <n v="84.369600000000005"/>
    <n v="187.79"/>
    <n v="42.310043999999998"/>
    <n v="6.0442919999999996"/>
    <n v="1"/>
    <n v="7"/>
    <n v="145.47995599999999"/>
  </r>
  <r>
    <x v="218"/>
    <x v="8"/>
    <s v="CASTILLO YAQUE SONIA ROXANA"/>
    <s v="001-001-000000309"/>
    <s v="Distribuidores"/>
    <x v="20"/>
    <n v="2.25"/>
    <x v="123"/>
    <n v="95.491500000000002"/>
    <n v="33.421500000000002"/>
    <n v="62.07"/>
    <n v="13.599657000000001"/>
    <n v="6.0442920000000004"/>
    <n v="1"/>
    <n v="2.25"/>
    <n v="48.470343"/>
  </r>
  <r>
    <x v="218"/>
    <x v="8"/>
    <s v="CASTILLO YAQUE SONIA ROXANA"/>
    <s v="001-001-000000310"/>
    <s v="Distribuidores"/>
    <x v="20"/>
    <n v="1.5"/>
    <x v="123"/>
    <n v="58.321999999999996"/>
    <n v="20.411999999999999"/>
    <n v="37.909999999999997"/>
    <n v="9.0664379999999998"/>
    <n v="6.0442919999999996"/>
    <n v="1"/>
    <n v="1.5"/>
    <n v="28.843561999999999"/>
  </r>
  <r>
    <x v="221"/>
    <x v="8"/>
    <s v="MOPOSITA GUITARRA ENMA PATRICIA"/>
    <s v="001-001-000000447"/>
    <s v="Directo"/>
    <x v="145"/>
    <n v="9"/>
    <x v="123"/>
    <n v="349.92424"/>
    <n v="112.67424"/>
    <n v="237.25"/>
    <n v="51.956747999999997"/>
    <n v="5.7729719999999993"/>
    <n v="1"/>
    <n v="9"/>
    <n v="185.293252"/>
  </r>
  <r>
    <x v="113"/>
    <x v="8"/>
    <s v="MOPOSITA GUITARRA ENMA PATRICIA"/>
    <s v="001-001-000000526"/>
    <s v="Distribuidores"/>
    <x v="21"/>
    <n v="4"/>
    <x v="123"/>
    <n v="155.52199999999999"/>
    <n v="54.432000000000002"/>
    <n v="101.09"/>
    <n v="22.337456"/>
    <n v="5.5843639999999999"/>
    <n v="1"/>
    <n v="4"/>
    <n v="78.752544"/>
  </r>
  <r>
    <x v="223"/>
    <x v="8"/>
    <s v="OFICINA"/>
    <s v="001-001-000000566"/>
    <s v="Directo"/>
    <x v="146"/>
    <n v="3.5"/>
    <x v="123"/>
    <n v="136.08000000000001"/>
    <n v="34.020000000000003"/>
    <n v="102.06"/>
    <n v="19.545273999999999"/>
    <n v="5.5843639999999999"/>
    <n v="1"/>
    <n v="3.5"/>
    <n v="82.514725999999996"/>
  </r>
  <r>
    <x v="129"/>
    <x v="8"/>
    <s v="OFICINA"/>
    <s v="001-001-000000643"/>
    <s v="Distribuidores"/>
    <x v="20"/>
    <n v="26"/>
    <x v="123"/>
    <n v="1010.876"/>
    <n v="454.89600000000002"/>
    <n v="555.98"/>
    <n v="143.854828"/>
    <n v="5.5328780000000002"/>
    <n v="1"/>
    <n v="26"/>
    <n v="412.12517200000002"/>
  </r>
  <r>
    <x v="160"/>
    <x v="8"/>
    <s v="OFICINA"/>
    <s v="001-001-000000880"/>
    <s v="Distribuidores"/>
    <x v="125"/>
    <n v="35"/>
    <x v="123"/>
    <n v="1360.8"/>
    <n v="340.2"/>
    <n v="1020.6"/>
    <n v="180.097365"/>
    <n v="5.1456390000000001"/>
    <n v="1"/>
    <n v="35"/>
    <n v="840.50263500000005"/>
  </r>
  <r>
    <x v="51"/>
    <x v="7"/>
    <s v="SERRANO GARRIDO GIOVANNA DEL ROCIO"/>
    <s v="001-001-000000166"/>
    <s v="Arquitectos"/>
    <x v="39"/>
    <n v="7.5"/>
    <x v="124"/>
    <n v="315"/>
    <n v="15.75"/>
    <n v="299.25"/>
    <n v="65.924999999999997"/>
    <n v="8.7899999999999991"/>
    <n v="1"/>
    <n v="7.5"/>
    <n v="233.32499999999999"/>
  </r>
  <r>
    <x v="63"/>
    <x v="7"/>
    <s v="MOPOSITA GUITARRA ENMA PATRICIA"/>
    <s v="001-001-000000231"/>
    <s v="Directo"/>
    <x v="51"/>
    <n v="25"/>
    <x v="124"/>
    <n v="1050"/>
    <n v="0"/>
    <n v="1050"/>
    <n v="220.46875"/>
    <n v="8.8187499999999996"/>
    <n v="1"/>
    <n v="25"/>
    <n v="829.53125"/>
  </r>
  <r>
    <x v="45"/>
    <x v="7"/>
    <s v="MOPOSITA GUITARRA ENMA PATRICIA"/>
    <s v="001-001-000000126"/>
    <s v="Directo"/>
    <x v="208"/>
    <n v="7.88"/>
    <x v="125"/>
    <n v="330.96"/>
    <n v="0"/>
    <n v="330.96"/>
    <n v="34.935530839999998"/>
    <n v="4.4334429999999996"/>
    <n v="1"/>
    <n v="7.88"/>
    <n v="296.02446915999997"/>
  </r>
  <r>
    <x v="105"/>
    <x v="7"/>
    <s v="MOPOSITA GUITARRA ENMA PATRICIA"/>
    <s v="001-001-000000461"/>
    <s v="Directo"/>
    <x v="208"/>
    <n v="6"/>
    <x v="125"/>
    <n v="254.64400000000001"/>
    <n v="25.463999999999999"/>
    <n v="229.18"/>
    <n v="26.600657999999999"/>
    <n v="4.4334429999999996"/>
    <n v="1"/>
    <n v="6"/>
    <n v="202.579342"/>
  </r>
  <r>
    <x v="137"/>
    <x v="7"/>
    <s v="OFICINA"/>
    <s v="001-001-000000692"/>
    <s v="Directo"/>
    <x v="111"/>
    <n v="6.75"/>
    <x v="125"/>
    <n v="262.44"/>
    <n v="0"/>
    <n v="262.44"/>
    <n v="20.701197000000001"/>
    <n v="3.0668440000000001"/>
    <n v="1"/>
    <n v="6.75"/>
    <n v="241.73880299999999"/>
  </r>
  <r>
    <x v="80"/>
    <x v="8"/>
    <s v="ANDRADE CHECA DIANA LUCIA"/>
    <s v="001-001-000000307"/>
    <s v="Directo"/>
    <x v="65"/>
    <n v="15"/>
    <x v="126"/>
    <n v="636.6"/>
    <n v="95.49"/>
    <n v="541.11"/>
    <n v="137.85"/>
    <n v="9.19"/>
    <n v="1"/>
    <n v="15"/>
    <n v="403.26"/>
  </r>
  <r>
    <x v="383"/>
    <x v="8"/>
    <s v="SERRANO GARRIDO GIOVANNA DEL ROCIO"/>
    <s v="001-001-000000187"/>
    <s v="Distribuidores"/>
    <x v="4"/>
    <n v="32.04"/>
    <x v="127"/>
    <n v="1345.6780000000001"/>
    <n v="470.988"/>
    <n v="874.69"/>
    <n v="190.63800000000001"/>
    <n v="5.95"/>
    <n v="1"/>
    <n v="32.04"/>
    <n v="684.05200000000002"/>
  </r>
  <r>
    <x v="89"/>
    <x v="8"/>
    <s v="ANDRADE CHECA DIANA LUCIA"/>
    <s v="001-001-000000341"/>
    <s v="Arquitectos"/>
    <x v="129"/>
    <n v="16.559999999999999"/>
    <x v="127"/>
    <n v="702.81223999999997"/>
    <n v="245.98223999999999"/>
    <n v="456.83"/>
    <n v="98.531999999999996"/>
    <n v="5.95"/>
    <n v="1"/>
    <n v="16.559999999999999"/>
    <n v="358.298"/>
  </r>
  <r>
    <x v="253"/>
    <x v="8"/>
    <s v="ANDRADE CHECA DIANA LUCIA"/>
    <s v="001-001-000000385"/>
    <s v="Arquitectos"/>
    <x v="129"/>
    <n v="2.88"/>
    <x v="127"/>
    <n v="122.22952000000001"/>
    <n v="42.779519999999998"/>
    <n v="79.45"/>
    <n v="17.135999999999999"/>
    <n v="5.95"/>
    <n v="1"/>
    <n v="2.88"/>
    <n v="62.314000000000007"/>
  </r>
  <r>
    <x v="39"/>
    <x v="8"/>
    <s v="SERRANO GARRIDO GIOVANNA DEL ROCIO"/>
    <s v="001-001-000000067"/>
    <s v="Arquitectos"/>
    <x v="23"/>
    <n v="2.5"/>
    <x v="128"/>
    <n v="95"/>
    <n v="28.5"/>
    <n v="66.5"/>
    <n v="12.292652500000001"/>
    <n v="4.9170610000000003"/>
    <n v="1"/>
    <n v="2.5"/>
    <n v="54.207347499999997"/>
  </r>
  <r>
    <x v="172"/>
    <x v="8"/>
    <s v="SERRANO GARRIDO GIOVANNA DEL ROCIO"/>
    <s v="001-001-000000085"/>
    <s v="Distribuidores"/>
    <x v="21"/>
    <n v="17"/>
    <x v="128"/>
    <n v="646"/>
    <n v="226.1"/>
    <n v="419.9"/>
    <n v="83.243831999999998"/>
    <n v="4.8966959999999995"/>
    <n v="1"/>
    <n v="17"/>
    <n v="336.65616799999998"/>
  </r>
  <r>
    <x v="41"/>
    <x v="8"/>
    <s v="SERRANO GARRIDO GIOVANNA DEL ROCIO"/>
    <s v="001-001-000000102"/>
    <s v="Distribuidores"/>
    <x v="21"/>
    <n v="24.5"/>
    <x v="128"/>
    <n v="931"/>
    <n v="325.85000000000002"/>
    <n v="605.15"/>
    <n v="119.331709"/>
    <n v="4.8706820000000004"/>
    <n v="1"/>
    <n v="24.5"/>
    <n v="485.81829099999999"/>
  </r>
  <r>
    <x v="321"/>
    <x v="8"/>
    <s v="SERRANO GARRIDO GIOVANNA DEL ROCIO"/>
    <s v="001-001-000000189"/>
    <s v="Distribuidores"/>
    <x v="21"/>
    <n v="3.75"/>
    <x v="128"/>
    <n v="142.495"/>
    <n v="49.875"/>
    <n v="92.62"/>
    <n v="18.25429875"/>
    <n v="4.8678129999999999"/>
    <n v="1"/>
    <n v="3.75"/>
    <n v="74.365701250000001"/>
  </r>
  <r>
    <x v="77"/>
    <x v="8"/>
    <s v="ANDRADE CHECA DIANA LUCIA"/>
    <s v="001-001-000000280"/>
    <s v="Directo"/>
    <x v="61"/>
    <n v="3"/>
    <x v="128"/>
    <n v="127.32"/>
    <n v="0"/>
    <n v="127.32"/>
    <n v="14.603514000000001"/>
    <n v="4.8678379999999999"/>
    <n v="1"/>
    <n v="3"/>
    <n v="112.71648599999999"/>
  </r>
  <r>
    <x v="96"/>
    <x v="8"/>
    <s v="ANDRADE CHECA DIANA LUCIA"/>
    <s v="001-001-000000396"/>
    <s v="Arquitectos"/>
    <x v="129"/>
    <n v="5.5"/>
    <x v="128"/>
    <n v="233.417"/>
    <n v="81.697000000000003"/>
    <n v="151.72"/>
    <n v="26.746400999999999"/>
    <n v="4.8629819999999997"/>
    <n v="1"/>
    <n v="5.5"/>
    <n v="124.97359900000001"/>
  </r>
  <r>
    <x v="384"/>
    <x v="8"/>
    <s v="OFICINA"/>
    <s v="001-001-000000600"/>
    <s v="Directo"/>
    <x v="209"/>
    <n v="8.2799999999999994"/>
    <x v="128"/>
    <n v="321.93260864000001"/>
    <n v="282.52260863999999"/>
    <n v="39.409999999999997"/>
    <n v="41.004861839999997"/>
    <n v="4.9522779999999997"/>
    <n v="1"/>
    <n v="8.2799999999999994"/>
    <n v="-1.5948618400000001"/>
  </r>
  <r>
    <x v="321"/>
    <x v="7"/>
    <s v="MOPOSITA GUITARRA ENMA PATRICIA"/>
    <s v="001-001-000000190"/>
    <s v="Directo"/>
    <x v="210"/>
    <n v="4"/>
    <x v="129"/>
    <n v="168"/>
    <n v="0"/>
    <n v="168"/>
    <n v="19.55"/>
    <n v="4.8875000000000002"/>
    <n v="1"/>
    <n v="4"/>
    <n v="148.44999999999999"/>
  </r>
  <r>
    <x v="65"/>
    <x v="7"/>
    <s v="ANDRADE CHECA DIANA LUCIA"/>
    <s v="001-001-000000238"/>
    <s v="Directo"/>
    <x v="53"/>
    <n v="23"/>
    <x v="129"/>
    <n v="966"/>
    <n v="0"/>
    <n v="966"/>
    <n v="112.41249999999999"/>
    <n v="4.8875000000000002"/>
    <n v="1"/>
    <n v="23"/>
    <n v="853.58749999999998"/>
  </r>
  <r>
    <x v="177"/>
    <x v="7"/>
    <s v="ANDRADE CHECA DIANA LUCIA"/>
    <s v="001-001-000000257"/>
    <s v="Directo"/>
    <x v="53"/>
    <n v="3"/>
    <x v="129"/>
    <n v="126"/>
    <n v="0"/>
    <n v="126"/>
    <n v="14.540001"/>
    <n v="4.8466670000000001"/>
    <n v="1"/>
    <n v="3"/>
    <n v="111.459999"/>
  </r>
  <r>
    <x v="314"/>
    <x v="7"/>
    <s v="ANDRADE CHECA DIANA LUCIA"/>
    <s v="001-001-000000265"/>
    <s v="Directo"/>
    <x v="210"/>
    <n v="4.5999999999999996"/>
    <x v="129"/>
    <n v="195.22120000000001"/>
    <n v="9.7612000000000005"/>
    <n v="185.46"/>
    <n v="22.356000000000002"/>
    <n v="4.8600000000000003"/>
    <n v="1"/>
    <n v="4.5999999999999996"/>
    <n v="163.10400000000001"/>
  </r>
  <r>
    <x v="106"/>
    <x v="7"/>
    <s v="OFICINA"/>
    <s v="001-001-000000464"/>
    <s v="Directo"/>
    <x v="92"/>
    <n v="13.8"/>
    <x v="130"/>
    <n v="585.66800000000001"/>
    <n v="146.41800000000001"/>
    <n v="439.25"/>
    <n v="55.088647799999997"/>
    <n v="3.9919309999999997"/>
    <n v="1"/>
    <n v="13.8"/>
    <n v="384.16135220000001"/>
  </r>
  <r>
    <x v="208"/>
    <x v="6"/>
    <s v="OFICINA"/>
    <s v="001-001-000000567"/>
    <s v="Directo"/>
    <x v="137"/>
    <n v="30.82"/>
    <x v="131"/>
    <n v="419.14520000000005"/>
    <n v="41.915199999999999"/>
    <n v="377.23"/>
    <n v="0"/>
    <n v="0"/>
    <n v="1"/>
    <n v="30.82"/>
    <n v="377.23"/>
  </r>
  <r>
    <x v="210"/>
    <x v="6"/>
    <s v="SERRANO GARRIDO GIOVANNA DEL ROCIO"/>
    <s v="001-001-000000083"/>
    <s v="Arquitectos"/>
    <x v="39"/>
    <n v="15.27"/>
    <x v="132"/>
    <n v="259.74140499999999"/>
    <n v="38.961404999999999"/>
    <n v="220.78"/>
    <n v="181.4076"/>
    <n v="11.88"/>
    <n v="1"/>
    <n v="15.27"/>
    <n v="39.372399999999999"/>
  </r>
  <r>
    <x v="53"/>
    <x v="6"/>
    <s v="SERRANO GARRIDO GIOVANNA DEL ROCIO"/>
    <s v="001-001-000000172"/>
    <s v="Arquitectos"/>
    <x v="39"/>
    <n v="901.78"/>
    <x v="132"/>
    <n v="15339.28167"/>
    <n v="2300.89167"/>
    <n v="13038.39"/>
    <n v="10659.0396"/>
    <n v="11.82"/>
    <n v="1"/>
    <n v="901.78"/>
    <n v="2379.3503999999994"/>
  </r>
  <r>
    <x v="209"/>
    <x v="6"/>
    <s v="SERRANO GARRIDO GIOVANNA DEL ROCIO"/>
    <s v="001-001-000000220"/>
    <s v="Directo"/>
    <x v="138"/>
    <n v="190.2"/>
    <x v="133"/>
    <n v="5204.1776319999999"/>
    <n v="520.41763200000003"/>
    <n v="4683.76"/>
    <n v="3855.3539999999998"/>
    <n v="20.27"/>
    <n v="1"/>
    <n v="190.2"/>
    <n v="828.4060000000004"/>
  </r>
  <r>
    <x v="209"/>
    <x v="6"/>
    <s v="SERRANO GARRIDO GIOVANNA DEL ROCIO"/>
    <s v="001-001-000000221"/>
    <s v="Directo"/>
    <x v="139"/>
    <n v="89.79"/>
    <x v="134"/>
    <n v="2138.7997800000003"/>
    <n v="213.87978000000001"/>
    <n v="1924.92"/>
    <n v="1319.913"/>
    <n v="14.7"/>
    <n v="1"/>
    <n v="89.79"/>
    <n v="605.00700000000006"/>
  </r>
  <r>
    <x v="29"/>
    <x v="6"/>
    <s v="SERRANO GARRIDO GIOVANNA DEL ROCIO"/>
    <s v="001-001-000000023"/>
    <s v="Directo"/>
    <x v="11"/>
    <n v="33.200000000000003"/>
    <x v="135"/>
    <n v="926.27656000000002"/>
    <n v="48.166559999999997"/>
    <n v="878.11"/>
    <n v="610.88"/>
    <n v="18.399999999999999"/>
    <n v="1"/>
    <n v="33.200000000000003"/>
    <n v="267.23"/>
  </r>
  <r>
    <x v="213"/>
    <x v="8"/>
    <s v="SERRANO GARRIDO GIOVANNA DEL ROCIO"/>
    <s v="001-100-000000001"/>
    <s v="Distribuidores"/>
    <x v="20"/>
    <n v="40"/>
    <x v="136"/>
    <n v="1520"/>
    <n v="532"/>
    <n v="988"/>
    <n v="379.61903999999998"/>
    <n v="9.4904759999999992"/>
    <n v="1"/>
    <n v="40"/>
    <n v="608.38095999999996"/>
  </r>
  <r>
    <x v="385"/>
    <x v="8"/>
    <s v="MOPOSITA GUITARRA ENMA PATRICIA"/>
    <s v="001-001-000000448"/>
    <s v="Distribuidores"/>
    <x v="20"/>
    <n v="2.6"/>
    <x v="136"/>
    <n v="110.34039999999999"/>
    <n v="38.620399999999997"/>
    <n v="71.72"/>
    <n v="25.0532386"/>
    <n v="9.6358610000000002"/>
    <n v="1"/>
    <n v="2.6"/>
    <n v="46.666761399999999"/>
  </r>
  <r>
    <x v="330"/>
    <x v="8"/>
    <s v="MOPOSITA GUITARRA ENMA PATRICIA"/>
    <s v="001-001-000000491"/>
    <s v="Distribuidores"/>
    <x v="20"/>
    <n v="0.8"/>
    <x v="136"/>
    <n v="33.953200000000002"/>
    <n v="11.8832"/>
    <n v="22.07"/>
    <n v="7.5690032"/>
    <n v="9.4612540000000003"/>
    <n v="1"/>
    <n v="0.8"/>
    <n v="14.500996799999999"/>
  </r>
  <r>
    <x v="228"/>
    <x v="8"/>
    <s v="SERRANO GARRIDO GIOVANNA DEL ROCIO"/>
    <s v="001-001-000000062"/>
    <s v="Distribuidores"/>
    <x v="20"/>
    <n v="22"/>
    <x v="137"/>
    <n v="836"/>
    <n v="292.60000000000002"/>
    <n v="543.4"/>
    <n v="242.116468"/>
    <n v="11.005293999999999"/>
    <n v="1"/>
    <n v="22"/>
    <n v="301.28353199999998"/>
  </r>
  <r>
    <x v="229"/>
    <x v="8"/>
    <s v="SERRANO GARRIDO GIOVANNA DEL ROCIO"/>
    <s v="001-001-000000175"/>
    <s v="Distribuidores"/>
    <x v="20"/>
    <n v="22"/>
    <x v="137"/>
    <n v="836"/>
    <n v="292.60000000000002"/>
    <n v="543.4"/>
    <n v="231.018326"/>
    <n v="10.500833"/>
    <n v="1"/>
    <n v="22"/>
    <n v="312.38167399999998"/>
  </r>
  <r>
    <x v="233"/>
    <x v="8"/>
    <s v="ANDRADE CHECA DIANA LUCIA"/>
    <s v="001-001-000000399"/>
    <s v="Directo"/>
    <x v="148"/>
    <n v="42"/>
    <x v="137"/>
    <n v="1782.48"/>
    <n v="445.62"/>
    <n v="1336.86"/>
    <n v="441.034986"/>
    <n v="10.500833"/>
    <n v="1"/>
    <n v="42"/>
    <n v="895.8250139999999"/>
  </r>
  <r>
    <x v="180"/>
    <x v="8"/>
    <s v="MOPOSITA GUITARRA ENMA PATRICIA"/>
    <s v="001-001-000000490"/>
    <s v="Directo"/>
    <x v="148"/>
    <n v="2"/>
    <x v="137"/>
    <n v="77.760000000000005"/>
    <n v="19.440000000000001"/>
    <n v="58.32"/>
    <n v="20.503533999999998"/>
    <n v="10.251766999999999"/>
    <n v="1"/>
    <n v="2"/>
    <n v="37.816466000000005"/>
  </r>
  <r>
    <x v="234"/>
    <x v="8"/>
    <s v="MOPOSITA GUITARRA ENMA PATRICIA"/>
    <s v="001-001-000000529"/>
    <s v="Distribuidores"/>
    <x v="20"/>
    <n v="30"/>
    <x v="137"/>
    <n v="1166.4000000000001"/>
    <n v="408.24"/>
    <n v="758.16"/>
    <n v="325.26711"/>
    <n v="10.842237000000001"/>
    <n v="1"/>
    <n v="30"/>
    <n v="432.89288999999997"/>
  </r>
  <r>
    <x v="237"/>
    <x v="8"/>
    <s v="OFICINA"/>
    <s v="001-001-000000669"/>
    <s v="Distribuidores"/>
    <x v="21"/>
    <n v="198"/>
    <x v="137"/>
    <n v="7698.2379999999994"/>
    <n v="3464.2080000000001"/>
    <n v="4234.03"/>
    <n v="2105.944434"/>
    <n v="10.636082999999999"/>
    <n v="1"/>
    <n v="198"/>
    <n v="2128.0855659999997"/>
  </r>
  <r>
    <x v="386"/>
    <x v="8"/>
    <s v="OFICINA"/>
    <s v="001-001-000000678"/>
    <s v="Distribuidores"/>
    <x v="20"/>
    <n v="2.25"/>
    <x v="137"/>
    <n v="87.475999999999999"/>
    <n v="39.366"/>
    <n v="48.11"/>
    <n v="23.931186749999998"/>
    <n v="10.636082999999999"/>
    <n v="1"/>
    <n v="2.25"/>
    <n v="24.178813250000001"/>
  </r>
  <r>
    <x v="136"/>
    <x v="8"/>
    <s v="JULIO VASQUEZ"/>
    <s v="001-001-000000688"/>
    <s v="Arquitectos"/>
    <x v="103"/>
    <n v="2.5"/>
    <x v="137"/>
    <n v="97.2"/>
    <n v="29.16"/>
    <n v="68.040000000000006"/>
    <n v="26.590207500000002"/>
    <n v="10.636083000000001"/>
    <n v="1"/>
    <n v="2.5"/>
    <n v="41.449792500000001"/>
  </r>
  <r>
    <x v="250"/>
    <x v="8"/>
    <s v="OFICINA"/>
    <s v="001-001-000000892"/>
    <s v="Distribuidores"/>
    <x v="20"/>
    <n v="62"/>
    <x v="137"/>
    <n v="2410.5619999999999"/>
    <n v="1084.752"/>
    <n v="1325.81"/>
    <n v="595.68484000000001"/>
    <n v="9.6078200000000002"/>
    <n v="1"/>
    <n v="62"/>
    <n v="730.12515999999994"/>
  </r>
  <r>
    <x v="243"/>
    <x v="8"/>
    <s v="OFICINA"/>
    <s v="001-001-000000895"/>
    <s v="Distribuidores"/>
    <x v="20"/>
    <n v="16"/>
    <x v="137"/>
    <n v="622.07600000000002"/>
    <n v="279.93599999999998"/>
    <n v="342.14"/>
    <n v="153.72512"/>
    <n v="9.6078200000000002"/>
    <n v="1"/>
    <n v="16"/>
    <n v="188.41487999999998"/>
  </r>
  <r>
    <x v="165"/>
    <x v="8"/>
    <s v="OFICINA"/>
    <s v="001-001-000000911"/>
    <s v="Distribuidores"/>
    <x v="20"/>
    <n v="16"/>
    <x v="137"/>
    <n v="622.07600000000002"/>
    <n v="279.93599999999998"/>
    <n v="342.14"/>
    <n v="121.85487999999999"/>
    <n v="7.6159299999999996"/>
    <n v="1"/>
    <n v="16"/>
    <n v="220.28512000000001"/>
  </r>
  <r>
    <x v="155"/>
    <x v="7"/>
    <s v="OFICINA"/>
    <s v="001-001-000000838"/>
    <s v="Distribuidores"/>
    <x v="98"/>
    <n v="11"/>
    <x v="138"/>
    <n v="427.678"/>
    <n v="149.68799999999999"/>
    <n v="277.99"/>
    <n v="69.701918000000006"/>
    <n v="6.3365380000000009"/>
    <n v="1"/>
    <n v="11"/>
    <n v="208.288082"/>
  </r>
  <r>
    <x v="155"/>
    <x v="7"/>
    <s v="OFICINA"/>
    <s v="001-001-000000838"/>
    <s v="Distribuidores"/>
    <x v="98"/>
    <n v="39"/>
    <x v="139"/>
    <n v="1516.3220000000001"/>
    <n v="530.71199999999999"/>
    <n v="985.61"/>
    <n v="243.099987"/>
    <n v="6.233333"/>
    <n v="1"/>
    <n v="39"/>
    <n v="742.51001300000007"/>
  </r>
  <r>
    <x v="155"/>
    <x v="7"/>
    <s v="OFICINA"/>
    <s v="001-001-000000838"/>
    <s v="Distribuidores"/>
    <x v="98"/>
    <n v="26"/>
    <x v="140"/>
    <n v="1010.878"/>
    <n v="353.80799999999999"/>
    <n v="657.07"/>
    <n v="79.695642000000007"/>
    <n v="3.0652170000000001"/>
    <n v="1"/>
    <n v="26"/>
    <n v="577.37435800000003"/>
  </r>
  <r>
    <x v="155"/>
    <x v="7"/>
    <s v="OFICINA"/>
    <s v="001-001-000000838"/>
    <s v="Distribuidores"/>
    <x v="98"/>
    <n v="354"/>
    <x v="141"/>
    <n v="13763.522000000001"/>
    <n v="4817.232"/>
    <n v="8946.2900000000009"/>
    <n v="1042.934976"/>
    <n v="2.9461439999999999"/>
    <n v="1"/>
    <n v="354"/>
    <n v="7903.3550240000004"/>
  </r>
  <r>
    <x v="166"/>
    <x v="7"/>
    <s v="OFICINA"/>
    <s v="001-001-000000915"/>
    <s v="Distribuidores"/>
    <x v="128"/>
    <n v="38"/>
    <x v="141"/>
    <n v="1477.444"/>
    <n v="517.10400000000004"/>
    <n v="960.34"/>
    <n v="99.957746"/>
    <n v="2.6304669999999999"/>
    <n v="1"/>
    <n v="38"/>
    <n v="860.38225399999999"/>
  </r>
  <r>
    <x v="387"/>
    <x v="10"/>
    <s v="ANDRADE CHECA DIANA LUCIA"/>
    <s v="001-001-000000395"/>
    <s v="Directo"/>
    <x v="211"/>
    <n v="9.4499999999999993"/>
    <x v="142"/>
    <n v="467.58789999999999"/>
    <n v="70.137900000000002"/>
    <n v="397.45"/>
    <n v="55.729059749999998"/>
    <n v="5.8972550000000004"/>
    <n v="1"/>
    <n v="9.4499999999999993"/>
    <n v="341.72094025000001"/>
  </r>
  <r>
    <x v="284"/>
    <x v="10"/>
    <s v="OFICINA"/>
    <s v="001-001-000000503"/>
    <s v="Directo"/>
    <x v="173"/>
    <n v="9.5"/>
    <x v="142"/>
    <n v="470.05901799999998"/>
    <n v="141.159018"/>
    <n v="328.9"/>
    <n v="57.747554999999998"/>
    <n v="6.0786899999999999"/>
    <n v="1"/>
    <n v="9.5"/>
    <n v="271.152445"/>
  </r>
  <r>
    <x v="388"/>
    <x v="10"/>
    <s v="OFICINA"/>
    <s v="001-001-000000525"/>
    <s v="Directo"/>
    <x v="212"/>
    <n v="6"/>
    <x v="142"/>
    <n v="296.87799999999999"/>
    <n v="29.687999999999999"/>
    <n v="267.19"/>
    <n v="36.472140000000003"/>
    <n v="6.0786900000000008"/>
    <n v="1"/>
    <n v="6"/>
    <n v="230.71786"/>
  </r>
  <r>
    <x v="26"/>
    <x v="10"/>
    <s v="OFICINA"/>
    <s v="001-001-000000012"/>
    <s v="Arquitectos"/>
    <x v="201"/>
    <n v="6"/>
    <x v="143"/>
    <n v="294"/>
    <n v="14.7"/>
    <n v="279.3"/>
    <n v="42.625590000000003"/>
    <n v="7.1042650000000007"/>
    <n v="1"/>
    <n v="6"/>
    <n v="236.67441000000002"/>
  </r>
  <r>
    <x v="27"/>
    <x v="10"/>
    <s v="OFICINA"/>
    <s v="001-001-000000015"/>
    <s v="Directo"/>
    <x v="8"/>
    <n v="1.01"/>
    <x v="143"/>
    <n v="49.49"/>
    <n v="0"/>
    <n v="49.49"/>
    <n v="7.1753076499999997"/>
    <n v="7.1042649999999998"/>
    <n v="1"/>
    <n v="1.01"/>
    <n v="42.314692350000001"/>
  </r>
  <r>
    <x v="376"/>
    <x v="10"/>
    <s v="BALLADARES PEREZ REINA JACQUELINE"/>
    <s v="001-001-000000030"/>
    <s v="Directo"/>
    <x v="206"/>
    <n v="2.11"/>
    <x v="143"/>
    <n v="103.3895"/>
    <n v="5.1695000000000002"/>
    <n v="98.22"/>
    <n v="14.959899999999999"/>
    <n v="7.09"/>
    <n v="1"/>
    <n v="2.11"/>
    <n v="83.260099999999994"/>
  </r>
  <r>
    <x v="37"/>
    <x v="10"/>
    <s v="SERRANO GARRIDO GIOVANNA DEL ROCIO"/>
    <s v="001-001-000000057"/>
    <s v="Constructores"/>
    <x v="22"/>
    <n v="15.87"/>
    <x v="143"/>
    <n v="777.63149999999996"/>
    <n v="38.881500000000003"/>
    <n v="738.75"/>
    <n v="110.38135689000001"/>
    <n v="6.9553470000000006"/>
    <n v="1"/>
    <n v="15.87"/>
    <n v="628.36864310999999"/>
  </r>
  <r>
    <x v="389"/>
    <x v="10"/>
    <s v="OFICINA"/>
    <s v="001-001-000000453"/>
    <s v="Distribuidores"/>
    <x v="20"/>
    <n v="2"/>
    <x v="143"/>
    <n v="98.955999999999989"/>
    <n v="34.636000000000003"/>
    <n v="64.319999999999993"/>
    <n v="15.221328"/>
    <n v="7.6106639999999999"/>
    <n v="1"/>
    <n v="2"/>
    <n v="49.098671999999993"/>
  </r>
  <r>
    <x v="389"/>
    <x v="10"/>
    <s v="OFICINA"/>
    <s v="001-001-000000453"/>
    <s v="Distribuidores"/>
    <x v="20"/>
    <n v="4.04"/>
    <x v="144"/>
    <n v="199.90472"/>
    <n v="69.96472"/>
    <n v="129.94"/>
    <n v="30.088255520000001"/>
    <n v="7.4475879999999997"/>
    <n v="1"/>
    <n v="4.04"/>
    <n v="99.851744479999994"/>
  </r>
  <r>
    <x v="284"/>
    <x v="10"/>
    <s v="OFICINA"/>
    <s v="001-001-000000503"/>
    <s v="Directo"/>
    <x v="173"/>
    <n v="9.5"/>
    <x v="144"/>
    <n v="470.05799999999999"/>
    <n v="141.018"/>
    <n v="329.04"/>
    <n v="84.098617000000004"/>
    <n v="8.8524860000000007"/>
    <n v="1"/>
    <n v="9.5"/>
    <n v="244.94138300000003"/>
  </r>
  <r>
    <x v="3"/>
    <x v="10"/>
    <s v="SERRANO GARRIDO GIOVANNA DEL ROCIO"/>
    <s v="001-001-000000114"/>
    <s v="Directo"/>
    <x v="29"/>
    <n v="7.03"/>
    <x v="145"/>
    <n v="344.46640000000002"/>
    <n v="41.336399999999998"/>
    <n v="303.13"/>
    <n v="40.183824469999998"/>
    <n v="5.716048999999999"/>
    <n v="1"/>
    <n v="7.03"/>
    <n v="262.94617553"/>
  </r>
  <r>
    <x v="94"/>
    <x v="10"/>
    <s v="ANDRADE CHECA DIANA LUCIA"/>
    <s v="001-001-000000373"/>
    <s v="Directo"/>
    <x v="213"/>
    <n v="8"/>
    <x v="145"/>
    <n v="395.83599999999996"/>
    <n v="59.375999999999998"/>
    <n v="336.46"/>
    <n v="46.017392000000001"/>
    <n v="5.7521740000000001"/>
    <n v="1"/>
    <n v="8"/>
    <n v="290.44260799999995"/>
  </r>
  <r>
    <x v="300"/>
    <x v="10"/>
    <s v="OFICINA"/>
    <s v="001-001-000000649"/>
    <s v="Distribuidores"/>
    <x v="20"/>
    <n v="22"/>
    <x v="145"/>
    <n v="1088.5619999999999"/>
    <n v="489.85199999999998"/>
    <n v="598.71"/>
    <n v="88.187044"/>
    <n v="4.008502"/>
    <n v="1"/>
    <n v="22"/>
    <n v="510.52295600000002"/>
  </r>
  <r>
    <x v="374"/>
    <x v="10"/>
    <s v="OFICINA"/>
    <s v="001-001-000000663"/>
    <s v="Distribuidores"/>
    <x v="128"/>
    <n v="14"/>
    <x v="145"/>
    <n v="692.72199999999998"/>
    <n v="242.452"/>
    <n v="450.27"/>
    <n v="66.978954000000002"/>
    <n v="4.784211"/>
    <n v="1"/>
    <n v="14"/>
    <n v="383.29104599999999"/>
  </r>
  <r>
    <x v="390"/>
    <x v="10"/>
    <s v="OFICINA"/>
    <s v="001-001-000000702"/>
    <s v="Distribuidores"/>
    <x v="20"/>
    <n v="5.0199999999999996"/>
    <x v="145"/>
    <n v="248.38532000000001"/>
    <n v="111.77531999999999"/>
    <n v="136.61000000000001"/>
    <n v="22.632951120000001"/>
    <n v="4.5085560000000005"/>
    <n v="1"/>
    <n v="5.0199999999999996"/>
    <n v="113.97704888000001"/>
  </r>
  <r>
    <x v="364"/>
    <x v="10"/>
    <s v="OFICINA"/>
    <s v="001-001-000000848"/>
    <s v="Distribuidores"/>
    <x v="20"/>
    <n v="20"/>
    <x v="145"/>
    <n v="989.59999999999991"/>
    <n v="445.32"/>
    <n v="544.28"/>
    <n v="68.089820000000003"/>
    <n v="3.4044910000000002"/>
    <n v="1"/>
    <n v="20"/>
    <n v="476.19017999999994"/>
  </r>
  <r>
    <x v="379"/>
    <x v="10"/>
    <s v="OFICINA"/>
    <s v="001-001-000000900"/>
    <s v="Distribuidores"/>
    <x v="128"/>
    <n v="12"/>
    <x v="145"/>
    <n v="593.75599999999997"/>
    <n v="207.816"/>
    <n v="385.94"/>
    <n v="44.147364000000003"/>
    <n v="3.6789470000000004"/>
    <n v="1"/>
    <n v="12"/>
    <n v="341.79263600000002"/>
  </r>
  <r>
    <x v="209"/>
    <x v="6"/>
    <s v="SERRANO GARRIDO GIOVANNA DEL ROCIO"/>
    <s v="001-001-000000219"/>
    <s v="Directo"/>
    <x v="138"/>
    <n v="9.0399999999999991"/>
    <x v="146"/>
    <n v="267.69997119999999"/>
    <n v="26.769971200000001"/>
    <n v="240.93"/>
    <n v="180.34800000000001"/>
    <n v="19.950000000000003"/>
    <n v="1"/>
    <n v="9.0399999999999991"/>
    <n v="60.581999999999994"/>
  </r>
  <r>
    <x v="60"/>
    <x v="6"/>
    <s v="SERRANO GARRIDO GIOVANNA DEL ROCIO"/>
    <s v="001-001-000000225"/>
    <s v="Directo"/>
    <x v="138"/>
    <n v="38.42"/>
    <x v="147"/>
    <n v="1137.7223776000001"/>
    <n v="113.7723776"/>
    <n v="1023.95"/>
    <n v="686.18119999999999"/>
    <n v="17.86"/>
    <n v="1"/>
    <n v="38.42"/>
    <n v="337.76880000000006"/>
  </r>
  <r>
    <x v="232"/>
    <x v="6"/>
    <s v="MOPOSITA GUITARRA ENMA PATRICIA"/>
    <s v="001-001-000000301"/>
    <s v="Directo"/>
    <x v="138"/>
    <n v="29.38"/>
    <x v="147"/>
    <n v="870.02240640000002"/>
    <n v="87.002406399999998"/>
    <n v="783.02"/>
    <n v="555.01396625999996"/>
    <n v="18.890877"/>
    <n v="1"/>
    <n v="29.38"/>
    <n v="228.00603374000002"/>
  </r>
  <r>
    <x v="209"/>
    <x v="6"/>
    <s v="SERRANO GARRIDO GIOVANNA DEL ROCIO"/>
    <s v="001-001-000000219"/>
    <s v="Directo"/>
    <x v="138"/>
    <n v="127.68"/>
    <x v="148"/>
    <n v="3240.4216256"/>
    <n v="324.04162559999997"/>
    <n v="2916.38"/>
    <n v="2280.3647999999998"/>
    <n v="17.86"/>
    <n v="1"/>
    <n v="127.68"/>
    <n v="636.01520000000028"/>
  </r>
  <r>
    <x v="60"/>
    <x v="6"/>
    <s v="SERRANO GARRIDO GIOVANNA DEL ROCIO"/>
    <s v="001-001-000000225"/>
    <s v="Directo"/>
    <x v="138"/>
    <n v="20.34"/>
    <x v="149"/>
    <n v="602.32243519999997"/>
    <n v="60.232435199999998"/>
    <n v="542.09"/>
    <n v="405.78300000000002"/>
    <n v="19.95"/>
    <n v="1"/>
    <n v="20.34"/>
    <n v="136.30700000000002"/>
  </r>
  <r>
    <x v="209"/>
    <x v="6"/>
    <s v="SERRANO GARRIDO GIOVANNA DEL ROCIO"/>
    <s v="001-001-000000219"/>
    <s v="Directo"/>
    <x v="138"/>
    <n v="8.57"/>
    <x v="150"/>
    <n v="264.53319040000002"/>
    <n v="26.4531904"/>
    <n v="238.08"/>
    <n v="178.29884999999999"/>
    <n v="20.804999999999996"/>
    <n v="1"/>
    <n v="8.57"/>
    <n v="59.781150000000025"/>
  </r>
  <r>
    <x v="209"/>
    <x v="6"/>
    <s v="SERRANO GARRIDO GIOVANNA DEL ROCIO"/>
    <s v="001-001-000000219"/>
    <s v="Directo"/>
    <x v="138"/>
    <n v="15.71"/>
    <x v="151"/>
    <n v="484.92237119999999"/>
    <n v="48.492371200000001"/>
    <n v="436.43"/>
    <n v="326.84654999999998"/>
    <n v="20.804999999999996"/>
    <n v="1"/>
    <n v="15.71"/>
    <n v="109.58345000000003"/>
  </r>
  <r>
    <x v="233"/>
    <x v="6"/>
    <s v="ANDRADE CHECA DIANA LUCIA"/>
    <s v="001-001-000000401"/>
    <s v="Directo"/>
    <x v="148"/>
    <n v="335"/>
    <x v="152"/>
    <n v="12204.05"/>
    <n v="2440.81"/>
    <n v="9763.24"/>
    <n v="7638"/>
    <n v="22.8"/>
    <n v="1"/>
    <n v="335"/>
    <n v="2125.2399999999998"/>
  </r>
  <r>
    <x v="209"/>
    <x v="6"/>
    <s v="SERRANO GARRIDO GIOVANNA DEL ROCIO"/>
    <s v="001-001-000000219"/>
    <s v="Directo"/>
    <x v="138"/>
    <n v="89.96"/>
    <x v="153"/>
    <n v="3050.8667456000003"/>
    <n v="305.08674559999997"/>
    <n v="2745.78"/>
    <n v="1871.6178"/>
    <n v="20.805"/>
    <n v="1"/>
    <n v="89.96"/>
    <n v="874.16220000000021"/>
  </r>
  <r>
    <x v="321"/>
    <x v="6"/>
    <s v="SERRANO GARRIDO GIOVANNA DEL ROCIO"/>
    <s v="001-001-000000191"/>
    <s v="Directo"/>
    <x v="214"/>
    <n v="34.270000000000003"/>
    <x v="154"/>
    <n v="1162.44192"/>
    <n v="58.121920000000003"/>
    <n v="1104.32"/>
    <n v="712.96305256999995"/>
    <n v="20.804290999999996"/>
    <n v="1"/>
    <n v="34.270000000000003"/>
    <n v="391.35694742999999"/>
  </r>
  <r>
    <x v="321"/>
    <x v="6"/>
    <s v="SERRANO GARRIDO GIOVANNA DEL ROCIO"/>
    <s v="001-001-000000192"/>
    <s v="Directo"/>
    <x v="214"/>
    <n v="2.86"/>
    <x v="154"/>
    <n v="97.010559999999998"/>
    <n v="4.8505599999999998"/>
    <n v="92.16"/>
    <n v="59.500272260000003"/>
    <n v="20.804291000000003"/>
    <n v="1"/>
    <n v="2.86"/>
    <n v="32.659727739999994"/>
  </r>
  <r>
    <x v="209"/>
    <x v="6"/>
    <s v="SERRANO GARRIDO GIOVANNA DEL ROCIO"/>
    <s v="001-001-000000219"/>
    <s v="Directo"/>
    <x v="138"/>
    <n v="22.6"/>
    <x v="155"/>
    <n v="669.25492800000006"/>
    <n v="66.924927999999994"/>
    <n v="602.33000000000004"/>
    <n v="450.87"/>
    <n v="19.95"/>
    <n v="1"/>
    <n v="22.6"/>
    <n v="151.46000000000004"/>
  </r>
  <r>
    <x v="209"/>
    <x v="6"/>
    <s v="SERRANO GARRIDO GIOVANNA DEL ROCIO"/>
    <s v="001-001-000000219"/>
    <s v="Directo"/>
    <x v="138"/>
    <n v="14.8"/>
    <x v="156"/>
    <n v="503.57788800000003"/>
    <n v="50.357888000000003"/>
    <n v="453.22"/>
    <n v="338.846"/>
    <n v="22.895"/>
    <n v="1"/>
    <n v="14.8"/>
    <n v="114.37400000000002"/>
  </r>
  <r>
    <x v="212"/>
    <x v="6"/>
    <s v="SERRANO GARRIDO GIOVANNA DEL ROCIO"/>
    <s v="001-001-000000203"/>
    <s v="Directo"/>
    <x v="215"/>
    <n v="45.2"/>
    <x v="157"/>
    <n v="1200.9563999999998"/>
    <n v="120.0964"/>
    <n v="1080.8599999999999"/>
    <n v="807.27200000000005"/>
    <n v="17.86"/>
    <n v="1"/>
    <n v="45.2"/>
    <n v="273.58799999999985"/>
  </r>
  <r>
    <x v="209"/>
    <x v="6"/>
    <s v="SERRANO GARRIDO GIOVANNA DEL ROCIO"/>
    <s v="001-001-000000219"/>
    <s v="Directo"/>
    <x v="138"/>
    <n v="5.59"/>
    <x v="158"/>
    <n v="156.76704319999999"/>
    <n v="15.6770432"/>
    <n v="141.09"/>
    <n v="105.67895"/>
    <n v="18.905000000000001"/>
    <n v="1"/>
    <n v="5.59"/>
    <n v="35.411050000000003"/>
  </r>
  <r>
    <x v="34"/>
    <x v="10"/>
    <s v="OFICINA"/>
    <s v="001-001-000000042"/>
    <s v="Constructores"/>
    <x v="216"/>
    <n v="9.1199999999999992"/>
    <x v="159"/>
    <n v="446.88"/>
    <n v="111.72"/>
    <n v="335.16"/>
    <n v="69.129599999999996"/>
    <n v="7.58"/>
    <n v="1"/>
    <n v="9.1199999999999992"/>
    <n v="266.03040000000004"/>
  </r>
  <r>
    <x v="215"/>
    <x v="10"/>
    <s v="SERRANO GARRIDO GIOVANNA DEL ROCIO"/>
    <s v="001-001-000000142"/>
    <s v="Constructores"/>
    <x v="216"/>
    <n v="167.04"/>
    <x v="159"/>
    <n v="8184.9639999999999"/>
    <n v="1227.7439999999999"/>
    <n v="6957.22"/>
    <n v="1000.5470496"/>
    <n v="5.9898650000000009"/>
    <n v="1"/>
    <n v="167.04"/>
    <n v="5956.6729504000004"/>
  </r>
  <r>
    <x v="71"/>
    <x v="10"/>
    <s v="MOPOSITA GUITARRA ENMA PATRICIA"/>
    <s v="001-001-000000253"/>
    <s v="Directo"/>
    <x v="55"/>
    <n v="10"/>
    <x v="159"/>
    <n v="490"/>
    <n v="147"/>
    <n v="343"/>
    <n v="56.549509999999998"/>
    <n v="5.6549509999999996"/>
    <n v="1"/>
    <n v="10"/>
    <n v="286.45049"/>
  </r>
  <r>
    <x v="314"/>
    <x v="10"/>
    <s v="MOPOSITA GUITARRA ENMA PATRICIA"/>
    <s v="001-001-000000264"/>
    <s v="Directo"/>
    <x v="55"/>
    <n v="1"/>
    <x v="159"/>
    <n v="49.484000000000002"/>
    <n v="14.843999999999999"/>
    <n v="34.64"/>
    <n v="5.6916890000000002"/>
    <n v="5.6916890000000002"/>
    <n v="1"/>
    <n v="1"/>
    <n v="28.948311"/>
  </r>
  <r>
    <x v="391"/>
    <x v="10"/>
    <s v="MOPOSITA GUITARRA ENMA PATRICIA"/>
    <s v="001-001-000000270"/>
    <s v="Directo"/>
    <x v="217"/>
    <n v="31.2"/>
    <x v="159"/>
    <n v="1543.7752"/>
    <n v="308.7552"/>
    <n v="1235.02"/>
    <n v="177.5806968"/>
    <n v="5.6916890000000002"/>
    <n v="1"/>
    <n v="31.2"/>
    <n v="1057.4393032"/>
  </r>
  <r>
    <x v="77"/>
    <x v="10"/>
    <s v="ANDRADE CHECA DIANA LUCIA"/>
    <s v="001-001-000000280"/>
    <s v="Directo"/>
    <x v="61"/>
    <n v="12"/>
    <x v="159"/>
    <n v="593.76"/>
    <n v="0"/>
    <n v="593.76"/>
    <n v="67.382244"/>
    <n v="5.6151869999999997"/>
    <n v="1"/>
    <n v="12"/>
    <n v="526.37775599999998"/>
  </r>
  <r>
    <x v="15"/>
    <x v="10"/>
    <s v="MOPOSITA GUITARRA ENMA PATRICIA"/>
    <s v="001-001-000000428"/>
    <s v="Directo"/>
    <x v="61"/>
    <n v="1.44"/>
    <x v="159"/>
    <n v="71.252560000000003"/>
    <n v="3.5625599999999999"/>
    <n v="67.69"/>
    <n v="7.5899995200000001"/>
    <n v="5.2708330000000005"/>
    <n v="1"/>
    <n v="1.44"/>
    <n v="60.100000479999999"/>
  </r>
  <r>
    <x v="392"/>
    <x v="10"/>
    <s v="MOPOSITA GUITARRA ENMA PATRICIA"/>
    <s v="001-001-000000507"/>
    <s v="Constructores"/>
    <x v="216"/>
    <n v="231.36"/>
    <x v="159"/>
    <n v="11447.692416000002"/>
    <n v="2518.492416"/>
    <n v="8929.2000000000007"/>
    <n v="1220.89296672"/>
    <n v="5.2770269999999995"/>
    <n v="1"/>
    <n v="231.36"/>
    <n v="7708.3070332800007"/>
  </r>
  <r>
    <x v="288"/>
    <x v="10"/>
    <s v="JULIO VASQUEZ"/>
    <s v="001-001-000000576"/>
    <s v="Constructores"/>
    <x v="216"/>
    <n v="100.32"/>
    <x v="159"/>
    <n v="4963.8333920000005"/>
    <n v="1092.043392"/>
    <n v="3871.79"/>
    <n v="540.44049312000004"/>
    <n v="5.3871660000000006"/>
    <n v="1"/>
    <n v="100.32"/>
    <n v="3331.3495068799998"/>
  </r>
  <r>
    <x v="202"/>
    <x v="10"/>
    <s v="OFICINA"/>
    <s v="001-001-000000756"/>
    <s v="Constructores"/>
    <x v="216"/>
    <n v="10.4"/>
    <x v="159"/>
    <n v="514.59023999999999"/>
    <n v="113.21024"/>
    <n v="401.38"/>
    <n v="44.849615200000002"/>
    <n v="4.3124630000000002"/>
    <n v="1"/>
    <n v="10.4"/>
    <n v="356.53038479999998"/>
  </r>
  <r>
    <x v="32"/>
    <x v="10"/>
    <s v="OFICINA"/>
    <s v="001-001-000000040"/>
    <s v="Directo"/>
    <x v="16"/>
    <n v="5.0599999999999996"/>
    <x v="160"/>
    <n v="247.94400000000002"/>
    <n v="24.794"/>
    <n v="223.15"/>
    <n v="40.505299999999998"/>
    <n v="8.0050000000000008"/>
    <n v="1"/>
    <n v="5.0599999999999996"/>
    <n v="182.6447"/>
  </r>
  <r>
    <x v="393"/>
    <x v="10"/>
    <s v="MOPOSITA GUITARRA ENMA PATRICIA"/>
    <s v="001-001-000000289"/>
    <s v="Distribuidores"/>
    <x v="21"/>
    <n v="3.5"/>
    <x v="160"/>
    <n v="173.18299999999999"/>
    <n v="60.613"/>
    <n v="112.57"/>
    <n v="27.977032999999999"/>
    <n v="7.9934379999999994"/>
    <n v="1"/>
    <n v="3.5"/>
    <n v="84.592966999999987"/>
  </r>
  <r>
    <x v="394"/>
    <x v="10"/>
    <s v="ANDRADE CHECA DIANA LUCIA"/>
    <s v="001-001-000000364"/>
    <s v="Arquitectos"/>
    <x v="129"/>
    <n v="0.75"/>
    <x v="160"/>
    <n v="37.11"/>
    <n v="0"/>
    <n v="37.11"/>
    <n v="5.9956079999999998"/>
    <n v="7.9941439999999995"/>
    <n v="1"/>
    <n v="0.75"/>
    <n v="31.114391999999999"/>
  </r>
  <r>
    <x v="263"/>
    <x v="10"/>
    <s v="MOPOSITA GUITARRA ENMA PATRICIA"/>
    <s v="001-001-000000407"/>
    <s v="Distribuidores"/>
    <x v="21"/>
    <n v="1.01"/>
    <x v="160"/>
    <n v="49.971179999999997"/>
    <n v="17.49118"/>
    <n v="32.479999999999997"/>
    <n v="8.1312585100000003"/>
    <n v="8.050751"/>
    <n v="1"/>
    <n v="1.01"/>
    <n v="24.348741489999995"/>
  </r>
  <r>
    <x v="263"/>
    <x v="10"/>
    <s v="MOPOSITA GUITARRA ENMA PATRICIA"/>
    <s v="001-001-000000406"/>
    <s v="Distribuidores"/>
    <x v="21"/>
    <n v="1.01"/>
    <x v="160"/>
    <n v="49.971179999999997"/>
    <n v="17.49118"/>
    <n v="32.479999999999997"/>
    <n v="8.1312585100000003"/>
    <n v="8.050751"/>
    <n v="1"/>
    <n v="1.01"/>
    <n v="24.348741489999995"/>
  </r>
  <r>
    <x v="293"/>
    <x v="10"/>
    <s v="OFICINA"/>
    <s v="001-001-000000468"/>
    <s v="Directo"/>
    <x v="218"/>
    <n v="0.7"/>
    <x v="160"/>
    <n v="34.643599999999999"/>
    <n v="3.4636"/>
    <n v="31.18"/>
    <n v="5.6599003999999997"/>
    <n v="8.0855720000000009"/>
    <n v="1"/>
    <n v="0.7"/>
    <n v="25.520099600000002"/>
  </r>
  <r>
    <x v="115"/>
    <x v="10"/>
    <s v="OFICINA"/>
    <s v="001-001-000000546"/>
    <s v="Directo"/>
    <x v="96"/>
    <n v="5"/>
    <x v="160"/>
    <n v="247.4"/>
    <n v="74.22"/>
    <n v="173.18"/>
    <n v="40.478864999999999"/>
    <n v="8.0957729999999994"/>
    <n v="1"/>
    <n v="5"/>
    <n v="132.70113500000002"/>
  </r>
  <r>
    <x v="226"/>
    <x v="10"/>
    <s v="OFICINA"/>
    <s v="001-001-000000592"/>
    <s v="Distribuidores"/>
    <x v="21"/>
    <n v="1.77"/>
    <x v="160"/>
    <n v="87.582859999999997"/>
    <n v="30.65286"/>
    <n v="56.93"/>
    <n v="13.86648975"/>
    <n v="7.8341749999999992"/>
    <n v="1"/>
    <n v="1.77"/>
    <n v="43.06351025"/>
  </r>
  <r>
    <x v="237"/>
    <x v="10"/>
    <s v="OFICINA"/>
    <s v="001-001-000000669"/>
    <s v="Distribuidores"/>
    <x v="21"/>
    <n v="13.92"/>
    <x v="160"/>
    <n v="688.76271999999994"/>
    <n v="309.94272000000001"/>
    <n v="378.82"/>
    <n v="103.48424496"/>
    <n v="7.4342129999999997"/>
    <n v="1"/>
    <n v="13.92"/>
    <n v="275.33575503999998"/>
  </r>
  <r>
    <x v="273"/>
    <x v="10"/>
    <s v="OFICINA"/>
    <s v="001-001-000000746"/>
    <s v="Directo"/>
    <x v="118"/>
    <n v="33.17"/>
    <x v="160"/>
    <n v="1641.2529"/>
    <n v="410.31290000000001"/>
    <n v="1230.94"/>
    <n v="245.93266270000001"/>
    <n v="7.4143099999999995"/>
    <n v="1"/>
    <n v="33.17"/>
    <n v="985.00733730000002"/>
  </r>
  <r>
    <x v="148"/>
    <x v="10"/>
    <s v="OFICINA"/>
    <s v="001-001-000000791"/>
    <s v="Distribuidores"/>
    <x v="20"/>
    <n v="13.16"/>
    <x v="160"/>
    <n v="651.16056000000003"/>
    <n v="293.02055999999999"/>
    <n v="358.14"/>
    <n v="88.398562560000002"/>
    <n v="6.7172160000000005"/>
    <n v="1"/>
    <n v="13.16"/>
    <n v="269.74143743999997"/>
  </r>
  <r>
    <x v="32"/>
    <x v="10"/>
    <s v="OFICINA"/>
    <s v="001-001-000000040"/>
    <s v="Directo"/>
    <x v="16"/>
    <n v="5.0599999999999996"/>
    <x v="161"/>
    <n v="247.94400000000002"/>
    <n v="24.794"/>
    <n v="223.15"/>
    <n v="37.762435920000001"/>
    <n v="7.4629320000000012"/>
    <n v="1"/>
    <n v="5.0599999999999996"/>
    <n v="185.38756408"/>
  </r>
  <r>
    <x v="173"/>
    <x v="10"/>
    <s v="SERRANO GARRIDO GIOVANNA DEL ROCIO"/>
    <s v="001-001-000000095"/>
    <s v="Distribuidores"/>
    <x v="20"/>
    <n v="1.01"/>
    <x v="161"/>
    <n v="49.491500000000002"/>
    <n v="17.3215"/>
    <n v="32.17"/>
    <n v="7.53756132"/>
    <n v="7.4629320000000003"/>
    <n v="1"/>
    <n v="1.01"/>
    <n v="24.63243868"/>
  </r>
  <r>
    <x v="393"/>
    <x v="10"/>
    <s v="MOPOSITA GUITARRA ENMA PATRICIA"/>
    <s v="001-001-000000289"/>
    <s v="Distribuidores"/>
    <x v="21"/>
    <n v="3.5"/>
    <x v="161"/>
    <n v="173.18299999999999"/>
    <n v="60.613"/>
    <n v="112.57"/>
    <n v="24.290878500000002"/>
    <n v="6.9402510000000008"/>
    <n v="1"/>
    <n v="3.5"/>
    <n v="88.279121499999988"/>
  </r>
  <r>
    <x v="394"/>
    <x v="10"/>
    <s v="ANDRADE CHECA DIANA LUCIA"/>
    <s v="001-001-000000364"/>
    <s v="Arquitectos"/>
    <x v="129"/>
    <n v="0.25"/>
    <x v="161"/>
    <n v="12.37"/>
    <n v="0"/>
    <n v="12.37"/>
    <n v="1.7375"/>
    <n v="6.95"/>
    <n v="1"/>
    <n v="0.25"/>
    <n v="10.632499999999999"/>
  </r>
  <r>
    <x v="263"/>
    <x v="10"/>
    <s v="MOPOSITA GUITARRA ENMA PATRICIA"/>
    <s v="001-001-000000407"/>
    <s v="Distribuidores"/>
    <x v="21"/>
    <n v="1.01"/>
    <x v="161"/>
    <n v="49.971179999999997"/>
    <n v="17.49118"/>
    <n v="32.479999999999997"/>
    <n v="8.2160257899999998"/>
    <n v="8.1346790000000002"/>
    <n v="1"/>
    <n v="1.01"/>
    <n v="24.263974209999997"/>
  </r>
  <r>
    <x v="263"/>
    <x v="10"/>
    <s v="MOPOSITA GUITARRA ENMA PATRICIA"/>
    <s v="001-001-000000406"/>
    <s v="Distribuidores"/>
    <x v="21"/>
    <n v="1.07"/>
    <x v="161"/>
    <n v="52.940259999999995"/>
    <n v="18.530259999999998"/>
    <n v="34.409999999999997"/>
    <n v="8.7041065300000007"/>
    <n v="8.1346790000000002"/>
    <n v="1"/>
    <n v="1.07"/>
    <n v="25.705893469999996"/>
  </r>
  <r>
    <x v="293"/>
    <x v="10"/>
    <s v="OFICINA"/>
    <s v="001-001-000000468"/>
    <s v="Directo"/>
    <x v="218"/>
    <n v="0.3"/>
    <x v="161"/>
    <n v="14.8444"/>
    <n v="1.4843999999999999"/>
    <n v="13.36"/>
    <n v="2.0539367999999998"/>
    <n v="6.8464559999999999"/>
    <n v="1"/>
    <n v="0.3"/>
    <n v="11.306063200000001"/>
  </r>
  <r>
    <x v="115"/>
    <x v="10"/>
    <s v="OFICINA"/>
    <s v="001-001-000000546"/>
    <s v="Directo"/>
    <x v="96"/>
    <n v="8.4"/>
    <x v="161"/>
    <n v="415.62959999999998"/>
    <n v="124.6896"/>
    <n v="290.94"/>
    <n v="59.757137999999998"/>
    <n v="7.1139449999999993"/>
    <n v="1"/>
    <n v="8.4"/>
    <n v="231.182862"/>
  </r>
  <r>
    <x v="237"/>
    <x v="10"/>
    <s v="OFICINA"/>
    <s v="001-001-000000669"/>
    <s v="Distribuidores"/>
    <x v="21"/>
    <n v="13.92"/>
    <x v="161"/>
    <n v="688.76271999999994"/>
    <n v="309.94272000000001"/>
    <n v="378.82"/>
    <n v="120.70721039999999"/>
    <n v="8.6714950000000002"/>
    <n v="1"/>
    <n v="13.92"/>
    <n v="258.11278959999999"/>
  </r>
  <r>
    <x v="273"/>
    <x v="10"/>
    <s v="OFICINA"/>
    <s v="001-001-000000746"/>
    <s v="Directo"/>
    <x v="118"/>
    <n v="33.11"/>
    <x v="161"/>
    <n v="1638.2807"/>
    <n v="409.57069999999999"/>
    <n v="1228.71"/>
    <n v="297.18502968000001"/>
    <n v="8.9756879999999999"/>
    <n v="1"/>
    <n v="33.11"/>
    <n v="931.52497031999997"/>
  </r>
  <r>
    <x v="183"/>
    <x v="10"/>
    <s v="OFICINA"/>
    <s v="001-001-000000783"/>
    <s v="Distribuidores"/>
    <x v="21"/>
    <n v="4.8099999999999996"/>
    <x v="161"/>
    <n v="237.99964"/>
    <n v="71.399640000000005"/>
    <n v="166.6"/>
    <n v="52.002021110000001"/>
    <n v="10.811231000000001"/>
    <n v="1"/>
    <n v="4.8099999999999996"/>
    <n v="114.59797888999999"/>
  </r>
  <r>
    <x v="301"/>
    <x v="10"/>
    <s v="OFICINA"/>
    <s v="001-001-000000786"/>
    <s v="Distribuidores"/>
    <x v="21"/>
    <n v="0.51"/>
    <x v="161"/>
    <n v="25.230440000000002"/>
    <n v="7.5704399999999996"/>
    <n v="17.66"/>
    <n v="5.5137278099999998"/>
    <n v="10.811230999999999"/>
    <n v="1"/>
    <n v="0.51"/>
    <n v="12.146272190000001"/>
  </r>
  <r>
    <x v="148"/>
    <x v="10"/>
    <s v="OFICINA"/>
    <s v="001-001-000000791"/>
    <s v="Distribuidores"/>
    <x v="20"/>
    <n v="9.8699999999999992"/>
    <x v="161"/>
    <n v="488.36542000000003"/>
    <n v="219.76542000000001"/>
    <n v="268.60000000000002"/>
    <n v="106.70684996999999"/>
    <n v="10.811230999999999"/>
    <n v="1"/>
    <n v="9.8699999999999992"/>
    <n v="161.89315003000002"/>
  </r>
  <r>
    <x v="395"/>
    <x v="10"/>
    <s v="OFICINA"/>
    <s v="001-001-000000827"/>
    <s v="Distribuidores"/>
    <x v="21"/>
    <n v="0.76"/>
    <x v="161"/>
    <n v="37.601439999999997"/>
    <n v="11.28144"/>
    <n v="26.32"/>
    <n v="8.26690608"/>
    <n v="10.877508000000001"/>
    <n v="1"/>
    <n v="0.76"/>
    <n v="18.053093920000002"/>
  </r>
  <r>
    <x v="217"/>
    <x v="8"/>
    <s v="MOPOSITA GUITARRA ENMA PATRICIA"/>
    <s v="001-001-000000247"/>
    <s v="Distribuidores"/>
    <x v="20"/>
    <n v="18"/>
    <x v="162"/>
    <n v="270"/>
    <n v="94.5"/>
    <n v="175.5"/>
    <n v="34.210008000000002"/>
    <n v="1.9005560000000001"/>
    <n v="7.0000000000000007E-2"/>
    <n v="1.2600000000000002"/>
    <n v="141.28999199999998"/>
  </r>
  <r>
    <x v="157"/>
    <x v="8"/>
    <s v="OFICINA"/>
    <s v="001-001-000000858"/>
    <s v="Distribuidores"/>
    <x v="122"/>
    <n v="30"/>
    <x v="162"/>
    <n v="476.40000000000003"/>
    <n v="166.74"/>
    <n v="309.66000000000003"/>
    <n v="37.542870000000001"/>
    <n v="1.2514290000000001"/>
    <n v="7.0000000000000007E-2"/>
    <n v="2.1"/>
    <n v="272.11713000000003"/>
  </r>
  <r>
    <x v="207"/>
    <x v="8"/>
    <s v="OFICINA"/>
    <s v="001-001-000000903"/>
    <s v="Distribuidores"/>
    <x v="149"/>
    <n v="24"/>
    <x v="162"/>
    <n v="381.11599999999999"/>
    <n v="114.336"/>
    <n v="266.77999999999997"/>
    <n v="28.536000000000001"/>
    <n v="1.1890000000000001"/>
    <n v="7.0000000000000007E-2"/>
    <n v="1.6800000000000002"/>
    <n v="238.24399999999997"/>
  </r>
  <r>
    <x v="396"/>
    <x v="8"/>
    <s v="SERRANO GARRIDO GIOVANNA DEL ROCIO"/>
    <s v="001-001-000000016"/>
    <s v="Distribuidores"/>
    <x v="20"/>
    <n v="2"/>
    <x v="163"/>
    <n v="30"/>
    <n v="10.5"/>
    <n v="19.5"/>
    <n v="3.02"/>
    <n v="1.51"/>
    <n v="7.0000000000000007E-2"/>
    <n v="0.14000000000000001"/>
    <n v="16.48"/>
  </r>
  <r>
    <x v="216"/>
    <x v="8"/>
    <s v="MOPOSITA GUITARRA ENMA PATRICIA"/>
    <s v="001-001-000000214"/>
    <s v="Constructores"/>
    <x v="144"/>
    <n v="121"/>
    <x v="163"/>
    <n v="1815"/>
    <n v="0"/>
    <n v="1815"/>
    <n v="182.71"/>
    <n v="1.51"/>
    <n v="7.0000000000000007E-2"/>
    <n v="8.4700000000000006"/>
    <n v="1632.29"/>
  </r>
  <r>
    <x v="254"/>
    <x v="8"/>
    <s v="MOPOSITA GUITARRA ENMA PATRICIA"/>
    <s v="001-001-000000229"/>
    <s v="Constructores"/>
    <x v="144"/>
    <n v="100"/>
    <x v="163"/>
    <n v="1500"/>
    <n v="0"/>
    <n v="1500"/>
    <n v="117.0746"/>
    <n v="1.1707460000000001"/>
    <n v="7.0000000000000007E-2"/>
    <n v="7.0000000000000009"/>
    <n v="1382.9254000000001"/>
  </r>
  <r>
    <x v="220"/>
    <x v="8"/>
    <s v="MOPOSITA GUITARRA ENMA PATRICIA"/>
    <s v="001-001-000000381"/>
    <s v="Distribuidores"/>
    <x v="20"/>
    <n v="60"/>
    <x v="163"/>
    <n v="952.80000000000007"/>
    <n v="333.48"/>
    <n v="619.32000000000005"/>
    <n v="72.787559999999999"/>
    <n v="1.2131259999999999"/>
    <n v="7.0000000000000007E-2"/>
    <n v="4.2"/>
    <n v="546.53244000000007"/>
  </r>
  <r>
    <x v="220"/>
    <x v="8"/>
    <s v="MOPOSITA GUITARRA ENMA PATRICIA"/>
    <s v="001-001-000000382"/>
    <s v="Distribuidores"/>
    <x v="20"/>
    <n v="9"/>
    <x v="163"/>
    <n v="142.9212"/>
    <n v="51.4512"/>
    <n v="91.47"/>
    <n v="10.918134"/>
    <n v="1.2131259999999999"/>
    <n v="7.0000000000000007E-2"/>
    <n v="0.63000000000000012"/>
    <n v="80.551866000000004"/>
  </r>
  <r>
    <x v="397"/>
    <x v="8"/>
    <s v="MOPOSITA GUITARRA ENMA PATRICIA"/>
    <s v="001-001-000000437"/>
    <s v="Distribuidores"/>
    <x v="20"/>
    <n v="23"/>
    <x v="163"/>
    <n v="365.24400000000003"/>
    <n v="127.834"/>
    <n v="237.41"/>
    <n v="31.554642999999999"/>
    <n v="1.3719409999999999"/>
    <n v="7.0000000000000007E-2"/>
    <n v="1.61"/>
    <n v="205.855357"/>
  </r>
  <r>
    <x v="187"/>
    <x v="8"/>
    <s v="MOPOSITA GUITARRA ENMA PATRICIA"/>
    <s v="001-001-000000442"/>
    <s v="Distribuidores"/>
    <x v="20"/>
    <n v="23"/>
    <x v="163"/>
    <n v="365.24400000000003"/>
    <n v="127.834"/>
    <n v="237.41"/>
    <n v="32.982529"/>
    <n v="1.434023"/>
    <n v="7.0000000000000007E-2"/>
    <n v="1.61"/>
    <n v="204.427471"/>
  </r>
  <r>
    <x v="221"/>
    <x v="8"/>
    <s v="MOPOSITA GUITARRA ENMA PATRICIA"/>
    <s v="001-001-000000447"/>
    <s v="Directo"/>
    <x v="145"/>
    <n v="18"/>
    <x v="163"/>
    <n v="285.84039999999999"/>
    <n v="88.610399999999998"/>
    <n v="197.23"/>
    <n v="26.534790000000001"/>
    <n v="1.4741550000000001"/>
    <n v="7.0000000000000007E-2"/>
    <n v="1.2600000000000002"/>
    <n v="170.69520999999997"/>
  </r>
  <r>
    <x v="49"/>
    <x v="8"/>
    <s v="SERRANO GARRIDO GIOVANNA DEL ROCIO"/>
    <s v="001-001-000000158"/>
    <s v="Distribuidores"/>
    <x v="20"/>
    <n v="34"/>
    <x v="164"/>
    <n v="510"/>
    <n v="178.5"/>
    <n v="331.5"/>
    <n v="46.758091999999998"/>
    <n v="1.375238"/>
    <n v="7.0000000000000007E-2"/>
    <n v="2.3800000000000003"/>
    <n v="284.74190800000002"/>
  </r>
  <r>
    <x v="398"/>
    <x v="8"/>
    <s v="SERRANO GARRIDO GIOVANNA DEL ROCIO"/>
    <s v="001-001-000000109"/>
    <s v="Distribuidores"/>
    <x v="20"/>
    <n v="12"/>
    <x v="165"/>
    <n v="180"/>
    <n v="63"/>
    <n v="117"/>
    <n v="10.383528"/>
    <n v="0.86529400000000001"/>
    <n v="7.0000000000000007E-2"/>
    <n v="0.84000000000000008"/>
    <n v="106.616472"/>
  </r>
  <r>
    <x v="398"/>
    <x v="8"/>
    <s v="SERRANO GARRIDO GIOVANNA DEL ROCIO"/>
    <s v="001-001-000000110"/>
    <s v="Distribuidores"/>
    <x v="20"/>
    <n v="12"/>
    <x v="165"/>
    <n v="180"/>
    <n v="63"/>
    <n v="117"/>
    <n v="10.383528"/>
    <n v="0.86529400000000001"/>
    <n v="7.0000000000000007E-2"/>
    <n v="0.84000000000000008"/>
    <n v="106.616472"/>
  </r>
  <r>
    <x v="398"/>
    <x v="8"/>
    <s v="SERRANO GARRIDO GIOVANNA DEL ROCIO"/>
    <s v="001-001-000000111"/>
    <s v="Distribuidores"/>
    <x v="20"/>
    <n v="18"/>
    <x v="165"/>
    <n v="270"/>
    <n v="94.5"/>
    <n v="175.5"/>
    <n v="15.575291999999999"/>
    <n v="0.86529400000000001"/>
    <n v="7.0000000000000007E-2"/>
    <n v="1.2600000000000002"/>
    <n v="159.92470800000001"/>
  </r>
  <r>
    <x v="222"/>
    <x v="8"/>
    <s v="MOPOSITA GUITARRA ENMA PATRICIA"/>
    <s v="001-001-000000516"/>
    <s v="Distribuidores"/>
    <x v="20"/>
    <n v="26"/>
    <x v="165"/>
    <n v="412.87800000000004"/>
    <n v="144.50800000000001"/>
    <n v="268.37"/>
    <n v="21.553349999999998"/>
    <n v="0.82897499999999991"/>
    <n v="7.0000000000000007E-2"/>
    <n v="1.8200000000000003"/>
    <n v="246.81665000000001"/>
  </r>
  <r>
    <x v="234"/>
    <x v="8"/>
    <s v="MOPOSITA GUITARRA ENMA PATRICIA"/>
    <s v="001-001-000000529"/>
    <s v="Distribuidores"/>
    <x v="20"/>
    <n v="41"/>
    <x v="165"/>
    <n v="651.07799999999997"/>
    <n v="227.87799999999999"/>
    <n v="423.2"/>
    <n v="34.229013999999999"/>
    <n v="0.83485399999999998"/>
    <n v="7.0000000000000007E-2"/>
    <n v="2.87"/>
    <n v="388.97098599999998"/>
  </r>
  <r>
    <x v="238"/>
    <x v="8"/>
    <s v="OFICINA"/>
    <s v="001-001-000000727"/>
    <s v="Distribuidores"/>
    <x v="20"/>
    <n v="10"/>
    <x v="165"/>
    <n v="158.80000000000001"/>
    <n v="71.459999999999994"/>
    <n v="87.34"/>
    <n v="8.3414099999999998"/>
    <n v="0.83414100000000002"/>
    <n v="7.0000000000000007E-2"/>
    <n v="0.70000000000000007"/>
    <n v="78.998590000000007"/>
  </r>
  <r>
    <x v="243"/>
    <x v="8"/>
    <s v="OFICINA"/>
    <s v="001-001-000000895"/>
    <s v="Distribuidores"/>
    <x v="20"/>
    <n v="46"/>
    <x v="165"/>
    <n v="730.476"/>
    <n v="328.71600000000001"/>
    <n v="401.76"/>
    <n v="38.066518000000002"/>
    <n v="0.82753300000000007"/>
    <n v="7.0000000000000007E-2"/>
    <n v="3.22"/>
    <n v="363.69348200000002"/>
  </r>
  <r>
    <x v="109"/>
    <x v="8"/>
    <s v="MOPOSITA GUITARRA ENMA PATRICIA"/>
    <s v="001-001-000000496"/>
    <s v="Directo"/>
    <x v="93"/>
    <n v="90"/>
    <x v="166"/>
    <n v="1789.2"/>
    <n v="626.22"/>
    <n v="1162.98"/>
    <n v="87.66"/>
    <n v="0.97399999999999998"/>
    <n v="0.125"/>
    <n v="11.25"/>
    <n v="1075.32"/>
  </r>
  <r>
    <x v="399"/>
    <x v="8"/>
    <s v="MOPOSITA GUITARRA ENMA PATRICIA"/>
    <s v="001-001-000000504"/>
    <s v="Directo"/>
    <x v="93"/>
    <n v="2"/>
    <x v="166"/>
    <n v="39.756"/>
    <n v="13.916"/>
    <n v="25.84"/>
    <n v="2.1859999999999999"/>
    <n v="1.093"/>
    <n v="0.125"/>
    <n v="0.25"/>
    <n v="23.654"/>
  </r>
  <r>
    <x v="11"/>
    <x v="8"/>
    <s v="ANDRADE CHECA DIANA LUCIA"/>
    <s v="001-001-000000350"/>
    <s v="Directo"/>
    <x v="65"/>
    <n v="6"/>
    <x v="167"/>
    <n v="119.28"/>
    <n v="0"/>
    <n v="119.28"/>
    <n v="7.8"/>
    <n v="1.3"/>
    <n v="0.125"/>
    <n v="0.75"/>
    <n v="111.48"/>
  </r>
  <r>
    <x v="255"/>
    <x v="8"/>
    <s v="CASTILLO YAQUE SONIA ROXANA"/>
    <s v="001-001-000000470"/>
    <s v="Distribuidores"/>
    <x v="20"/>
    <n v="174"/>
    <x v="167"/>
    <n v="3459.1219999999998"/>
    <n v="1210.692"/>
    <n v="2248.4299999999998"/>
    <n v="216.08450999999999"/>
    <n v="1.241865"/>
    <n v="0.125"/>
    <n v="21.75"/>
    <n v="2032.3454899999999"/>
  </r>
  <r>
    <x v="237"/>
    <x v="8"/>
    <s v="OFICINA"/>
    <s v="001-001-000000669"/>
    <s v="Distribuidores"/>
    <x v="21"/>
    <n v="70"/>
    <x v="168"/>
    <n v="1391.6"/>
    <n v="626.22"/>
    <n v="765.38"/>
    <n v="361.93612000000002"/>
    <n v="5.1705160000000001"/>
    <n v="0.125"/>
    <n v="8.75"/>
    <n v="403.44387999999998"/>
  </r>
  <r>
    <x v="400"/>
    <x v="8"/>
    <s v="OFICINA"/>
    <s v="001-001-000000826"/>
    <s v="Distribuidores"/>
    <x v="128"/>
    <n v="1"/>
    <x v="168"/>
    <n v="19.878"/>
    <n v="6.9580000000000002"/>
    <n v="12.92"/>
    <n v="4.8583869999999996"/>
    <n v="4.8583869999999996"/>
    <n v="0.125"/>
    <n v="0.125"/>
    <n v="8.0616130000000013"/>
  </r>
  <r>
    <x v="37"/>
    <x v="6"/>
    <s v="SERRANO GARRIDO GIOVANNA DEL ROCIO"/>
    <s v="001-001-000000058"/>
    <s v="Arquitectos"/>
    <x v="183"/>
    <n v="1"/>
    <x v="169"/>
    <n v="13"/>
    <n v="0"/>
    <n v="13"/>
    <n v="0"/>
    <n v="0"/>
    <n v="1"/>
    <n v="1"/>
    <n v="13"/>
  </r>
  <r>
    <x v="401"/>
    <x v="15"/>
    <s v="JULIO VASQUEZ"/>
    <s v="001-001-000000050"/>
    <s v="Directo"/>
    <x v="219"/>
    <n v="50"/>
    <x v="170"/>
    <n v="44.64"/>
    <n v="0"/>
    <n v="44.64"/>
    <n v="0.5"/>
    <n v="0.01"/>
    <n v="1"/>
    <n v="50"/>
    <n v="44.14"/>
  </r>
  <r>
    <x v="401"/>
    <x v="15"/>
    <s v="JULIO VASQUEZ"/>
    <s v="001-001-000000051"/>
    <s v="Directo"/>
    <x v="219"/>
    <n v="80"/>
    <x v="170"/>
    <n v="71.430000000000007"/>
    <n v="0"/>
    <n v="71.430000000000007"/>
    <n v="0.8"/>
    <n v="0.01"/>
    <n v="1"/>
    <n v="80"/>
    <n v="70.63000000000001"/>
  </r>
  <r>
    <x v="402"/>
    <x v="15"/>
    <s v="JULIO VASQUEZ"/>
    <s v="001-001-000000053"/>
    <s v="Directo"/>
    <x v="220"/>
    <n v="200"/>
    <x v="170"/>
    <n v="178.57"/>
    <n v="0"/>
    <n v="178.57"/>
    <n v="2"/>
    <n v="0.01"/>
    <n v="1"/>
    <n v="200"/>
    <n v="176.57"/>
  </r>
  <r>
    <x v="39"/>
    <x v="15"/>
    <s v="JULIO VASQUEZ"/>
    <s v="001-001-000000066"/>
    <s v="Directo"/>
    <x v="221"/>
    <n v="33"/>
    <x v="170"/>
    <n v="29.46"/>
    <n v="0"/>
    <n v="29.46"/>
    <n v="0.33"/>
    <n v="0.01"/>
    <n v="1"/>
    <n v="33"/>
    <n v="29.130000000000003"/>
  </r>
  <r>
    <x v="37"/>
    <x v="10"/>
    <s v="SERRANO GARRIDO GIOVANNA DEL ROCIO"/>
    <s v="001-001-000000060"/>
    <s v="Distribuidores"/>
    <x v="21"/>
    <n v="2.5"/>
    <x v="171"/>
    <n v="122.50274999999999"/>
    <n v="42.862749999999998"/>
    <n v="79.64"/>
    <n v="18.899999999999999"/>
    <n v="7.56"/>
    <n v="1"/>
    <n v="2.5"/>
    <n v="60.74"/>
  </r>
  <r>
    <x v="210"/>
    <x v="10"/>
    <s v="SERRANO GARRIDO GIOVANNA DEL ROCIO"/>
    <s v="001-001-000000079"/>
    <s v="Distribuidores"/>
    <x v="21"/>
    <n v="1"/>
    <x v="171"/>
    <n v="49"/>
    <n v="17.149999999999999"/>
    <n v="31.85"/>
    <n v="7.8533330000000001"/>
    <n v="7.8533330000000001"/>
    <n v="1"/>
    <n v="1"/>
    <n v="23.996667000000002"/>
  </r>
  <r>
    <x v="215"/>
    <x v="10"/>
    <s v="SERRANO GARRIDO GIOVANNA DEL ROCIO"/>
    <s v="001-001-000000136"/>
    <s v="Distribuidores"/>
    <x v="21"/>
    <n v="22"/>
    <x v="171"/>
    <n v="1078"/>
    <n v="377.3"/>
    <n v="700.7"/>
    <n v="190.24799200000001"/>
    <n v="8.6476360000000003"/>
    <n v="1"/>
    <n v="22"/>
    <n v="510.45200800000003"/>
  </r>
  <r>
    <x v="215"/>
    <x v="10"/>
    <s v="SERRANO GARRIDO GIOVANNA DEL ROCIO"/>
    <s v="001-001-000000137"/>
    <s v="Directo"/>
    <x v="222"/>
    <n v="10"/>
    <x v="171"/>
    <n v="490"/>
    <n v="171.5"/>
    <n v="318.5"/>
    <n v="86.47636"/>
    <n v="8.6476360000000003"/>
    <n v="1"/>
    <n v="10"/>
    <n v="232.02364"/>
  </r>
  <r>
    <x v="215"/>
    <x v="10"/>
    <s v="SERRANO GARRIDO GIOVANNA DEL ROCIO"/>
    <s v="001-001-000000141"/>
    <s v="Distribuidores"/>
    <x v="21"/>
    <n v="8"/>
    <x v="171"/>
    <n v="392"/>
    <n v="137.19999999999999"/>
    <n v="254.8"/>
    <n v="69.181088000000003"/>
    <n v="8.6476360000000003"/>
    <n v="1"/>
    <n v="8"/>
    <n v="185.61891200000002"/>
  </r>
  <r>
    <x v="403"/>
    <x v="10"/>
    <s v="SERRANO GARRIDO GIOVANNA DEL ROCIO"/>
    <s v="001-001-000000230"/>
    <s v="Distribuidores"/>
    <x v="21"/>
    <n v="38"/>
    <x v="171"/>
    <n v="1862"/>
    <n v="651.70000000000005"/>
    <n v="1210.3"/>
    <n v="315.59478799999999"/>
    <n v="8.3051259999999996"/>
    <n v="1"/>
    <n v="38"/>
    <n v="894.70521199999996"/>
  </r>
  <r>
    <x v="391"/>
    <x v="10"/>
    <s v="MOPOSITA GUITARRA ENMA PATRICIA"/>
    <s v="001-001-000000270"/>
    <s v="Directo"/>
    <x v="217"/>
    <n v="13"/>
    <x v="171"/>
    <n v="643.23800000000006"/>
    <n v="128.648"/>
    <n v="514.59"/>
    <n v="107.966638"/>
    <n v="8.3051259999999996"/>
    <n v="1"/>
    <n v="13"/>
    <n v="406.62336200000004"/>
  </r>
  <r>
    <x v="178"/>
    <x v="10"/>
    <s v="MOPOSITA GUITARRA ENMA PATRICIA"/>
    <s v="001-001-000000345"/>
    <s v="Distribuidores"/>
    <x v="21"/>
    <n v="4.5"/>
    <x v="171"/>
    <n v="222.661"/>
    <n v="77.930999999999997"/>
    <n v="144.72999999999999"/>
    <n v="31.166572500000001"/>
    <n v="6.9259050000000002"/>
    <n v="1"/>
    <n v="4.5"/>
    <n v="113.56342749999999"/>
  </r>
  <r>
    <x v="12"/>
    <x v="10"/>
    <s v="MOPOSITA GUITARRA ENMA PATRICIA"/>
    <s v="001-001-000000379"/>
    <s v="Distribuidores"/>
    <x v="21"/>
    <n v="24"/>
    <x v="171"/>
    <n v="1187.5219999999999"/>
    <n v="415.63200000000001"/>
    <n v="771.89"/>
    <n v="191.257488"/>
    <n v="7.9690620000000001"/>
    <n v="1"/>
    <n v="24"/>
    <n v="580.63251200000002"/>
  </r>
  <r>
    <x v="253"/>
    <x v="10"/>
    <s v="MOPOSITA GUITARRA ENMA PATRICIA"/>
    <s v="001-001-000000384"/>
    <s v="Distribuidores"/>
    <x v="21"/>
    <n v="11.5"/>
    <x v="171"/>
    <n v="569.01700000000005"/>
    <n v="199.15700000000001"/>
    <n v="369.86"/>
    <n v="91.644212999999993"/>
    <n v="7.9690619999999992"/>
    <n v="1"/>
    <n v="11.5"/>
    <n v="278.21578700000003"/>
  </r>
  <r>
    <x v="404"/>
    <x v="10"/>
    <s v="CASTILLO YAQUE SONIA ROXANA"/>
    <s v="001-001-000000432"/>
    <s v="Directo"/>
    <x v="223"/>
    <n v="6.5"/>
    <x v="171"/>
    <n v="337.22"/>
    <n v="0"/>
    <n v="337.22"/>
    <n v="48.200106499999997"/>
    <n v="7.4154009999999992"/>
    <n v="1"/>
    <n v="6.5"/>
    <n v="289.01989350000002"/>
  </r>
  <r>
    <x v="405"/>
    <x v="10"/>
    <s v="CASTILLO YAQUE SONIA ROXANA"/>
    <s v="001-001-000000451"/>
    <s v="Distribuidores"/>
    <x v="21"/>
    <n v="7"/>
    <x v="171"/>
    <n v="346.35599999999999"/>
    <n v="121.226"/>
    <n v="225.13"/>
    <n v="48.971243999999999"/>
    <n v="6.9958919999999996"/>
    <n v="1"/>
    <n v="7"/>
    <n v="176.15875599999998"/>
  </r>
  <r>
    <x v="19"/>
    <x v="10"/>
    <s v="CASTILLO YAQUE SONIA ROXANA"/>
    <s v="001-001-000000476"/>
    <s v="Distribuidores"/>
    <x v="21"/>
    <n v="1.5"/>
    <x v="171"/>
    <n v="74.216999999999999"/>
    <n v="25.977"/>
    <n v="48.24"/>
    <n v="10.544128499999999"/>
    <n v="7.0294189999999999"/>
    <n v="1"/>
    <n v="1.5"/>
    <n v="37.695871500000003"/>
  </r>
  <r>
    <x v="406"/>
    <x v="10"/>
    <s v="OFICINA"/>
    <s v="001-001-000000562"/>
    <s v="Distribuidores"/>
    <x v="21"/>
    <n v="1"/>
    <x v="171"/>
    <n v="49.477999999999994"/>
    <n v="17.318000000000001"/>
    <n v="32.159999999999997"/>
    <n v="7.440766"/>
    <n v="7.440766"/>
    <n v="1"/>
    <n v="1"/>
    <n v="24.719233999999997"/>
  </r>
  <r>
    <x v="312"/>
    <x v="10"/>
    <s v="JULIO VASQUEZ"/>
    <s v="001-001-000000602"/>
    <s v="Distribuidores"/>
    <x v="224"/>
    <n v="40"/>
    <x v="171"/>
    <n v="1979.2"/>
    <n v="692.72"/>
    <n v="1286.48"/>
    <n v="296.77996000000002"/>
    <n v="7.4194990000000001"/>
    <n v="1"/>
    <n v="40"/>
    <n v="989.70003999999994"/>
  </r>
  <r>
    <x v="380"/>
    <x v="10"/>
    <s v="OFICINA"/>
    <s v="001-001-000000698"/>
    <s v="Distribuidores"/>
    <x v="21"/>
    <n v="17"/>
    <x v="171"/>
    <n v="841.15599999999995"/>
    <n v="294.40600000000001"/>
    <n v="546.75"/>
    <n v="113.985629"/>
    <n v="6.7050369999999999"/>
    <n v="1"/>
    <n v="17"/>
    <n v="432.76437099999998"/>
  </r>
  <r>
    <x v="380"/>
    <x v="10"/>
    <s v="OFICINA"/>
    <s v="001-001-000000699"/>
    <s v="Distribuidores"/>
    <x v="21"/>
    <n v="4"/>
    <x v="171"/>
    <n v="197.92200000000003"/>
    <n v="69.272000000000006"/>
    <n v="128.65"/>
    <n v="26.820148"/>
    <n v="6.7050369999999999"/>
    <n v="1"/>
    <n v="4"/>
    <n v="101.829852"/>
  </r>
  <r>
    <x v="380"/>
    <x v="10"/>
    <s v="OFICINA"/>
    <s v="001-001-000000700"/>
    <s v="Distribuidores"/>
    <x v="21"/>
    <n v="4"/>
    <x v="171"/>
    <n v="197.92200000000003"/>
    <n v="69.272000000000006"/>
    <n v="128.65"/>
    <n v="26.820148"/>
    <n v="6.7050369999999999"/>
    <n v="1"/>
    <n v="4"/>
    <n v="101.829852"/>
  </r>
  <r>
    <x v="239"/>
    <x v="10"/>
    <s v="OFICINA"/>
    <s v="001-001-000000728"/>
    <s v="Distribuidores"/>
    <x v="20"/>
    <n v="1"/>
    <x v="171"/>
    <n v="49.475999999999999"/>
    <n v="22.265999999999998"/>
    <n v="27.21"/>
    <n v="6.7281779999999998"/>
    <n v="6.7281779999999998"/>
    <n v="1"/>
    <n v="1"/>
    <n v="20.481822000000001"/>
  </r>
  <r>
    <x v="269"/>
    <x v="10"/>
    <s v="OFICINA"/>
    <s v="001-001-000000872"/>
    <s v="Distribuidores"/>
    <x v="21"/>
    <n v="23"/>
    <x v="171"/>
    <n v="1138.0419999999999"/>
    <n v="341.41199999999998"/>
    <n v="796.63"/>
    <n v="154.31438299999999"/>
    <n v="6.7093210000000001"/>
    <n v="1"/>
    <n v="23"/>
    <n v="642.31561699999997"/>
  </r>
  <r>
    <x v="33"/>
    <x v="10"/>
    <s v="OFICINA"/>
    <s v="001-001-000000041"/>
    <s v="Arquitectos"/>
    <x v="17"/>
    <n v="14"/>
    <x v="172"/>
    <n v="686"/>
    <n v="54.88"/>
    <n v="631.12"/>
    <n v="137.928"/>
    <n v="9.8520000000000003"/>
    <n v="1"/>
    <n v="14"/>
    <n v="493.19200000000001"/>
  </r>
  <r>
    <x v="230"/>
    <x v="10"/>
    <s v="MOPOSITA GUITARRA ENMA PATRICIA"/>
    <s v="001-001-000000275"/>
    <s v="Distribuidores"/>
    <x v="20"/>
    <n v="15"/>
    <x v="172"/>
    <n v="742.20299999999997"/>
    <n v="270.90300000000002"/>
    <n v="471.3"/>
    <n v="125.62857"/>
    <n v="8.3752379999999995"/>
    <n v="1"/>
    <n v="15"/>
    <n v="345.67142999999999"/>
  </r>
  <r>
    <x v="407"/>
    <x v="10"/>
    <s v="MOPOSITA GUITARRA ENMA PATRICIA"/>
    <s v="001-001-000000484"/>
    <s v="Distribuidores"/>
    <x v="20"/>
    <n v="35"/>
    <x v="172"/>
    <n v="1731.8000000000002"/>
    <n v="606.13"/>
    <n v="1125.67"/>
    <n v="271.30015500000002"/>
    <n v="7.7514330000000005"/>
    <n v="1"/>
    <n v="35"/>
    <n v="854.36984500000005"/>
  </r>
  <r>
    <x v="408"/>
    <x v="10"/>
    <s v="MOPOSITA GUITARRA ENMA PATRICIA"/>
    <s v="001-001-000000537"/>
    <s v="Distribuidores"/>
    <x v="20"/>
    <n v="3.5"/>
    <x v="172"/>
    <n v="173.18099999999998"/>
    <n v="77.930999999999997"/>
    <n v="95.25"/>
    <n v="27.130015499999999"/>
    <n v="7.7514329999999996"/>
    <n v="1"/>
    <n v="3.5"/>
    <n v="68.119984500000001"/>
  </r>
  <r>
    <x v="273"/>
    <x v="10"/>
    <s v="OFICINA"/>
    <s v="001-001-000000746"/>
    <s v="Directo"/>
    <x v="118"/>
    <n v="114.5"/>
    <x v="172"/>
    <n v="5665.4650000000001"/>
    <n v="1416.365"/>
    <n v="4249.1000000000004"/>
    <n v="887.53907849999996"/>
    <n v="7.7514329999999996"/>
    <n v="1"/>
    <n v="114.5"/>
    <n v="3361.5609215000004"/>
  </r>
  <r>
    <x v="148"/>
    <x v="10"/>
    <s v="OFICINA"/>
    <s v="001-001-000000793"/>
    <s v="Directo"/>
    <x v="118"/>
    <n v="7"/>
    <x v="172"/>
    <n v="346.36"/>
    <n v="86.59"/>
    <n v="259.77"/>
    <n v="59.536000999999999"/>
    <n v="8.5051430000000003"/>
    <n v="1"/>
    <n v="7"/>
    <n v="200.23399899999998"/>
  </r>
  <r>
    <x v="162"/>
    <x v="10"/>
    <s v="OFICINA"/>
    <s v="001-001-000000887"/>
    <s v="Directo"/>
    <x v="126"/>
    <n v="2"/>
    <x v="172"/>
    <n v="98.96"/>
    <n v="0"/>
    <n v="98.96"/>
    <n v="18.125086"/>
    <n v="9.0625429999999998"/>
    <n v="1"/>
    <n v="2"/>
    <n v="80.834913999999998"/>
  </r>
  <r>
    <x v="335"/>
    <x v="10"/>
    <s v="SERRANO GARRIDO GIOVANNA DEL ROCIO"/>
    <s v="001-001-000000179"/>
    <s v="Distribuidores"/>
    <x v="21"/>
    <n v="3"/>
    <x v="173"/>
    <n v="147"/>
    <n v="51.45"/>
    <n v="95.55"/>
    <n v="16.181667000000001"/>
    <n v="5.3938890000000006"/>
    <n v="1"/>
    <n v="3"/>
    <n v="79.368332999999993"/>
  </r>
  <r>
    <x v="335"/>
    <x v="10"/>
    <s v="SERRANO GARRIDO GIOVANNA DEL ROCIO"/>
    <s v="001-001-000000180"/>
    <s v="Distribuidores"/>
    <x v="21"/>
    <n v="12.5"/>
    <x v="173"/>
    <n v="612.495"/>
    <n v="214.375"/>
    <n v="398.12"/>
    <n v="67.423612500000004"/>
    <n v="5.3938890000000006"/>
    <n v="1"/>
    <n v="12.5"/>
    <n v="330.69638750000001"/>
  </r>
  <r>
    <x v="335"/>
    <x v="10"/>
    <s v="MOPOSITA GUITARRA ENMA PATRICIA"/>
    <s v="001-001-000000181"/>
    <s v="Arquitectos"/>
    <x v="190"/>
    <n v="12"/>
    <x v="173"/>
    <n v="588"/>
    <n v="58.8"/>
    <n v="529.20000000000005"/>
    <n v="64.726668000000004"/>
    <n v="5.3938890000000006"/>
    <n v="1"/>
    <n v="12"/>
    <n v="464.47333200000003"/>
  </r>
  <r>
    <x v="58"/>
    <x v="10"/>
    <s v="SERRANO GARRIDO GIOVANNA DEL ROCIO"/>
    <s v="001-001-000000196"/>
    <s v="Distribuidores"/>
    <x v="45"/>
    <n v="25"/>
    <x v="173"/>
    <n v="1225"/>
    <n v="367.5"/>
    <n v="857.5"/>
    <n v="152.50475"/>
    <n v="6.1001900000000004"/>
    <n v="1"/>
    <n v="25"/>
    <n v="704.99524999999994"/>
  </r>
  <r>
    <x v="58"/>
    <x v="10"/>
    <s v="SERRANO GARRIDO GIOVANNA DEL ROCIO"/>
    <s v="001-001-000000197"/>
    <s v="Distribuidores"/>
    <x v="45"/>
    <n v="7"/>
    <x v="173"/>
    <n v="343"/>
    <n v="102.9"/>
    <n v="240.1"/>
    <n v="42.701329999999999"/>
    <n v="6.1001899999999996"/>
    <n v="1"/>
    <n v="7"/>
    <n v="197.39866999999998"/>
  </r>
  <r>
    <x v="409"/>
    <x v="10"/>
    <s v="SERRANO GARRIDO GIOVANNA DEL ROCIO"/>
    <s v="001-001-000000210"/>
    <s v="Distribuidores"/>
    <x v="20"/>
    <n v="15"/>
    <x v="173"/>
    <n v="735"/>
    <n v="257.25"/>
    <n v="477.75"/>
    <n v="89.564999999999998"/>
    <n v="5.9710000000000001"/>
    <n v="1"/>
    <n v="15"/>
    <n v="388.185"/>
  </r>
  <r>
    <x v="216"/>
    <x v="10"/>
    <s v="SERRANO GARRIDO GIOVANNA DEL ROCIO"/>
    <s v="001-001-000000218"/>
    <s v="Distribuidores"/>
    <x v="21"/>
    <n v="8"/>
    <x v="173"/>
    <n v="392"/>
    <n v="137.19999999999999"/>
    <n v="254.8"/>
    <n v="47.768000000000001"/>
    <n v="5.9710000000000001"/>
    <n v="1"/>
    <n v="8"/>
    <n v="207.03200000000001"/>
  </r>
  <r>
    <x v="71"/>
    <x v="10"/>
    <s v="MOPOSITA GUITARRA ENMA PATRICIA"/>
    <s v="001-001-000000253"/>
    <s v="Directo"/>
    <x v="55"/>
    <n v="26"/>
    <x v="173"/>
    <n v="1274"/>
    <n v="382.2"/>
    <n v="891.8"/>
    <n v="119.580916"/>
    <n v="4.5992660000000001"/>
    <n v="1"/>
    <n v="26"/>
    <n v="772.21908399999995"/>
  </r>
  <r>
    <x v="314"/>
    <x v="10"/>
    <s v="MOPOSITA GUITARRA ENMA PATRICIA"/>
    <s v="001-001-000000264"/>
    <s v="Directo"/>
    <x v="55"/>
    <n v="2"/>
    <x v="173"/>
    <n v="98.957999999999998"/>
    <n v="29.687999999999999"/>
    <n v="69.27"/>
    <n v="8.0727919999999997"/>
    <n v="4.0363959999999999"/>
    <n v="1"/>
    <n v="2"/>
    <n v="61.197207999999996"/>
  </r>
  <r>
    <x v="232"/>
    <x v="10"/>
    <s v="MOPOSITA GUITARRA ENMA PATRICIA"/>
    <s v="001-001-000000303"/>
    <s v="Distribuidores"/>
    <x v="20"/>
    <n v="20"/>
    <x v="173"/>
    <n v="989.6"/>
    <n v="346.36"/>
    <n v="643.24"/>
    <n v="80.954939999999993"/>
    <n v="4.0477469999999993"/>
    <n v="1"/>
    <n v="20"/>
    <n v="562.28506000000004"/>
  </r>
  <r>
    <x v="10"/>
    <x v="10"/>
    <s v="MOPOSITA GUITARRA ENMA PATRICIA"/>
    <s v="001-001-000000321"/>
    <s v="Arquitectos"/>
    <x v="225"/>
    <n v="30"/>
    <x v="173"/>
    <n v="1470"/>
    <n v="220.5"/>
    <n v="1249.5"/>
    <n v="117.43335"/>
    <n v="3.9144450000000002"/>
    <n v="1"/>
    <n v="30"/>
    <n v="1132.06665"/>
  </r>
  <r>
    <x v="284"/>
    <x v="10"/>
    <s v="OFICINA"/>
    <s v="001-001-000000503"/>
    <s v="Directo"/>
    <x v="173"/>
    <n v="10"/>
    <x v="173"/>
    <n v="494.8"/>
    <n v="148.44"/>
    <n v="346.36"/>
    <n v="36.152169999999998"/>
    <n v="3.6152169999999999"/>
    <n v="1"/>
    <n v="10"/>
    <n v="310.20783"/>
  </r>
  <r>
    <x v="191"/>
    <x v="10"/>
    <s v="OFICINA"/>
    <s v="001-001-000000563"/>
    <s v="Directo"/>
    <x v="185"/>
    <n v="31"/>
    <x v="173"/>
    <n v="1533.8779999999999"/>
    <n v="153.38800000000001"/>
    <n v="1380.49"/>
    <n v="104.91959300000001"/>
    <n v="3.384503"/>
    <n v="1"/>
    <n v="31"/>
    <n v="1275.5704069999999"/>
  </r>
  <r>
    <x v="373"/>
    <x v="10"/>
    <s v="OFICINA"/>
    <s v="001-001-000000629"/>
    <s v="Distribuidores"/>
    <x v="21"/>
    <n v="30"/>
    <x v="173"/>
    <n v="1484.4"/>
    <n v="519.54"/>
    <n v="964.86"/>
    <n v="96.980760000000004"/>
    <n v="3.2326920000000001"/>
    <n v="1"/>
    <n v="30"/>
    <n v="867.87923999999998"/>
  </r>
  <r>
    <x v="318"/>
    <x v="10"/>
    <s v="OFICINA"/>
    <s v="001-001-000000722"/>
    <s v="Distribuidores"/>
    <x v="21"/>
    <n v="3"/>
    <x v="173"/>
    <n v="148.44399999999999"/>
    <n v="51.954000000000001"/>
    <n v="96.49"/>
    <n v="9.6944700000000008"/>
    <n v="3.2314900000000004"/>
    <n v="1"/>
    <n v="3"/>
    <n v="86.795529999999999"/>
  </r>
  <r>
    <x v="319"/>
    <x v="10"/>
    <s v="OFICINA"/>
    <s v="001-001-000000767"/>
    <s v="Distribuidores"/>
    <x v="21"/>
    <n v="3"/>
    <x v="173"/>
    <n v="148.44399999999999"/>
    <n v="51.954000000000001"/>
    <n v="96.49"/>
    <n v="9.6944700000000008"/>
    <n v="3.2314900000000004"/>
    <n v="1"/>
    <n v="3"/>
    <n v="86.795529999999999"/>
  </r>
  <r>
    <x v="197"/>
    <x v="10"/>
    <s v="OFICINA"/>
    <s v="001-001-000000835"/>
    <s v="Distribuidores"/>
    <x v="20"/>
    <n v="17"/>
    <x v="173"/>
    <n v="841.16200000000003"/>
    <n v="378.52199999999999"/>
    <n v="462.64"/>
    <n v="54.925384999999999"/>
    <n v="3.2309049999999999"/>
    <n v="1"/>
    <n v="17"/>
    <n v="407.71461499999998"/>
  </r>
  <r>
    <x v="410"/>
    <x v="10"/>
    <s v="OFICINA"/>
    <s v="001-001-000000843"/>
    <s v="Distribuidores"/>
    <x v="21"/>
    <n v="16.5"/>
    <x v="173"/>
    <n v="816.41599999999994"/>
    <n v="244.92599999999999"/>
    <n v="571.49"/>
    <n v="53.272180499999997"/>
    <n v="3.2286169999999998"/>
    <n v="1"/>
    <n v="16.5"/>
    <n v="518.21781950000002"/>
  </r>
  <r>
    <x v="375"/>
    <x v="10"/>
    <s v="OFICINA"/>
    <s v="001-001-000000863"/>
    <s v="Distribuidores"/>
    <x v="21"/>
    <n v="20"/>
    <x v="173"/>
    <n v="989.6"/>
    <n v="296.88"/>
    <n v="692.72"/>
    <n v="64.580299999999994"/>
    <n v="3.2290149999999995"/>
    <n v="1"/>
    <n v="20"/>
    <n v="628.13970000000006"/>
  </r>
  <r>
    <x v="365"/>
    <x v="10"/>
    <s v="OFICINA"/>
    <s v="001-001-000000877"/>
    <s v="Distribuidores"/>
    <x v="21"/>
    <n v="4"/>
    <x v="173"/>
    <n v="197.916"/>
    <n v="59.375999999999998"/>
    <n v="138.54"/>
    <n v="12.914911999999999"/>
    <n v="3.2287279999999998"/>
    <n v="1"/>
    <n v="4"/>
    <n v="125.62508799999999"/>
  </r>
  <r>
    <x v="353"/>
    <x v="10"/>
    <s v="OFICINA"/>
    <s v="001-001-000000917"/>
    <s v="Distribuidores"/>
    <x v="21"/>
    <n v="66"/>
    <x v="173"/>
    <n v="3265.6840000000002"/>
    <n v="979.70399999999995"/>
    <n v="2285.98"/>
    <n v="206.00949600000001"/>
    <n v="3.121356"/>
    <n v="1"/>
    <n v="66"/>
    <n v="2079.9705039999999"/>
  </r>
  <r>
    <x v="86"/>
    <x v="10"/>
    <s v="MOPOSITA GUITARRA ENMA PATRICIA"/>
    <s v="001-001-000000331"/>
    <s v="Directo"/>
    <x v="143"/>
    <n v="12"/>
    <x v="174"/>
    <n v="593.75599999999997"/>
    <n v="207.816"/>
    <n v="385.94"/>
    <n v="71.546952000000005"/>
    <n v="5.9622460000000004"/>
    <n v="1"/>
    <n v="12"/>
    <n v="314.39304800000002"/>
  </r>
  <r>
    <x v="170"/>
    <x v="10"/>
    <s v="ANDRADE CHECA DIANA LUCIA"/>
    <s v="001-001-000000389"/>
    <s v="Directo"/>
    <x v="157"/>
    <n v="8"/>
    <x v="174"/>
    <n v="395.83599999999996"/>
    <n v="59.375999999999998"/>
    <n v="336.46"/>
    <n v="46.686120000000003"/>
    <n v="5.8357650000000003"/>
    <n v="1"/>
    <n v="8"/>
    <n v="289.77387999999996"/>
  </r>
  <r>
    <x v="116"/>
    <x v="10"/>
    <s v="OFICINA"/>
    <s v="001-001-000000561"/>
    <s v="Directo"/>
    <x v="226"/>
    <n v="21"/>
    <x v="174"/>
    <n v="1039.0820000000001"/>
    <n v="155.86199999999999"/>
    <n v="883.22"/>
    <n v="122.55106499999999"/>
    <n v="5.8357649999999994"/>
    <n v="1"/>
    <n v="21"/>
    <n v="760.66893500000003"/>
  </r>
  <r>
    <x v="81"/>
    <x v="10"/>
    <s v="CASTILLO YAQUE SONIA ROXANA"/>
    <s v="001-001-000000308"/>
    <s v="Directo"/>
    <x v="66"/>
    <n v="8"/>
    <x v="175"/>
    <n v="395.83599999999996"/>
    <n v="59.375999999999998"/>
    <n v="336.46"/>
    <n v="57.457776000000003"/>
    <n v="7.1822220000000003"/>
    <n v="1"/>
    <n v="8"/>
    <n v="279.00222399999996"/>
  </r>
  <r>
    <x v="411"/>
    <x v="10"/>
    <s v="CASTILLO YAQUE SONIA ROXANA"/>
    <s v="001-001-000000512"/>
    <s v="Distribuidores"/>
    <x v="21"/>
    <n v="14.5"/>
    <x v="175"/>
    <n v="717.46100000000001"/>
    <n v="251.11099999999999"/>
    <n v="466.35"/>
    <n v="88.140860000000004"/>
    <n v="6.0786800000000003"/>
    <n v="1"/>
    <n v="14.5"/>
    <n v="378.20914000000005"/>
  </r>
  <r>
    <x v="351"/>
    <x v="10"/>
    <s v="OFICINA"/>
    <s v="001-001-000000832"/>
    <s v="Distribuidores"/>
    <x v="128"/>
    <n v="12"/>
    <x v="175"/>
    <n v="593.75599999999997"/>
    <n v="207.816"/>
    <n v="385.94"/>
    <n v="73.287335999999996"/>
    <n v="6.107278"/>
    <n v="1"/>
    <n v="12"/>
    <n v="312.65266400000002"/>
  </r>
  <r>
    <x v="31"/>
    <x v="10"/>
    <s v="SERRANO GARRIDO GIOVANNA DEL ROCIO"/>
    <s v="001-001-000000037"/>
    <s v="Constructores"/>
    <x v="15"/>
    <n v="31"/>
    <x v="176"/>
    <n v="1519"/>
    <n v="151.9"/>
    <n v="1367.1"/>
    <n v="234.05"/>
    <n v="7.5500000000000007"/>
    <n v="1"/>
    <n v="31"/>
    <n v="1133.05"/>
  </r>
  <r>
    <x v="412"/>
    <x v="10"/>
    <s v="BALLADARES PEREZ REINA JACQUELINE"/>
    <s v="001-001-000000049"/>
    <s v="Directo"/>
    <x v="227"/>
    <n v="6.5"/>
    <x v="176"/>
    <n v="318.5"/>
    <n v="0"/>
    <n v="318.5"/>
    <n v="49.075000000000003"/>
    <n v="7.5500000000000007"/>
    <n v="1"/>
    <n v="6.5"/>
    <n v="269.42500000000001"/>
  </r>
  <r>
    <x v="234"/>
    <x v="6"/>
    <s v="JULIO VASQUEZ"/>
    <s v="001-001-000000528"/>
    <s v="Directo"/>
    <x v="193"/>
    <n v="1"/>
    <x v="177"/>
    <n v="12.43"/>
    <n v="0"/>
    <n v="12.43"/>
    <n v="0"/>
    <n v="0"/>
    <n v="1"/>
    <n v="1"/>
    <n v="12.43"/>
  </r>
  <r>
    <x v="125"/>
    <x v="6"/>
    <s v="OFICINA"/>
    <s v="001-001-000000633"/>
    <s v="Distribuidores"/>
    <x v="45"/>
    <n v="5"/>
    <x v="177"/>
    <n v="56"/>
    <n v="0"/>
    <n v="56"/>
    <n v="0"/>
    <n v="0"/>
    <n v="1"/>
    <n v="5"/>
    <n v="56"/>
  </r>
  <r>
    <x v="413"/>
    <x v="6"/>
    <s v="OFICINA"/>
    <s v="001-001-000000762"/>
    <s v="Directo"/>
    <x v="228"/>
    <n v="2"/>
    <x v="177"/>
    <n v="35.799999999999997"/>
    <n v="0"/>
    <n v="35.799999999999997"/>
    <n v="0"/>
    <n v="0"/>
    <n v="1"/>
    <n v="2"/>
    <n v="35.799999999999997"/>
  </r>
  <r>
    <x v="153"/>
    <x v="6"/>
    <s v="OFICINA"/>
    <s v="001-001-000000818"/>
    <s v="Distribuidores"/>
    <x v="45"/>
    <n v="18"/>
    <x v="178"/>
    <n v="230.4"/>
    <n v="0"/>
    <n v="230.4"/>
    <n v="128.34782999999999"/>
    <n v="7.1304349999999994"/>
    <n v="1"/>
    <n v="18"/>
    <n v="102.05217000000002"/>
  </r>
  <r>
    <x v="158"/>
    <x v="6"/>
    <s v="OFICINA"/>
    <s v="001-001-000000862"/>
    <s v="Directo"/>
    <x v="123"/>
    <n v="45"/>
    <x v="178"/>
    <n v="441"/>
    <n v="0"/>
    <n v="441"/>
    <n v="320.869575"/>
    <n v="7.1304350000000003"/>
    <n v="1"/>
    <n v="45"/>
    <n v="120.130425"/>
  </r>
  <r>
    <x v="83"/>
    <x v="9"/>
    <s v="ANDRADE CHECA DIANA LUCIA"/>
    <s v="001-001-000000314"/>
    <s v="Arquitectos"/>
    <x v="39"/>
    <n v="1"/>
    <x v="179"/>
    <n v="40"/>
    <n v="0"/>
    <n v="40"/>
    <m/>
    <n v="0"/>
    <n v="1"/>
    <n v="1"/>
    <n v="40"/>
  </r>
  <r>
    <x v="106"/>
    <x v="9"/>
    <s v="OFICINA"/>
    <s v="001-001-000000464"/>
    <s v="Directo"/>
    <x v="92"/>
    <n v="57.9"/>
    <x v="179"/>
    <n v="579"/>
    <n v="0"/>
    <n v="579"/>
    <m/>
    <n v="0"/>
    <n v="1"/>
    <n v="57.9"/>
    <n v="579"/>
  </r>
  <r>
    <x v="106"/>
    <x v="9"/>
    <s v="OFICINA"/>
    <s v="001-001-000000464"/>
    <s v="Directo"/>
    <x v="92"/>
    <n v="57.9"/>
    <x v="179"/>
    <n v="347.4"/>
    <n v="0"/>
    <n v="347.4"/>
    <m/>
    <n v="0"/>
    <n v="1"/>
    <n v="57.9"/>
    <n v="347.4"/>
  </r>
  <r>
    <x v="106"/>
    <x v="9"/>
    <s v="OFICINA"/>
    <s v="001-001-000000464"/>
    <s v="Directo"/>
    <x v="92"/>
    <n v="57.9"/>
    <x v="179"/>
    <n v="694.8"/>
    <n v="0"/>
    <n v="694.8"/>
    <m/>
    <n v="0"/>
    <n v="1"/>
    <n v="57.9"/>
    <n v="694.8"/>
  </r>
  <r>
    <x v="106"/>
    <x v="9"/>
    <s v="OFICINA"/>
    <s v="001-001-000000464"/>
    <s v="Directo"/>
    <x v="92"/>
    <n v="1"/>
    <x v="179"/>
    <n v="160"/>
    <n v="0"/>
    <n v="160"/>
    <m/>
    <n v="0"/>
    <n v="1"/>
    <n v="1"/>
    <n v="160"/>
  </r>
  <r>
    <x v="106"/>
    <x v="9"/>
    <s v="OFICINA"/>
    <s v="001-001-000000464"/>
    <s v="Directo"/>
    <x v="92"/>
    <n v="9"/>
    <x v="179"/>
    <n v="108"/>
    <n v="0"/>
    <n v="108"/>
    <m/>
    <n v="0"/>
    <n v="1"/>
    <n v="9"/>
    <n v="108"/>
  </r>
  <r>
    <x v="108"/>
    <x v="9"/>
    <s v="MOPOSITA GUITARRA ENMA PATRICIA"/>
    <s v="001-001-000000488"/>
    <s v="Directo"/>
    <x v="228"/>
    <n v="1"/>
    <x v="179"/>
    <n v="2202.86"/>
    <n v="0"/>
    <n v="2202.86"/>
    <m/>
    <n v="0"/>
    <n v="1"/>
    <n v="1"/>
    <n v="2202.86"/>
  </r>
  <r>
    <x v="258"/>
    <x v="9"/>
    <s v="OFICINA"/>
    <s v="001-001-000000555"/>
    <s v="Directo"/>
    <x v="228"/>
    <n v="1"/>
    <x v="179"/>
    <n v="1696.78"/>
    <n v="0"/>
    <n v="1696.78"/>
    <m/>
    <n v="0"/>
    <n v="1"/>
    <n v="1"/>
    <n v="1696.78"/>
  </r>
  <r>
    <x v="414"/>
    <x v="9"/>
    <s v="OFICINA"/>
    <s v="001-001-000000568"/>
    <s v="Directo"/>
    <x v="228"/>
    <n v="1"/>
    <x v="179"/>
    <n v="385.24"/>
    <n v="0"/>
    <n v="385.24"/>
    <m/>
    <n v="0"/>
    <n v="1"/>
    <n v="1"/>
    <n v="385.24"/>
  </r>
  <r>
    <x v="288"/>
    <x v="9"/>
    <s v="OFICINA"/>
    <s v="001-001-000000578"/>
    <s v="Directo"/>
    <x v="228"/>
    <n v="1"/>
    <x v="179"/>
    <n v="838.82"/>
    <n v="0"/>
    <n v="838.82"/>
    <m/>
    <n v="0"/>
    <n v="1"/>
    <n v="1"/>
    <n v="838.82"/>
  </r>
  <r>
    <x v="367"/>
    <x v="1"/>
    <s v="ANDRADE CHECA DIANA LUCIA"/>
    <s v="001-001-000000284"/>
    <s v="Directo"/>
    <x v="53"/>
    <n v="1"/>
    <x v="180"/>
    <n v="28.56"/>
    <n v="0"/>
    <n v="28.56"/>
    <n v="0"/>
    <n v="0"/>
    <n v="1"/>
    <n v="1"/>
    <n v="28.56"/>
  </r>
  <r>
    <x v="415"/>
    <x v="11"/>
    <s v="ANDRADE CHECA DIANA LUCIA"/>
    <s v="001-001-000000281"/>
    <s v="Directo"/>
    <x v="53"/>
    <n v="26"/>
    <x v="181"/>
    <n v="1103.44"/>
    <n v="0"/>
    <n v="1103.44"/>
    <n v="81.980807999999996"/>
    <n v="3.153108"/>
    <n v="1"/>
    <n v="26"/>
    <n v="1021.459192"/>
  </r>
  <r>
    <x v="277"/>
    <x v="11"/>
    <s v="OFICINA"/>
    <s v="001-001-000000811"/>
    <s v="Distribuidores"/>
    <x v="149"/>
    <n v="15"/>
    <x v="181"/>
    <n v="583.20000000000005"/>
    <n v="174.96"/>
    <n v="408.24"/>
    <n v="42.492465000000003"/>
    <n v="2.8328310000000001"/>
    <n v="1"/>
    <n v="15"/>
    <n v="365.74753500000003"/>
  </r>
  <r>
    <x v="416"/>
    <x v="11"/>
    <s v="OFICINA"/>
    <s v="001-001-000000829"/>
    <s v="Distribuidores"/>
    <x v="20"/>
    <n v="2"/>
    <x v="181"/>
    <n v="77.762"/>
    <n v="34.991999999999997"/>
    <n v="42.77"/>
    <n v="7.617604"/>
    <n v="3.808802"/>
    <n v="1"/>
    <n v="2"/>
    <n v="35.152396000000003"/>
  </r>
  <r>
    <x v="156"/>
    <x v="11"/>
    <s v="OFICINA"/>
    <s v="001-001-000000857"/>
    <s v="Distribuidores"/>
    <x v="45"/>
    <n v="7"/>
    <x v="181"/>
    <n v="272.15800000000002"/>
    <n v="81.647999999999996"/>
    <n v="190.51"/>
    <n v="26.429872"/>
    <n v="3.7756959999999999"/>
    <n v="1"/>
    <n v="7"/>
    <n v="164.080128"/>
  </r>
  <r>
    <x v="205"/>
    <x v="11"/>
    <s v="OFICINA"/>
    <s v="001-001-000000867"/>
    <s v="Distribuidores"/>
    <x v="45"/>
    <n v="8"/>
    <x v="181"/>
    <n v="311.04199999999997"/>
    <n v="93.311999999999998"/>
    <n v="217.73"/>
    <n v="26.226168000000001"/>
    <n v="3.2782710000000002"/>
    <n v="1"/>
    <n v="8"/>
    <n v="191.50383199999999"/>
  </r>
  <r>
    <x v="205"/>
    <x v="11"/>
    <s v="OFICINA"/>
    <s v="001-001-000000868"/>
    <s v="Distribuidores"/>
    <x v="128"/>
    <n v="8"/>
    <x v="181"/>
    <n v="311.04399999999998"/>
    <n v="108.864"/>
    <n v="202.18"/>
    <n v="26.226168000000001"/>
    <n v="3.2782710000000002"/>
    <n v="1"/>
    <n v="8"/>
    <n v="175.95383200000001"/>
  </r>
  <r>
    <x v="153"/>
    <x v="11"/>
    <s v="OFICINA"/>
    <s v="001-001-000000818"/>
    <s v="Distribuidores"/>
    <x v="45"/>
    <n v="16"/>
    <x v="182"/>
    <n v="622.08399999999995"/>
    <n v="186.624"/>
    <n v="435.46"/>
    <n v="15.4"/>
    <n v="0.96250000000000002"/>
    <n v="1"/>
    <n v="16"/>
    <n v="420.06"/>
  </r>
  <r>
    <x v="26"/>
    <x v="10"/>
    <s v="OFICINA"/>
    <s v="001-001-000000012"/>
    <s v="Arquitectos"/>
    <x v="201"/>
    <n v="9.1199999999999992"/>
    <x v="183"/>
    <n v="446.88400000000001"/>
    <n v="22.344000000000001"/>
    <n v="424.54"/>
    <n v="57.60800304"/>
    <n v="6.3166670000000007"/>
    <n v="1"/>
    <n v="9.1199999999999992"/>
    <n v="366.93199695999999"/>
  </r>
  <r>
    <x v="61"/>
    <x v="10"/>
    <s v="MOPOSITA GUITARRA ENMA PATRICIA"/>
    <s v="001-001-000000226"/>
    <s v="Directo"/>
    <x v="49"/>
    <n v="20.16"/>
    <x v="183"/>
    <n v="987.8420000000001"/>
    <n v="49.392000000000003"/>
    <n v="938.45"/>
    <n v="127.80923903999999"/>
    <n v="6.3397439999999996"/>
    <n v="1"/>
    <n v="20.16"/>
    <n v="810.64076096000008"/>
  </r>
  <r>
    <x v="34"/>
    <x v="16"/>
    <s v="JULIO VASQUEZ"/>
    <s v="001-001-000000045"/>
    <s v="Directo"/>
    <x v="18"/>
    <n v="32.200000000000003"/>
    <x v="184"/>
    <n v="1770.9960999999998"/>
    <n v="1255.8161"/>
    <n v="515.17999999999995"/>
    <n v="1052.6146189999999"/>
    <n v="32.689894999999993"/>
    <n v="1"/>
    <n v="32.200000000000003"/>
    <n v="-537.434619"/>
  </r>
  <r>
    <x v="215"/>
    <x v="16"/>
    <s v="SERRANO GARRIDO GIOVANNA DEL ROCIO"/>
    <s v="001-001-000000142"/>
    <s v="Constructores"/>
    <x v="216"/>
    <n v="188.2"/>
    <x v="184"/>
    <n v="10351"/>
    <n v="1552.65"/>
    <n v="8798.35"/>
    <n v="6034.2818188000001"/>
    <n v="32.063134000000005"/>
    <n v="1"/>
    <n v="188.2"/>
    <n v="2764.0681812000003"/>
  </r>
  <r>
    <x v="78"/>
    <x v="16"/>
    <s v="ANDRADE CHECA DIANA LUCIA"/>
    <s v="001-001-000000282"/>
    <s v="Directo"/>
    <x v="62"/>
    <n v="25"/>
    <x v="184"/>
    <n v="1487"/>
    <n v="118.96"/>
    <n v="1368.04"/>
    <n v="664.72825"/>
    <n v="26.589130000000001"/>
    <n v="1"/>
    <n v="25"/>
    <n v="703.31174999999996"/>
  </r>
  <r>
    <x v="367"/>
    <x v="16"/>
    <s v="ANDRADE CHECA DIANA LUCIA"/>
    <s v="001-001-000000283"/>
    <s v="Directo"/>
    <x v="62"/>
    <n v="5"/>
    <x v="184"/>
    <n v="297.40200000000004"/>
    <n v="23.792000000000002"/>
    <n v="273.61"/>
    <n v="138.66666499999999"/>
    <n v="27.733332999999998"/>
    <n v="1"/>
    <n v="5"/>
    <n v="134.94333500000002"/>
  </r>
  <r>
    <x v="392"/>
    <x v="16"/>
    <s v="MOPOSITA GUITARRA ENMA PATRICIA"/>
    <s v="001-001-000000508"/>
    <s v="Constructores"/>
    <x v="216"/>
    <n v="489.3"/>
    <x v="184"/>
    <n v="34192.282480000002"/>
    <n v="7522.3024800000003"/>
    <n v="26669.98"/>
    <n v="13868.705988899999"/>
    <n v="28.343972999999998"/>
    <n v="1"/>
    <n v="489.3"/>
    <n v="12801.2740111"/>
  </r>
  <r>
    <x v="257"/>
    <x v="16"/>
    <s v="OFICINA"/>
    <s v="001-001-000000607"/>
    <s v="Directo"/>
    <x v="229"/>
    <n v="10"/>
    <x v="184"/>
    <n v="698.8"/>
    <n v="0"/>
    <n v="698.8"/>
    <n v="259.05495000000002"/>
    <n v="25.905495000000002"/>
    <n v="1"/>
    <n v="10"/>
    <n v="439.74504999999994"/>
  </r>
  <r>
    <x v="136"/>
    <x v="16"/>
    <s v="JULIO VASQUEZ"/>
    <s v="001-001-000000688"/>
    <s v="Arquitectos"/>
    <x v="103"/>
    <n v="24.85"/>
    <x v="184"/>
    <n v="1736.5154"/>
    <n v="520.95540000000005"/>
    <n v="1215.56"/>
    <n v="582.82521535000001"/>
    <n v="23.453730999999998"/>
    <n v="1"/>
    <n v="24.85"/>
    <n v="632.73478464999994"/>
  </r>
  <r>
    <x v="362"/>
    <x v="16"/>
    <s v="OFICINA"/>
    <s v="001-001-000000821"/>
    <s v="Distribuidores"/>
    <x v="128"/>
    <n v="4.03"/>
    <x v="184"/>
    <n v="281.6241"/>
    <n v="70.4041"/>
    <n v="211.22"/>
    <n v="94.435521960000003"/>
    <n v="23.433132000000001"/>
    <n v="1"/>
    <n v="4.03"/>
    <n v="116.78447804"/>
  </r>
  <r>
    <x v="395"/>
    <x v="16"/>
    <s v="OFICINA"/>
    <s v="001-001-000000828"/>
    <s v="Constructores"/>
    <x v="216"/>
    <n v="110"/>
    <x v="184"/>
    <n v="7686.7960000000003"/>
    <n v="1691.096"/>
    <n v="5995.7"/>
    <n v="2577.6445199999998"/>
    <n v="23.433131999999997"/>
    <n v="1"/>
    <n v="110"/>
    <n v="3418.05548"/>
  </r>
  <r>
    <x v="215"/>
    <x v="7"/>
    <s v="MOPOSITA GUITARRA ENMA PATRICIA"/>
    <s v="001-001-000000140"/>
    <s v="Directo"/>
    <x v="230"/>
    <n v="14.75"/>
    <x v="185"/>
    <n v="560.5"/>
    <n v="0"/>
    <n v="560.5"/>
    <n v="65.784999999999997"/>
    <n v="4.46"/>
    <n v="1"/>
    <n v="14.75"/>
    <n v="494.71500000000003"/>
  </r>
  <r>
    <x v="207"/>
    <x v="10"/>
    <s v="OFICINA"/>
    <s v="001-001-000000903"/>
    <s v="Distribuidores"/>
    <x v="149"/>
    <n v="21.56"/>
    <x v="186"/>
    <n v="1066.78664"/>
    <n v="320.03663999999998"/>
    <n v="746.75"/>
    <n v="281.73294995999998"/>
    <n v="13.067391000000001"/>
    <n v="1"/>
    <n v="21.56"/>
    <n v="465.01705004000002"/>
  </r>
  <r>
    <x v="345"/>
    <x v="10"/>
    <s v="OFICINA"/>
    <s v="001-001-000000627"/>
    <s v="Distribuidores"/>
    <x v="20"/>
    <n v="9.8000000000000007"/>
    <x v="187"/>
    <n v="484.89679999999998"/>
    <n v="218.20679999999999"/>
    <n v="266.69"/>
    <n v="77.656964000000002"/>
    <n v="7.9241799999999998"/>
    <n v="1"/>
    <n v="9.8000000000000007"/>
    <n v="189.03303599999998"/>
  </r>
  <r>
    <x v="129"/>
    <x v="10"/>
    <s v="OFICINA"/>
    <s v="001-001-000000644"/>
    <s v="Distribuidores"/>
    <x v="20"/>
    <n v="8.68"/>
    <x v="187"/>
    <n v="429.48887999999999"/>
    <n v="193.26888"/>
    <n v="236.22"/>
    <n v="67.131119999999996"/>
    <n v="7.734"/>
    <n v="1"/>
    <n v="8.68"/>
    <n v="169.08888000000002"/>
  </r>
  <r>
    <x v="26"/>
    <x v="10"/>
    <s v="OFICINA"/>
    <s v="001-001-000000012"/>
    <s v="Arquitectos"/>
    <x v="201"/>
    <n v="12.88"/>
    <x v="188"/>
    <n v="631.11599999999999"/>
    <n v="31.556000000000001"/>
    <n v="599.55999999999995"/>
    <n v="112.539"/>
    <n v="8.7374999999999989"/>
    <n v="1"/>
    <n v="12.88"/>
    <n v="487.02099999999996"/>
  </r>
  <r>
    <x v="32"/>
    <x v="10"/>
    <s v="SERRANO GARRIDO GIOVANNA DEL ROCIO"/>
    <s v="001-001-000000039"/>
    <s v="Directo"/>
    <x v="231"/>
    <n v="1.1200000000000001"/>
    <x v="188"/>
    <n v="54.878"/>
    <n v="5.4880000000000004"/>
    <n v="49.39"/>
    <n v="9.7895000000000003"/>
    <n v="8.7406249999999996"/>
    <n v="1"/>
    <n v="1.1200000000000001"/>
    <n v="39.600499999999997"/>
  </r>
  <r>
    <x v="49"/>
    <x v="10"/>
    <s v="SERRANO GARRIDO GIOVANNA DEL ROCIO"/>
    <s v="001-001-000000159"/>
    <s v="Constructores"/>
    <x v="37"/>
    <n v="6.72"/>
    <x v="188"/>
    <n v="329.28399999999999"/>
    <n v="16.463999999999999"/>
    <n v="312.82"/>
    <n v="61.940309759999998"/>
    <n v="9.2173080000000009"/>
    <n v="1"/>
    <n v="6.72"/>
    <n v="250.87969024"/>
  </r>
  <r>
    <x v="359"/>
    <x v="10"/>
    <s v="CASTILLO YAQUE SONIA ROXANA"/>
    <s v="001-001-000000439"/>
    <s v="Directo"/>
    <x v="202"/>
    <n v="1.96"/>
    <x v="188"/>
    <n v="101.68"/>
    <n v="0"/>
    <n v="101.68"/>
    <n v="18.293132759999999"/>
    <n v="9.3332309999999996"/>
    <n v="1"/>
    <n v="1.96"/>
    <n v="83.386867240000015"/>
  </r>
  <r>
    <x v="132"/>
    <x v="10"/>
    <s v="OFICINA"/>
    <s v="001-001-000000657"/>
    <s v="Distribuidores"/>
    <x v="21"/>
    <n v="1.92"/>
    <x v="188"/>
    <n v="95.000560000000007"/>
    <n v="33.25056"/>
    <n v="61.75"/>
    <n v="15.74575872"/>
    <n v="8.2009159999999994"/>
    <n v="1"/>
    <n v="1.92"/>
    <n v="46.004241280000002"/>
  </r>
  <r>
    <x v="346"/>
    <x v="10"/>
    <s v="OFICINA"/>
    <s v="001-001-000000684"/>
    <s v="Distribuidores"/>
    <x v="20"/>
    <n v="3.08"/>
    <x v="188"/>
    <n v="152.39927999999998"/>
    <n v="68.579279999999997"/>
    <n v="83.82"/>
    <n v="25.258821279999999"/>
    <n v="8.2009159999999994"/>
    <n v="1"/>
    <n v="3.08"/>
    <n v="58.561178719999994"/>
  </r>
  <r>
    <x v="318"/>
    <x v="10"/>
    <s v="OFICINA"/>
    <s v="001-001-000000721"/>
    <s v="Distribuidores"/>
    <x v="21"/>
    <n v="1.44"/>
    <x v="188"/>
    <n v="71.247919999999993"/>
    <n v="24.937919999999998"/>
    <n v="46.31"/>
    <n v="11.12222448"/>
    <n v="7.7237670000000005"/>
    <n v="1"/>
    <n v="1.44"/>
    <n v="35.187775520000002"/>
  </r>
  <r>
    <x v="417"/>
    <x v="10"/>
    <s v="OFICINA"/>
    <s v="001-001-000000758"/>
    <s v="Directo"/>
    <x v="232"/>
    <n v="11.2"/>
    <x v="188"/>
    <n v="554.17759999999998"/>
    <n v="55.4176"/>
    <n v="498.76"/>
    <n v="86.506190399999994"/>
    <n v="7.7237669999999996"/>
    <n v="1"/>
    <n v="11.2"/>
    <n v="412.25380960000001"/>
  </r>
  <r>
    <x v="197"/>
    <x v="10"/>
    <s v="OFICINA"/>
    <s v="001-001-000000837"/>
    <s v="Distribuidores"/>
    <x v="20"/>
    <n v="18.48"/>
    <x v="188"/>
    <n v="914.38568000000009"/>
    <n v="411.47568000000001"/>
    <n v="502.91"/>
    <n v="165.49961736"/>
    <n v="8.9556070000000005"/>
    <n v="1"/>
    <n v="18.48"/>
    <n v="337.41038264000002"/>
  </r>
  <r>
    <x v="279"/>
    <x v="10"/>
    <s v="OFICINA"/>
    <s v="001-001-000000839"/>
    <s v="Distribuidores"/>
    <x v="20"/>
    <n v="8.9600000000000009"/>
    <x v="188"/>
    <n v="443.34335999999996"/>
    <n v="199.50335999999999"/>
    <n v="243.84"/>
    <n v="80.242238720000003"/>
    <n v="8.9556069999999988"/>
    <n v="1"/>
    <n v="8.9600000000000009"/>
    <n v="163.59776127999999"/>
  </r>
  <r>
    <x v="250"/>
    <x v="10"/>
    <s v="OFICINA"/>
    <s v="001-001-000000894"/>
    <s v="Distribuidores"/>
    <x v="20"/>
    <n v="9.24"/>
    <x v="188"/>
    <n v="457.19784000000004"/>
    <n v="205.73784000000001"/>
    <n v="251.46"/>
    <n v="77.215141079999995"/>
    <n v="8.356617"/>
    <n v="1"/>
    <n v="9.24"/>
    <n v="174.24485892000001"/>
  </r>
  <r>
    <x v="165"/>
    <x v="10"/>
    <s v="OFICINA"/>
    <s v="001-001-000000912"/>
    <s v="Distribuidores"/>
    <x v="20"/>
    <n v="0.84"/>
    <x v="188"/>
    <n v="41.56344"/>
    <n v="18.703440000000001"/>
    <n v="22.86"/>
    <n v="7.0126408800000002"/>
    <n v="8.3483820000000009"/>
    <n v="1"/>
    <n v="0.84"/>
    <n v="15.84735912"/>
  </r>
  <r>
    <x v="125"/>
    <x v="10"/>
    <s v="OFICINA"/>
    <s v="001-001-000000634"/>
    <s v="Distribuidores"/>
    <x v="20"/>
    <n v="23.8"/>
    <x v="189"/>
    <n v="1177.6208000000001"/>
    <n v="529.93079999999998"/>
    <n v="647.69000000000005"/>
    <n v="172.8330296"/>
    <n v="7.2618919999999996"/>
    <n v="1"/>
    <n v="23.8"/>
    <n v="474.85697040000002"/>
  </r>
  <r>
    <x v="141"/>
    <x v="10"/>
    <s v="OFICINA"/>
    <s v="001-001-000000714"/>
    <s v="Directo"/>
    <x v="113"/>
    <n v="2"/>
    <x v="189"/>
    <n v="98.957999999999998"/>
    <n v="4.9480000000000004"/>
    <n v="94.01"/>
    <n v="18.053930000000001"/>
    <n v="9.0269650000000006"/>
    <n v="1"/>
    <n v="2"/>
    <n v="75.956070000000011"/>
  </r>
  <r>
    <x v="142"/>
    <x v="10"/>
    <s v="OFICINA"/>
    <s v="001-001-000000719"/>
    <s v="Distribuidores"/>
    <x v="115"/>
    <n v="4"/>
    <x v="189"/>
    <n v="197.916"/>
    <n v="59.375999999999998"/>
    <n v="138.54"/>
    <n v="36.107860000000002"/>
    <n v="9.0269650000000006"/>
    <n v="1"/>
    <n v="4"/>
    <n v="102.43213999999999"/>
  </r>
  <r>
    <x v="309"/>
    <x v="10"/>
    <s v="OFICINA"/>
    <s v="001-001-000000743"/>
    <s v="Distribuidores"/>
    <x v="20"/>
    <n v="2.2400000000000002"/>
    <x v="189"/>
    <n v="110.83583999999999"/>
    <n v="49.875839999999997"/>
    <n v="60.96"/>
    <n v="19.999891519999998"/>
    <n v="8.9285229999999984"/>
    <n v="1"/>
    <n v="2.2400000000000002"/>
    <n v="40.960108480000002"/>
  </r>
  <r>
    <x v="362"/>
    <x v="10"/>
    <s v="OFICINA"/>
    <s v="001-001-000000823"/>
    <s v="Distribuidores"/>
    <x v="21"/>
    <n v="5.04"/>
    <x v="189"/>
    <n v="249.38376"/>
    <n v="74.813760000000002"/>
    <n v="174.57"/>
    <n v="53.296896240000002"/>
    <n v="10.574781"/>
    <n v="1"/>
    <n v="5.04"/>
    <n v="121.27310376"/>
  </r>
  <r>
    <x v="158"/>
    <x v="10"/>
    <s v="OFICINA"/>
    <s v="001-001-000000861"/>
    <s v="Distribuidores"/>
    <x v="21"/>
    <n v="13.44"/>
    <x v="189"/>
    <n v="665.01335999999992"/>
    <n v="199.50335999999999"/>
    <n v="465.51"/>
    <n v="120.32346816"/>
    <n v="8.9526390000000013"/>
    <n v="1"/>
    <n v="13.44"/>
    <n v="345.18653183999999"/>
  </r>
  <r>
    <x v="32"/>
    <x v="10"/>
    <s v="OFICINA"/>
    <s v="001-001-000000040"/>
    <s v="Directo"/>
    <x v="16"/>
    <n v="5.88"/>
    <x v="190"/>
    <n v="288.12200000000001"/>
    <n v="28.812000000000001"/>
    <n v="259.31"/>
    <n v="58.0062"/>
    <n v="9.8650000000000002"/>
    <n v="1"/>
    <n v="5.88"/>
    <n v="201.3038"/>
  </r>
  <r>
    <x v="40"/>
    <x v="10"/>
    <s v="OFICINA"/>
    <s v="001-001-000000069"/>
    <s v="Distribuidores"/>
    <x v="25"/>
    <n v="10.08"/>
    <x v="190"/>
    <n v="493.92"/>
    <n v="246.96"/>
    <n v="246.96"/>
    <n v="44.702330400000001"/>
    <n v="4.434755"/>
    <n v="1"/>
    <n v="10.08"/>
    <n v="202.25766960000001"/>
  </r>
  <r>
    <x v="50"/>
    <x v="10"/>
    <s v="SERRANO GARRIDO GIOVANNA DEL ROCIO"/>
    <s v="001-001-000000162"/>
    <s v="Distribuidores"/>
    <x v="21"/>
    <n v="9.24"/>
    <x v="190"/>
    <n v="452.75600000000003"/>
    <n v="158.46600000000001"/>
    <n v="294.29000000000002"/>
    <n v="41.7939522"/>
    <n v="4.523155"/>
    <n v="1"/>
    <n v="9.24"/>
    <n v="252.49604780000001"/>
  </r>
  <r>
    <x v="335"/>
    <x v="10"/>
    <s v="SERRANO GARRIDO GIOVANNA DEL ROCIO"/>
    <s v="001-001-000000179"/>
    <s v="Distribuidores"/>
    <x v="21"/>
    <n v="3.92"/>
    <x v="190"/>
    <n v="192.07799999999997"/>
    <n v="67.227999999999994"/>
    <n v="124.85"/>
    <n v="17.7307676"/>
    <n v="4.523155"/>
    <n v="1"/>
    <n v="3.92"/>
    <n v="107.11923239999999"/>
  </r>
  <r>
    <x v="56"/>
    <x v="10"/>
    <s v="SERRANO GARRIDO GIOVANNA DEL ROCIO"/>
    <s v="001-001-000000185"/>
    <s v="Directo"/>
    <x v="44"/>
    <n v="48.16"/>
    <x v="190"/>
    <n v="2359.8440000000001"/>
    <n v="235.98400000000001"/>
    <n v="2123.86"/>
    <n v="217.83514479999999"/>
    <n v="4.523155"/>
    <n v="1"/>
    <n v="48.16"/>
    <n v="1906.0248552"/>
  </r>
  <r>
    <x v="366"/>
    <x v="10"/>
    <s v="MOPOSITA GUITARRA ENMA PATRICIA"/>
    <s v="001-001-000000299"/>
    <s v="Distribuidores"/>
    <x v="20"/>
    <n v="6.16"/>
    <x v="190"/>
    <n v="304.79888"/>
    <n v="106.67888000000001"/>
    <n v="198.12"/>
    <n v="60.791684799999999"/>
    <n v="9.8687799999999992"/>
    <n v="1"/>
    <n v="6.16"/>
    <n v="137.32831520000002"/>
  </r>
  <r>
    <x v="263"/>
    <x v="10"/>
    <s v="MOPOSITA GUITARRA ENMA PATRICIA"/>
    <s v="001-001-000000407"/>
    <s v="Distribuidores"/>
    <x v="21"/>
    <n v="1.1200000000000001"/>
    <x v="190"/>
    <n v="55.416160000000005"/>
    <n v="19.396159999999998"/>
    <n v="36.020000000000003"/>
    <n v="9.7643492799999994"/>
    <n v="8.7181689999999978"/>
    <n v="1"/>
    <n v="1.1200000000000001"/>
    <n v="26.255650720000006"/>
  </r>
  <r>
    <x v="411"/>
    <x v="10"/>
    <s v="CASTILLO YAQUE SONIA ROXANA"/>
    <s v="001-001-000000512"/>
    <s v="Distribuidores"/>
    <x v="21"/>
    <n v="8.1199999999999992"/>
    <x v="190"/>
    <n v="401.78216000000003"/>
    <n v="140.62216000000001"/>
    <n v="261.16000000000003"/>
    <n v="67.247233480000006"/>
    <n v="8.2816790000000022"/>
    <n v="1"/>
    <n v="8.1199999999999992"/>
    <n v="193.91276652000002"/>
  </r>
  <r>
    <x v="21"/>
    <x v="10"/>
    <s v="OFICINA"/>
    <s v="001-001-000000549"/>
    <s v="Directo"/>
    <x v="97"/>
    <n v="5"/>
    <x v="190"/>
    <n v="247.4"/>
    <n v="24.74"/>
    <n v="222.66"/>
    <n v="40.960360000000001"/>
    <n v="8.1920719999999996"/>
    <n v="1"/>
    <n v="5"/>
    <n v="181.69963999999999"/>
  </r>
  <r>
    <x v="418"/>
    <x v="10"/>
    <s v="OFICINA"/>
    <s v="001-001-000000550"/>
    <s v="Distribuidores"/>
    <x v="20"/>
    <n v="4.2"/>
    <x v="190"/>
    <n v="207.81720000000001"/>
    <n v="93.517200000000003"/>
    <n v="114.3"/>
    <n v="34.376958000000002"/>
    <n v="8.1849900000000009"/>
    <n v="1"/>
    <n v="4.2"/>
    <n v="79.923041999999995"/>
  </r>
  <r>
    <x v="384"/>
    <x v="10"/>
    <s v="OFICINA"/>
    <s v="001-001-000000600"/>
    <s v="Directo"/>
    <x v="209"/>
    <n v="4.72"/>
    <x v="190"/>
    <n v="233.54515872000002"/>
    <n v="211.05515872000001"/>
    <n v="22.49"/>
    <n v="38.185852560000001"/>
    <n v="8.0902229999999999"/>
    <n v="1"/>
    <n v="4.72"/>
    <n v="-15.695852560000002"/>
  </r>
  <r>
    <x v="126"/>
    <x v="10"/>
    <s v="JULIO VASQUEZ"/>
    <s v="001-001-000000635"/>
    <s v="Constructores"/>
    <x v="104"/>
    <n v="14"/>
    <x v="190"/>
    <n v="692.72200000000009"/>
    <n v="69.272000000000006"/>
    <n v="623.45000000000005"/>
    <n v="113.263122"/>
    <n v="8.0902229999999999"/>
    <n v="1"/>
    <n v="14"/>
    <n v="510.18687800000004"/>
  </r>
  <r>
    <x v="145"/>
    <x v="10"/>
    <s v="SERRANO GARRIDO GIOVANNA DEL ROCIO"/>
    <s v="001-001-000000749"/>
    <s v="Distribuidores"/>
    <x v="21"/>
    <n v="1.44"/>
    <x v="190"/>
    <n v="71.245360000000005"/>
    <n v="21.375360000000001"/>
    <n v="49.87"/>
    <n v="10.033473600000001"/>
    <n v="6.967690000000001"/>
    <n v="1"/>
    <n v="1.44"/>
    <n v="39.836526399999997"/>
  </r>
  <r>
    <x v="22"/>
    <x v="10"/>
    <s v="JULIO VASQUEZ"/>
    <s v="001-001-000000573"/>
    <s v="Distribuidores"/>
    <x v="115"/>
    <n v="17"/>
    <x v="191"/>
    <n v="841.1579999999999"/>
    <n v="252.34800000000001"/>
    <n v="588.80999999999995"/>
    <n v="0"/>
    <n v="0"/>
    <n v="1"/>
    <n v="17"/>
    <n v="588.80999999999995"/>
  </r>
  <r>
    <x v="86"/>
    <x v="2"/>
    <s v="ANDRADE CHECA DIANA LUCIA"/>
    <s v="001-001-000000329"/>
    <s v="Directo"/>
    <x v="70"/>
    <n v="123.2"/>
    <x v="192"/>
    <n v="4790.0223999999998"/>
    <n v="718.50239999999997"/>
    <n v="4071.52"/>
    <n v="741.18807839999999"/>
    <n v="6.0161369999999996"/>
    <n v="1"/>
    <n v="123.2"/>
    <n v="3330.3319216"/>
  </r>
  <r>
    <x v="259"/>
    <x v="2"/>
    <s v="CASTILLO YAQUE SONIA ROXANA"/>
    <s v="001-001-000000520"/>
    <s v="Arquitectos"/>
    <x v="103"/>
    <n v="24.5"/>
    <x v="192"/>
    <n v="883.95799999999997"/>
    <n v="265.18799999999999"/>
    <n v="618.77"/>
    <n v="107.0607615"/>
    <n v="4.3698269999999999"/>
    <n v="1"/>
    <n v="24.5"/>
    <n v="511.70923849999997"/>
  </r>
  <r>
    <x v="306"/>
    <x v="2"/>
    <s v="CASTILLO YAQUE SONIA ROXANA"/>
    <s v="001-001-000000557"/>
    <s v="Arquitectos"/>
    <x v="103"/>
    <n v="0.7"/>
    <x v="192"/>
    <n v="25.254175"/>
    <n v="7.5741750000000003"/>
    <n v="17.68"/>
    <n v="3.1773714000000002"/>
    <n v="4.5391020000000006"/>
    <n v="1"/>
    <n v="0.7"/>
    <n v="14.5026286"/>
  </r>
  <r>
    <x v="134"/>
    <x v="2"/>
    <s v="OFICINA"/>
    <s v="001-001-000000673"/>
    <s v="Arquitectos"/>
    <x v="108"/>
    <n v="10.5"/>
    <x v="193"/>
    <n v="360.68"/>
    <n v="0"/>
    <n v="360.68"/>
    <n v="0"/>
    <n v="0"/>
    <n v="1"/>
    <n v="10.5"/>
    <n v="360.68"/>
  </r>
  <r>
    <x v="197"/>
    <x v="2"/>
    <s v="OFICINA"/>
    <s v="001-001-000000836"/>
    <s v="Distribuidores"/>
    <x v="20"/>
    <n v="18.2"/>
    <x v="193"/>
    <n v="625.16650000000004"/>
    <n v="281.32650000000001"/>
    <n v="343.84"/>
    <n v="58.932109599999997"/>
    <n v="3.2380279999999999"/>
    <n v="1"/>
    <n v="18.2"/>
    <n v="284.90789039999999"/>
  </r>
  <r>
    <x v="23"/>
    <x v="2"/>
    <s v="BALLADARES PEREZ REINA JACQUELINE"/>
    <s v="001-001-000000005"/>
    <s v="Directo"/>
    <x v="233"/>
    <n v="17.5"/>
    <x v="194"/>
    <n v="665"/>
    <n v="66.5"/>
    <n v="598.5"/>
    <n v="139.47499999999999"/>
    <n v="7.97"/>
    <n v="1"/>
    <n v="17.5"/>
    <n v="459.02499999999998"/>
  </r>
  <r>
    <x v="200"/>
    <x v="2"/>
    <s v="SERRANO GARRIDO GIOVANNA DEL ROCIO"/>
    <s v="001-001-000000028"/>
    <s v="Distribuidores"/>
    <x v="20"/>
    <n v="49"/>
    <x v="194"/>
    <n v="1862"/>
    <n v="651.70000000000005"/>
    <n v="1210.3"/>
    <n v="381.76228300000002"/>
    <n v="7.7910670000000009"/>
    <n v="1"/>
    <n v="49"/>
    <n v="828.53771699999993"/>
  </r>
  <r>
    <x v="38"/>
    <x v="2"/>
    <s v="SERRANO GARRIDO GIOVANNA DEL ROCIO"/>
    <s v="001-001-000000064"/>
    <s v="Distribuidores"/>
    <x v="20"/>
    <n v="32.200000000000003"/>
    <x v="194"/>
    <n v="1223.5999999999999"/>
    <n v="428.26"/>
    <n v="795.34"/>
    <n v="268.51937420000002"/>
    <n v="8.3391109999999991"/>
    <n v="1"/>
    <n v="32.200000000000003"/>
    <n v="526.82062580000002"/>
  </r>
  <r>
    <x v="230"/>
    <x v="2"/>
    <s v="MOPOSITA GUITARRA ENMA PATRICIA"/>
    <s v="001-001-000000276"/>
    <s v="Distribuidores"/>
    <x v="20"/>
    <n v="70"/>
    <x v="194"/>
    <n v="2660"/>
    <n v="1197"/>
    <n v="1463"/>
    <n v="489.57817999999997"/>
    <n v="6.9939739999999997"/>
    <n v="1"/>
    <n v="70"/>
    <n v="973.42182000000003"/>
  </r>
  <r>
    <x v="299"/>
    <x v="2"/>
    <s v="CASTILLO YAQUE SONIA ROXANA"/>
    <s v="001-001-000000300"/>
    <s v="Distribuidores"/>
    <x v="20"/>
    <n v="33.6"/>
    <x v="194"/>
    <n v="1306.3672000000001"/>
    <n v="522.54719999999998"/>
    <n v="783.82"/>
    <n v="236.32042559999999"/>
    <n v="7.0333459999999999"/>
    <n v="1"/>
    <n v="33.6"/>
    <n v="547.49957440000003"/>
  </r>
  <r>
    <x v="90"/>
    <x v="2"/>
    <s v="CASTILLO YAQUE SONIA ROXANA"/>
    <s v="001-001-000000355"/>
    <s v="Arquitectos"/>
    <x v="73"/>
    <n v="50"/>
    <x v="194"/>
    <n v="1944"/>
    <n v="291.60000000000002"/>
    <n v="1652.4"/>
    <n v="341.33145000000002"/>
    <n v="6.8266290000000005"/>
    <n v="1"/>
    <n v="50"/>
    <n v="1311.06855"/>
  </r>
  <r>
    <x v="317"/>
    <x v="2"/>
    <s v="CASTILLO YAQUE SONIA ROXANA"/>
    <s v="001-001-000000375"/>
    <s v="Distribuidores"/>
    <x v="20"/>
    <n v="26.6"/>
    <x v="194"/>
    <n v="1034.2131999999999"/>
    <n v="413.6832"/>
    <n v="620.53"/>
    <n v="182.39016179999999"/>
    <n v="6.8567729999999996"/>
    <n v="1"/>
    <n v="26.6"/>
    <n v="438.13983819999999"/>
  </r>
  <r>
    <x v="419"/>
    <x v="2"/>
    <s v="CASTILLO YAQUE SONIA ROXANA"/>
    <s v="001-001-000000422"/>
    <s v="Distribuidores"/>
    <x v="20"/>
    <n v="6.3"/>
    <x v="194"/>
    <n v="244.9376"/>
    <n v="97.977599999999995"/>
    <n v="146.96"/>
    <n v="29.106050400000001"/>
    <n v="4.6200080000000003"/>
    <n v="1"/>
    <n v="6.3"/>
    <n v="117.85394960000001"/>
  </r>
  <r>
    <x v="341"/>
    <x v="2"/>
    <s v="CASTILLO YAQUE SONIA ROXANA"/>
    <s v="001-001-000000506"/>
    <s v="Distribuidores"/>
    <x v="20"/>
    <n v="79.8"/>
    <x v="194"/>
    <n v="2741.1255000000001"/>
    <n v="959.39549999999997"/>
    <n v="1781.73"/>
    <n v="350.09736299999997"/>
    <n v="4.3871849999999997"/>
    <n v="1"/>
    <n v="79.8"/>
    <n v="1431.6326370000002"/>
  </r>
  <r>
    <x v="142"/>
    <x v="2"/>
    <s v="OFICINA"/>
    <s v="001-001-000000718"/>
    <s v="Distribuidores"/>
    <x v="20"/>
    <n v="42"/>
    <x v="194"/>
    <n v="1442.6950000000002"/>
    <n v="649.21500000000003"/>
    <n v="793.48"/>
    <n v="184.26177000000001"/>
    <n v="4.3871850000000006"/>
    <n v="1"/>
    <n v="42"/>
    <n v="609.21822999999995"/>
  </r>
  <r>
    <x v="326"/>
    <x v="2"/>
    <s v="OFICINA"/>
    <s v="001-001-000000760"/>
    <s v="Distribuidores"/>
    <x v="20"/>
    <n v="2.1"/>
    <x v="194"/>
    <n v="72.140749999999997"/>
    <n v="32.460749999999997"/>
    <n v="39.68"/>
    <n v="9.6016850999999992"/>
    <n v="4.5722309999999995"/>
    <n v="1"/>
    <n v="2.1"/>
    <n v="30.078314900000002"/>
  </r>
  <r>
    <x v="161"/>
    <x v="2"/>
    <s v="OFICINA"/>
    <s v="001-001-000000883"/>
    <s v="Distribuidores"/>
    <x v="20"/>
    <n v="2.1"/>
    <x v="194"/>
    <n v="72.140749999999997"/>
    <n v="32.460749999999997"/>
    <n v="39.68"/>
    <n v="9.1288532999999994"/>
    <n v="4.347073"/>
    <n v="1"/>
    <n v="2.1"/>
    <n v="30.5511467"/>
  </r>
  <r>
    <x v="250"/>
    <x v="2"/>
    <s v="OFICINA"/>
    <s v="001-001-000000893"/>
    <s v="Distribuidores"/>
    <x v="20"/>
    <n v="53.9"/>
    <x v="194"/>
    <n v="1851.4592499999999"/>
    <n v="833.15925000000004"/>
    <n v="1018.3"/>
    <n v="239.52098169999999"/>
    <n v="4.4438029999999999"/>
    <n v="1"/>
    <n v="53.9"/>
    <n v="778.77901829999996"/>
  </r>
  <r>
    <x v="29"/>
    <x v="2"/>
    <s v="SERRANO GARRIDO GIOVANNA DEL ROCIO"/>
    <s v="001-001-000000022"/>
    <s v="Distribuidores"/>
    <x v="20"/>
    <n v="20.3"/>
    <x v="195"/>
    <n v="771.40000000000009"/>
    <n v="269.99"/>
    <n v="501.41"/>
    <n v="97.973788499999998"/>
    <n v="4.826295"/>
    <n v="1"/>
    <n v="20.3"/>
    <n v="403.43621150000001"/>
  </r>
  <r>
    <x v="200"/>
    <x v="2"/>
    <s v="SERRANO GARRIDO GIOVANNA DEL ROCIO"/>
    <s v="001-001-000000028"/>
    <s v="Distribuidores"/>
    <x v="20"/>
    <n v="49"/>
    <x v="195"/>
    <n v="1862"/>
    <n v="651.70000000000005"/>
    <n v="1210.3"/>
    <n v="236.48845499999999"/>
    <n v="4.826295"/>
    <n v="1"/>
    <n v="49"/>
    <n v="973.81154500000002"/>
  </r>
  <r>
    <x v="420"/>
    <x v="2"/>
    <s v="SERRANO GARRIDO GIOVANNA DEL ROCIO"/>
    <s v="001-001-000000133"/>
    <s v="Distribuidores"/>
    <x v="20"/>
    <n v="1.4"/>
    <x v="195"/>
    <n v="53.2"/>
    <n v="18.62"/>
    <n v="34.58"/>
    <n v="6.7568130000000002"/>
    <n v="4.826295"/>
    <n v="1"/>
    <n v="1.4"/>
    <n v="27.823186999999997"/>
  </r>
  <r>
    <x v="230"/>
    <x v="2"/>
    <s v="MOPOSITA GUITARRA ENMA PATRICIA"/>
    <s v="001-001-000000276"/>
    <s v="Distribuidores"/>
    <x v="20"/>
    <n v="39.200000000000003"/>
    <x v="195"/>
    <n v="1489.6"/>
    <n v="670.32"/>
    <n v="819.28"/>
    <n v="179.67719840000001"/>
    <n v="4.583602"/>
    <n v="1"/>
    <n v="39.200000000000003"/>
    <n v="639.60280160000002"/>
  </r>
  <r>
    <x v="341"/>
    <x v="2"/>
    <s v="CASTILLO YAQUE SONIA ROXANA"/>
    <s v="001-001-000000506"/>
    <s v="Distribuidores"/>
    <x v="20"/>
    <n v="42"/>
    <x v="195"/>
    <n v="1442.7049999999999"/>
    <n v="504.94499999999999"/>
    <n v="937.76"/>
    <n v="141.14205000000001"/>
    <n v="3.3605250000000004"/>
    <n v="1"/>
    <n v="42"/>
    <n v="796.61794999999995"/>
  </r>
  <r>
    <x v="116"/>
    <x v="2"/>
    <s v="OFICINA"/>
    <s v="001-001-000000560"/>
    <s v="Distribuidores"/>
    <x v="98"/>
    <n v="4"/>
    <x v="195"/>
    <n v="137.4"/>
    <n v="41.22"/>
    <n v="96.18"/>
    <n v="13.4421"/>
    <n v="3.360525"/>
    <n v="1"/>
    <n v="4"/>
    <n v="82.73790000000001"/>
  </r>
  <r>
    <x v="129"/>
    <x v="2"/>
    <s v="OFICINA"/>
    <s v="001-001-000000642"/>
    <s v="Distribuidores"/>
    <x v="98"/>
    <n v="2.8"/>
    <x v="195"/>
    <n v="96.182999999999993"/>
    <n v="33.662999999999997"/>
    <n v="62.52"/>
    <n v="9.4094700000000007"/>
    <n v="3.3605250000000004"/>
    <n v="1"/>
    <n v="2.8"/>
    <n v="53.110530000000004"/>
  </r>
  <r>
    <x v="142"/>
    <x v="2"/>
    <s v="OFICINA"/>
    <s v="001-001-000000718"/>
    <s v="Distribuidores"/>
    <x v="20"/>
    <n v="108.5"/>
    <x v="195"/>
    <n v="3726.9787500000002"/>
    <n v="1677.1387500000001"/>
    <n v="2049.84"/>
    <n v="364.6169625"/>
    <n v="3.360525"/>
    <n v="1"/>
    <n v="108.5"/>
    <n v="1685.2230375000001"/>
  </r>
  <r>
    <x v="145"/>
    <x v="2"/>
    <s v="OFICINA"/>
    <s v="001-001-000000753"/>
    <s v="Distribuidores"/>
    <x v="20"/>
    <n v="70"/>
    <x v="195"/>
    <n v="2404.5050000000001"/>
    <n v="1082.0250000000001"/>
    <n v="1322.48"/>
    <n v="214.41448"/>
    <n v="3.0630639999999998"/>
    <n v="1"/>
    <n v="70"/>
    <n v="1108.0655200000001"/>
  </r>
  <r>
    <x v="250"/>
    <x v="2"/>
    <s v="OFICINA"/>
    <s v="001-001-000000893"/>
    <s v="Distribuidores"/>
    <x v="20"/>
    <n v="49"/>
    <x v="195"/>
    <n v="1683.1475"/>
    <n v="757.41750000000002"/>
    <n v="925.73"/>
    <n v="188.70262600000001"/>
    <n v="3.8510740000000001"/>
    <n v="1"/>
    <n v="49"/>
    <n v="737.02737400000001"/>
  </r>
  <r>
    <x v="26"/>
    <x v="2"/>
    <s v="BALLADARES PEREZ REINA JACQUELINE"/>
    <s v="001-001-000000013"/>
    <s v="Directo"/>
    <x v="7"/>
    <n v="12.6"/>
    <x v="196"/>
    <n v="478.8"/>
    <n v="0"/>
    <n v="478.8"/>
    <n v="56.528640000000003"/>
    <n v="4.4864000000000006"/>
    <n v="1"/>
    <n v="12.6"/>
    <n v="422.27136000000002"/>
  </r>
  <r>
    <x v="412"/>
    <x v="2"/>
    <s v="BALLADARES PEREZ REINA JACQUELINE"/>
    <s v="001-001-000000049"/>
    <s v="Directo"/>
    <x v="227"/>
    <n v="2.1"/>
    <x v="196"/>
    <n v="79.8"/>
    <n v="0"/>
    <n v="79.8"/>
    <n v="9.7466649000000007"/>
    <n v="4.6412690000000003"/>
    <n v="1"/>
    <n v="2.1"/>
    <n v="70.053335099999998"/>
  </r>
  <r>
    <x v="421"/>
    <x v="2"/>
    <s v="SERRANO GARRIDO GIOVANNA DEL ROCIO"/>
    <s v="001-001-000000056"/>
    <s v="Distribuidores"/>
    <x v="20"/>
    <n v="32.9"/>
    <x v="196"/>
    <n v="1250.2"/>
    <n v="562.59"/>
    <n v="687.61"/>
    <n v="152.69775010000001"/>
    <n v="4.6412690000000003"/>
    <n v="1"/>
    <n v="32.9"/>
    <n v="534.91224990000001"/>
  </r>
  <r>
    <x v="39"/>
    <x v="2"/>
    <s v="SERRANO GARRIDO GIOVANNA DEL ROCIO"/>
    <s v="001-001-000000065"/>
    <s v="Distribuidores"/>
    <x v="20"/>
    <n v="15.4"/>
    <x v="196"/>
    <n v="585.20000000000005"/>
    <n v="263.33999999999997"/>
    <n v="321.86"/>
    <n v="71.475542599999997"/>
    <n v="4.6412689999999994"/>
    <n v="1"/>
    <n v="15.4"/>
    <n v="250.38445740000003"/>
  </r>
  <r>
    <x v="215"/>
    <x v="2"/>
    <s v="SERRANO GARRIDO GIOVANNA DEL ROCIO"/>
    <s v="001-001-000000143"/>
    <s v="Distribuidores"/>
    <x v="20"/>
    <n v="16.100000000000001"/>
    <x v="196"/>
    <n v="611.79999999999995"/>
    <n v="214.13"/>
    <n v="397.67"/>
    <n v="74.724430900000002"/>
    <n v="4.6412689999999994"/>
    <n v="1"/>
    <n v="16.100000000000001"/>
    <n v="322.9455691"/>
  </r>
  <r>
    <x v="422"/>
    <x v="2"/>
    <s v="MOPOSITA GUITARRA ENMA PATRICIA"/>
    <s v="001-001-000000538"/>
    <s v="Distribuidores"/>
    <x v="20"/>
    <n v="4.2"/>
    <x v="196"/>
    <n v="144.27449999999999"/>
    <n v="50.494500000000002"/>
    <n v="93.78"/>
    <n v="15.7241952"/>
    <n v="3.7438560000000001"/>
    <n v="1"/>
    <n v="4.2"/>
    <n v="78.055804800000004"/>
  </r>
  <r>
    <x v="418"/>
    <x v="2"/>
    <s v="OFICINA"/>
    <s v="001-001-000000551"/>
    <s v="Directo"/>
    <x v="137"/>
    <n v="9.1"/>
    <x v="196"/>
    <n v="312.577"/>
    <n v="62.517000000000003"/>
    <n v="250.06"/>
    <n v="34.7408061"/>
    <n v="3.8176710000000003"/>
    <n v="1"/>
    <n v="9.1"/>
    <n v="215.31919390000002"/>
  </r>
  <r>
    <x v="167"/>
    <x v="2"/>
    <s v="OFICINA"/>
    <s v="001-001-000000585"/>
    <s v="Distribuidores"/>
    <x v="20"/>
    <n v="22.4"/>
    <x v="196"/>
    <n v="769.43799999999999"/>
    <n v="346.24799999999999"/>
    <n v="423.19"/>
    <n v="80.877171200000006"/>
    <n v="3.6105880000000004"/>
    <n v="1"/>
    <n v="22.4"/>
    <n v="342.31282879999998"/>
  </r>
  <r>
    <x v="423"/>
    <x v="2"/>
    <s v="OFICINA"/>
    <s v="001-001-000000625"/>
    <s v="Distribuidores"/>
    <x v="20"/>
    <n v="9.8000000000000007"/>
    <x v="196"/>
    <n v="336.63350000000003"/>
    <n v="151.48349999999999"/>
    <n v="185.15"/>
    <n v="34.509690599999999"/>
    <n v="3.5213969999999994"/>
    <n v="1"/>
    <n v="9.8000000000000007"/>
    <n v="150.64030940000001"/>
  </r>
  <r>
    <x v="125"/>
    <x v="2"/>
    <s v="OFICINA"/>
    <s v="001-001-000000632"/>
    <s v="Distribuidores"/>
    <x v="20"/>
    <n v="0.7"/>
    <x v="196"/>
    <n v="24.04025"/>
    <n v="10.82025"/>
    <n v="13.22"/>
    <n v="2.5139562"/>
    <n v="3.5913660000000003"/>
    <n v="1"/>
    <n v="0.7"/>
    <n v="10.7060438"/>
  </r>
  <r>
    <x v="71"/>
    <x v="2"/>
    <s v="MOPOSITA GUITARRA ENMA PATRICIA"/>
    <s v="001-001-000000251"/>
    <s v="Distribuidores"/>
    <x v="21"/>
    <n v="5.6"/>
    <x v="197"/>
    <n v="217.7254016"/>
    <n v="79.405401600000005"/>
    <n v="138.32"/>
    <n v="24.975999999999999"/>
    <n v="4.46"/>
    <n v="1"/>
    <n v="5.6"/>
    <n v="113.34399999999999"/>
  </r>
  <r>
    <x v="307"/>
    <x v="2"/>
    <s v="OFICINA"/>
    <s v="001-001-000000853"/>
    <s v="Distribuidores"/>
    <x v="21"/>
    <n v="4.2"/>
    <x v="197"/>
    <n v="144.27099999999999"/>
    <n v="43.280999999999999"/>
    <n v="100.99"/>
    <n v="18.423703199999999"/>
    <n v="4.3865959999999991"/>
    <n v="1"/>
    <n v="4.2"/>
    <n v="82.566296800000003"/>
  </r>
  <r>
    <x v="42"/>
    <x v="4"/>
    <s v="SERRANO GARRIDO GIOVANNA DEL ROCIO"/>
    <s v="001-001-000000103"/>
    <s v="Distribuidores"/>
    <x v="20"/>
    <n v="5"/>
    <x v="198"/>
    <n v="170"/>
    <n v="76.5"/>
    <n v="93.5"/>
    <n v="23.51"/>
    <n v="4.702"/>
    <n v="1"/>
    <n v="5"/>
    <n v="69.989999999999995"/>
  </r>
  <r>
    <x v="53"/>
    <x v="4"/>
    <s v="SERRANO GARRIDO GIOVANNA DEL ROCIO"/>
    <s v="001-001-000000174"/>
    <s v="Distribuidores"/>
    <x v="4"/>
    <n v="2"/>
    <x v="198"/>
    <n v="68"/>
    <n v="23.8"/>
    <n v="44.2"/>
    <n v="9.4039999999999999"/>
    <n v="4.702"/>
    <n v="1"/>
    <n v="2"/>
    <n v="34.796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D1E3C-3D9D-44ED-97CF-60E151314A91}" name="TablaDinámica7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ño">
  <location ref="A3:F51" firstHeaderRow="0" firstDataRow="1" firstDataCol="1" rowPageCount="1" colPageCount="1"/>
  <pivotFields count="19">
    <pivotField numFmtId="14" showAll="0">
      <items count="430">
        <item x="23"/>
        <item x="24"/>
        <item x="265"/>
        <item x="25"/>
        <item x="26"/>
        <item x="27"/>
        <item x="396"/>
        <item x="28"/>
        <item x="29"/>
        <item x="30"/>
        <item x="200"/>
        <item x="376"/>
        <item x="0"/>
        <item x="31"/>
        <item x="32"/>
        <item x="33"/>
        <item x="34"/>
        <item x="35"/>
        <item x="1"/>
        <item x="412"/>
        <item x="401"/>
        <item x="402"/>
        <item x="36"/>
        <item x="421"/>
        <item x="37"/>
        <item x="228"/>
        <item x="38"/>
        <item x="39"/>
        <item x="40"/>
        <item x="2"/>
        <item x="266"/>
        <item x="213"/>
        <item x="210"/>
        <item x="171"/>
        <item x="172"/>
        <item x="333"/>
        <item x="199"/>
        <item x="377"/>
        <item x="334"/>
        <item x="214"/>
        <item x="173"/>
        <item x="355"/>
        <item x="328"/>
        <item x="41"/>
        <item x="42"/>
        <item x="43"/>
        <item x="398"/>
        <item x="251"/>
        <item x="3"/>
        <item x="174"/>
        <item x="44"/>
        <item x="45"/>
        <item x="46"/>
        <item x="47"/>
        <item x="420"/>
        <item x="215"/>
        <item x="369"/>
        <item x="267"/>
        <item x="48"/>
        <item x="211"/>
        <item x="49"/>
        <item x="4"/>
        <item x="50"/>
        <item x="51"/>
        <item x="5"/>
        <item x="52"/>
        <item x="53"/>
        <item x="229"/>
        <item x="54"/>
        <item x="55"/>
        <item x="335"/>
        <item x="252"/>
        <item x="56"/>
        <item x="57"/>
        <item x="383"/>
        <item x="321"/>
        <item x="305"/>
        <item x="6"/>
        <item x="58"/>
        <item x="212"/>
        <item x="245"/>
        <item x="59"/>
        <item x="331"/>
        <item x="409"/>
        <item x="246"/>
        <item x="209"/>
        <item x="216"/>
        <item x="60"/>
        <item x="61"/>
        <item x="268"/>
        <item x="62"/>
        <item x="254"/>
        <item x="403"/>
        <item x="63"/>
        <item x="370"/>
        <item x="64"/>
        <item x="7"/>
        <item x="65"/>
        <item x="281"/>
        <item x="66"/>
        <item x="67"/>
        <item x="68"/>
        <item x="217"/>
        <item x="69"/>
        <item x="310"/>
        <item x="70"/>
        <item x="71"/>
        <item x="177"/>
        <item x="368"/>
        <item x="8"/>
        <item x="184"/>
        <item x="298"/>
        <item x="314"/>
        <item x="72"/>
        <item x="391"/>
        <item x="73"/>
        <item x="74"/>
        <item x="230"/>
        <item x="75"/>
        <item x="76"/>
        <item x="77"/>
        <item x="415"/>
        <item x="78"/>
        <item x="367"/>
        <item x="262"/>
        <item x="393"/>
        <item x="9"/>
        <item x="231"/>
        <item x="79"/>
        <item x="261"/>
        <item x="366"/>
        <item x="299"/>
        <item x="232"/>
        <item x="80"/>
        <item x="81"/>
        <item x="218"/>
        <item x="82"/>
        <item x="83"/>
        <item x="84"/>
        <item x="85"/>
        <item x="10"/>
        <item x="175"/>
        <item m="1" x="428"/>
        <item x="315"/>
        <item x="86"/>
        <item x="224"/>
        <item x="87"/>
        <item x="185"/>
        <item x="88"/>
        <item x="89"/>
        <item x="178"/>
        <item x="11"/>
        <item x="90"/>
        <item x="219"/>
        <item x="91"/>
        <item x="371"/>
        <item x="394"/>
        <item x="179"/>
        <item x="92"/>
        <item x="186"/>
        <item x="93"/>
        <item x="316"/>
        <item x="94"/>
        <item x="317"/>
        <item x="12"/>
        <item x="220"/>
        <item x="253"/>
        <item x="13"/>
        <item x="170"/>
        <item x="354"/>
        <item x="95"/>
        <item x="387"/>
        <item x="233"/>
        <item x="96"/>
        <item x="97"/>
        <item x="372"/>
        <item x="356"/>
        <item x="263"/>
        <item x="14"/>
        <item x="325"/>
        <item x="98"/>
        <item x="322"/>
        <item x="99"/>
        <item x="419"/>
        <item x="100"/>
        <item x="360"/>
        <item x="15"/>
        <item x="378"/>
        <item x="16"/>
        <item x="404"/>
        <item x="101"/>
        <item x="397"/>
        <item x="323"/>
        <item x="359"/>
        <item x="102"/>
        <item x="187"/>
        <item x="103"/>
        <item x="221"/>
        <item x="385"/>
        <item x="17"/>
        <item x="405"/>
        <item x="18"/>
        <item x="389"/>
        <item x="104"/>
        <item x="292"/>
        <item x="105"/>
        <item x="106"/>
        <item x="188"/>
        <item x="293"/>
        <item x="336"/>
        <item x="255"/>
        <item x="337"/>
        <item x="107"/>
        <item x="357"/>
        <item x="19"/>
        <item x="338"/>
        <item x="201"/>
        <item x="407"/>
        <item x="311"/>
        <item x="108"/>
        <item x="180"/>
        <item x="330"/>
        <item x="339"/>
        <item x="340"/>
        <item x="109"/>
        <item x="110"/>
        <item x="111"/>
        <item x="284"/>
        <item x="399"/>
        <item x="341"/>
        <item x="392"/>
        <item x="20"/>
        <item x="112"/>
        <item x="411"/>
        <item x="222"/>
        <item x="189"/>
        <item x="259"/>
        <item x="190"/>
        <item x="388"/>
        <item x="113"/>
        <item x="234"/>
        <item x="114"/>
        <item x="408"/>
        <item x="422"/>
        <item x="168"/>
        <item x="361"/>
        <item x="247"/>
        <item x="115"/>
        <item x="264"/>
        <item x="21"/>
        <item x="418"/>
        <item x="260"/>
        <item x="258"/>
        <item x="306"/>
        <item x="116"/>
        <item x="406"/>
        <item x="191"/>
        <item x="235"/>
        <item x="223"/>
        <item x="208"/>
        <item x="414"/>
        <item x="117"/>
        <item x="22"/>
        <item x="288"/>
        <item x="192"/>
        <item x="286"/>
        <item x="225"/>
        <item x="270"/>
        <item x="167"/>
        <item x="118"/>
        <item x="294"/>
        <item x="119"/>
        <item x="226"/>
        <item x="120"/>
        <item x="121"/>
        <item x="384"/>
        <item x="312"/>
        <item x="122"/>
        <item x="342"/>
        <item x="271"/>
        <item x="257"/>
        <item x="343"/>
        <item x="344"/>
        <item x="193"/>
        <item x="123"/>
        <item x="124"/>
        <item x="169"/>
        <item x="236"/>
        <item x="358"/>
        <item x="423"/>
        <item x="345"/>
        <item x="373"/>
        <item x="125"/>
        <item x="126"/>
        <item x="127"/>
        <item x="194"/>
        <item x="128"/>
        <item x="278"/>
        <item x="129"/>
        <item x="285"/>
        <item x="300"/>
        <item x="130"/>
        <item x="131"/>
        <item x="132"/>
        <item x="282"/>
        <item x="374"/>
        <item x="308"/>
        <item x="133"/>
        <item x="237"/>
        <item x="313"/>
        <item x="134"/>
        <item x="272"/>
        <item x="386"/>
        <item x="135"/>
        <item x="346"/>
        <item x="136"/>
        <item x="137"/>
        <item x="138"/>
        <item x="380"/>
        <item x="363"/>
        <item x="390"/>
        <item x="181"/>
        <item x="139"/>
        <item x="347"/>
        <item x="140"/>
        <item x="141"/>
        <item x="295"/>
        <item x="142"/>
        <item x="318"/>
        <item x="256"/>
        <item x="381"/>
        <item x="238"/>
        <item x="239"/>
        <item x="348"/>
        <item x="324"/>
        <item x="289"/>
        <item x="176"/>
        <item x="143"/>
        <item x="144"/>
        <item x="309"/>
        <item x="182"/>
        <item x="273"/>
        <item x="274"/>
        <item x="248"/>
        <item x="145"/>
        <item x="195"/>
        <item x="202"/>
        <item x="417"/>
        <item x="326"/>
        <item x="413"/>
        <item x="296"/>
        <item x="319"/>
        <item x="382"/>
        <item x="240"/>
        <item x="320"/>
        <item x="290"/>
        <item x="249"/>
        <item x="327"/>
        <item x="146"/>
        <item x="147"/>
        <item x="275"/>
        <item x="349"/>
        <item x="183"/>
        <item x="301"/>
        <item x="196"/>
        <item m="1" x="427"/>
        <item x="148"/>
        <item x="149"/>
        <item x="150"/>
        <item x="276"/>
        <item x="350"/>
        <item x="203"/>
        <item x="241"/>
        <item x="332"/>
        <item x="151"/>
        <item x="204"/>
        <item x="227"/>
        <item x="302"/>
        <item x="277"/>
        <item x="152"/>
        <item x="153"/>
        <item x="362"/>
        <item x="400"/>
        <item x="395"/>
        <item x="416"/>
        <item x="154"/>
        <item x="351"/>
        <item x="197"/>
        <item x="155"/>
        <item x="279"/>
        <item x="329"/>
        <item x="410"/>
        <item x="352"/>
        <item x="280"/>
        <item x="364"/>
        <item x="303"/>
        <item x="307"/>
        <item x="242"/>
        <item x="156"/>
        <item x="157"/>
        <item m="1" x="425"/>
        <item x="304"/>
        <item x="158"/>
        <item x="375"/>
        <item x="205"/>
        <item x="159"/>
        <item x="269"/>
        <item m="1" x="426"/>
        <item x="365"/>
        <item x="160"/>
        <item x="161"/>
        <item x="287"/>
        <item x="162"/>
        <item x="206"/>
        <item x="250"/>
        <item x="243"/>
        <item x="163"/>
        <item x="198"/>
        <item x="379"/>
        <item x="207"/>
        <item x="297"/>
        <item x="291"/>
        <item x="244"/>
        <item x="164"/>
        <item x="165"/>
        <item x="166"/>
        <item m="1" x="424"/>
        <item x="353"/>
        <item x="283"/>
        <item t="default"/>
      </items>
    </pivotField>
    <pivotField axis="axisPage" multipleItemSelectionAllowed="1" showAll="0">
      <items count="27">
        <item h="1" x="10"/>
        <item h="1" m="1" x="17"/>
        <item h="1" x="14"/>
        <item h="1" m="1" x="19"/>
        <item h="1" x="2"/>
        <item h="1" m="1" x="18"/>
        <item h="1" x="5"/>
        <item h="1" m="1" x="21"/>
        <item h="1" x="16"/>
        <item m="1" x="25"/>
        <item h="1" m="1" x="20"/>
        <item m="1" x="24"/>
        <item h="1" x="12"/>
        <item h="1" x="11"/>
        <item h="1" x="6"/>
        <item h="1" x="13"/>
        <item h="1" x="0"/>
        <item h="1" x="4"/>
        <item x="8"/>
        <item h="1" m="1" x="22"/>
        <item h="1" x="7"/>
        <item h="1" x="15"/>
        <item h="1" x="9"/>
        <item h="1" x="1"/>
        <item h="1" m="1" x="23"/>
        <item h="1" x="3"/>
        <item t="default"/>
      </items>
    </pivotField>
    <pivotField showAll="0"/>
    <pivotField showAll="0"/>
    <pivotField showAll="0"/>
    <pivotField axis="axisRow" showAll="0">
      <items count="235">
        <item x="137"/>
        <item x="108"/>
        <item x="20"/>
        <item x="214"/>
        <item x="94"/>
        <item x="51"/>
        <item x="143"/>
        <item x="176"/>
        <item x="223"/>
        <item x="205"/>
        <item x="74"/>
        <item x="213"/>
        <item x="96"/>
        <item x="63"/>
        <item x="183"/>
        <item x="107"/>
        <item x="41"/>
        <item x="44"/>
        <item x="116"/>
        <item x="156"/>
        <item x="86"/>
        <item x="102"/>
        <item x="82"/>
        <item x="194"/>
        <item x="229"/>
        <item x="162"/>
        <item x="139"/>
        <item x="182"/>
        <item x="154"/>
        <item x="227"/>
        <item x="202"/>
        <item x="209"/>
        <item x="40"/>
        <item x="91"/>
        <item x="22"/>
        <item x="33"/>
        <item x="15"/>
        <item x="103"/>
        <item x="34"/>
        <item x="49"/>
        <item x="184"/>
        <item x="95"/>
        <item x="80"/>
        <item x="19"/>
        <item x="31"/>
        <item x="196"/>
        <item x="142"/>
        <item x="216"/>
        <item x="120"/>
        <item x="25"/>
        <item x="32"/>
        <item x="222"/>
        <item x="171"/>
        <item x="226"/>
        <item x="206"/>
        <item x="225"/>
        <item x="36"/>
        <item x="6"/>
        <item x="48"/>
        <item x="92"/>
        <item x="78"/>
        <item x="59"/>
        <item x="72"/>
        <item x="125"/>
        <item x="219"/>
        <item x="136"/>
        <item x="4"/>
        <item x="105"/>
        <item x="93"/>
        <item x="230"/>
        <item x="71"/>
        <item x="168"/>
        <item x="16"/>
        <item x="54"/>
        <item x="129"/>
        <item x="84"/>
        <item x="14"/>
        <item x="201"/>
        <item x="233"/>
        <item x="73"/>
        <item x="130"/>
        <item x="1"/>
        <item x="56"/>
        <item x="198"/>
        <item x="61"/>
        <item x="170"/>
        <item x="134"/>
        <item x="62"/>
        <item x="228"/>
        <item x="58"/>
        <item x="57"/>
        <item x="55"/>
        <item x="52"/>
        <item x="149"/>
        <item x="186"/>
        <item x="144"/>
        <item x="140"/>
        <item x="118"/>
        <item x="199"/>
        <item x="27"/>
        <item x="210"/>
        <item x="218"/>
        <item x="7"/>
        <item x="203"/>
        <item x="177"/>
        <item x="43"/>
        <item x="138"/>
        <item x="212"/>
        <item x="66"/>
        <item x="190"/>
        <item x="76"/>
        <item x="126"/>
        <item x="100"/>
        <item x="79"/>
        <item x="122"/>
        <item x="3"/>
        <item x="133"/>
        <item x="39"/>
        <item x="29"/>
        <item x="232"/>
        <item x="115"/>
        <item x="24"/>
        <item x="21"/>
        <item x="10"/>
        <item x="197"/>
        <item x="37"/>
        <item x="204"/>
        <item x="192"/>
        <item x="23"/>
        <item x="179"/>
        <item x="67"/>
        <item x="128"/>
        <item x="75"/>
        <item x="119"/>
        <item x="89"/>
        <item x="164"/>
        <item x="65"/>
        <item x="181"/>
        <item x="60"/>
        <item x="169"/>
        <item x="8"/>
        <item x="12"/>
        <item x="123"/>
        <item x="221"/>
        <item x="195"/>
        <item x="81"/>
        <item x="163"/>
        <item x="97"/>
        <item x="175"/>
        <item x="132"/>
        <item x="77"/>
        <item x="191"/>
        <item x="13"/>
        <item x="193"/>
        <item x="69"/>
        <item x="208"/>
        <item x="35"/>
        <item x="83"/>
        <item x="106"/>
        <item x="42"/>
        <item x="50"/>
        <item x="172"/>
        <item x="85"/>
        <item x="70"/>
        <item x="157"/>
        <item x="207"/>
        <item x="127"/>
        <item x="53"/>
        <item x="224"/>
        <item x="215"/>
        <item x="11"/>
        <item x="90"/>
        <item x="98"/>
        <item x="99"/>
        <item x="88"/>
        <item x="135"/>
        <item x="112"/>
        <item x="217"/>
        <item x="87"/>
        <item x="109"/>
        <item x="145"/>
        <item x="178"/>
        <item x="46"/>
        <item x="153"/>
        <item x="220"/>
        <item x="187"/>
        <item x="64"/>
        <item x="150"/>
        <item x="124"/>
        <item x="121"/>
        <item x="110"/>
        <item x="26"/>
        <item x="28"/>
        <item x="147"/>
        <item x="159"/>
        <item x="231"/>
        <item x="167"/>
        <item x="146"/>
        <item x="111"/>
        <item x="189"/>
        <item x="180"/>
        <item x="101"/>
        <item x="188"/>
        <item x="165"/>
        <item x="17"/>
        <item x="2"/>
        <item x="166"/>
        <item x="47"/>
        <item x="117"/>
        <item x="160"/>
        <item x="104"/>
        <item x="148"/>
        <item x="68"/>
        <item x="151"/>
        <item x="173"/>
        <item x="5"/>
        <item x="30"/>
        <item x="9"/>
        <item x="161"/>
        <item x="155"/>
        <item x="131"/>
        <item x="38"/>
        <item x="141"/>
        <item x="114"/>
        <item x="158"/>
        <item x="200"/>
        <item x="185"/>
        <item x="211"/>
        <item x="45"/>
        <item x="152"/>
        <item x="113"/>
        <item x="174"/>
        <item x="18"/>
        <item x="0"/>
        <item t="default"/>
      </items>
    </pivotField>
    <pivotField numFmtId="4" showAll="0"/>
    <pivotField multipleItemSelectionAllowed="1" showAll="0"/>
    <pivotField dataField="1" numFmtId="43" showAll="0"/>
    <pivotField dataField="1" numFmtId="43" showAll="0"/>
    <pivotField dataField="1" numFmtId="43" showAll="0"/>
    <pivotField dataField="1" showAll="0"/>
    <pivotField numFmtId="43" showAll="0"/>
    <pivotField numFmtId="4" showAll="0"/>
    <pivotField dataField="1" showAll="0"/>
    <pivotField numFmtId="43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sortType="descending" defaultSubtotal="0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</pivotFields>
  <rowFields count="2">
    <field x="18"/>
    <field x="5"/>
  </rowFields>
  <rowItems count="48">
    <i>
      <x v="1"/>
    </i>
    <i r="1">
      <x v="2"/>
    </i>
    <i r="1">
      <x v="6"/>
    </i>
    <i r="1">
      <x v="16"/>
    </i>
    <i r="1">
      <x v="44"/>
    </i>
    <i r="1">
      <x v="46"/>
    </i>
    <i r="1">
      <x v="58"/>
    </i>
    <i r="1">
      <x v="66"/>
    </i>
    <i r="1">
      <x v="74"/>
    </i>
    <i r="1">
      <x v="84"/>
    </i>
    <i r="1">
      <x v="95"/>
    </i>
    <i r="1">
      <x v="96"/>
    </i>
    <i r="1">
      <x v="122"/>
    </i>
    <i r="1">
      <x v="128"/>
    </i>
    <i r="1">
      <x v="136"/>
    </i>
    <i r="1">
      <x v="211"/>
    </i>
    <i r="1">
      <x v="213"/>
    </i>
    <i r="1">
      <x v="217"/>
    </i>
    <i r="1">
      <x v="222"/>
    </i>
    <i>
      <x v="2"/>
    </i>
    <i r="1">
      <x v="2"/>
    </i>
    <i r="1">
      <x v="31"/>
    </i>
    <i r="1">
      <x v="37"/>
    </i>
    <i r="1">
      <x v="67"/>
    </i>
    <i r="1">
      <x v="68"/>
    </i>
    <i r="1">
      <x v="74"/>
    </i>
    <i r="1">
      <x v="79"/>
    </i>
    <i r="1">
      <x v="122"/>
    </i>
    <i r="1">
      <x v="172"/>
    </i>
    <i r="1">
      <x v="180"/>
    </i>
    <i r="1">
      <x v="197"/>
    </i>
    <i r="1">
      <x v="201"/>
    </i>
    <i r="1">
      <x v="210"/>
    </i>
    <i r="1">
      <x v="211"/>
    </i>
    <i>
      <x v="3"/>
    </i>
    <i r="1">
      <x v="2"/>
    </i>
    <i r="1">
      <x v="37"/>
    </i>
    <i r="1">
      <x v="63"/>
    </i>
    <i r="1">
      <x v="93"/>
    </i>
    <i r="1">
      <x v="114"/>
    </i>
    <i r="1">
      <x v="120"/>
    </i>
    <i r="1">
      <x v="122"/>
    </i>
    <i r="1">
      <x v="131"/>
    </i>
    <i r="1">
      <x v="133"/>
    </i>
    <i r="1">
      <x v="187"/>
    </i>
    <i r="1">
      <x v="193"/>
    </i>
    <i r="1">
      <x v="2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Suma de m2" fld="14" baseField="0" baseItem="0"/>
    <dataField name="Suma de Costo Venta" fld="11" baseField="0" baseItem="0"/>
    <dataField name="Suma de Neto" fld="10" baseField="0" baseItem="0" numFmtId="43"/>
    <dataField name="Suma de Descuento" fld="9" baseField="0" baseItem="0" numFmtId="43"/>
    <dataField name="Suma de PVP" fld="8" baseField="0" baseItem="0" numFmtId="43"/>
  </dataFields>
  <formats count="2">
    <format dxfId="89">
      <pivotArea grandRow="1" outline="0" collapsedLevelsAreSubtotals="1" fieldPosition="0"/>
    </format>
    <format dxfId="88">
      <pivotArea collapsedLevelsAreSubtotals="1" fieldPosition="0">
        <references count="2">
          <reference field="5" count="2">
            <x v="2"/>
            <x v="5"/>
          </reference>
          <reference field="18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AED10-D57B-4B4E-9306-61B272D287D6}" name="TablaDiná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ño/trimestre">
  <location ref="A3:E18" firstHeaderRow="0" firstDataRow="1" firstDataCol="1" rowPageCount="1" colPageCount="1"/>
  <pivotFields count="19">
    <pivotField axis="axisRow" numFmtId="14" showAll="0">
      <items count="430">
        <item x="23"/>
        <item x="24"/>
        <item x="265"/>
        <item x="25"/>
        <item x="26"/>
        <item x="27"/>
        <item x="396"/>
        <item x="28"/>
        <item x="29"/>
        <item x="30"/>
        <item x="200"/>
        <item x="376"/>
        <item x="0"/>
        <item x="31"/>
        <item x="32"/>
        <item x="33"/>
        <item x="34"/>
        <item x="35"/>
        <item x="1"/>
        <item x="412"/>
        <item x="401"/>
        <item x="402"/>
        <item x="36"/>
        <item x="421"/>
        <item x="37"/>
        <item x="228"/>
        <item x="38"/>
        <item x="39"/>
        <item x="40"/>
        <item x="2"/>
        <item x="266"/>
        <item x="213"/>
        <item x="210"/>
        <item x="171"/>
        <item x="172"/>
        <item x="333"/>
        <item x="199"/>
        <item x="377"/>
        <item x="334"/>
        <item x="214"/>
        <item x="173"/>
        <item x="355"/>
        <item x="328"/>
        <item x="41"/>
        <item x="42"/>
        <item x="43"/>
        <item x="398"/>
        <item x="251"/>
        <item x="3"/>
        <item x="174"/>
        <item x="44"/>
        <item x="45"/>
        <item x="46"/>
        <item x="47"/>
        <item x="420"/>
        <item x="215"/>
        <item x="369"/>
        <item x="267"/>
        <item x="48"/>
        <item x="211"/>
        <item x="49"/>
        <item x="4"/>
        <item x="50"/>
        <item x="51"/>
        <item x="5"/>
        <item x="52"/>
        <item x="53"/>
        <item x="229"/>
        <item x="54"/>
        <item x="55"/>
        <item x="335"/>
        <item x="252"/>
        <item x="56"/>
        <item x="57"/>
        <item x="383"/>
        <item x="321"/>
        <item x="305"/>
        <item x="6"/>
        <item x="58"/>
        <item x="212"/>
        <item x="245"/>
        <item x="59"/>
        <item x="331"/>
        <item x="409"/>
        <item x="246"/>
        <item x="209"/>
        <item x="216"/>
        <item x="60"/>
        <item x="61"/>
        <item x="268"/>
        <item x="62"/>
        <item x="254"/>
        <item x="403"/>
        <item x="63"/>
        <item x="370"/>
        <item x="64"/>
        <item x="7"/>
        <item x="65"/>
        <item x="281"/>
        <item x="66"/>
        <item x="67"/>
        <item x="68"/>
        <item x="217"/>
        <item x="69"/>
        <item x="310"/>
        <item x="70"/>
        <item x="71"/>
        <item x="177"/>
        <item x="368"/>
        <item x="8"/>
        <item x="184"/>
        <item x="298"/>
        <item x="314"/>
        <item x="72"/>
        <item x="391"/>
        <item x="73"/>
        <item x="74"/>
        <item x="230"/>
        <item x="75"/>
        <item x="76"/>
        <item x="77"/>
        <item x="415"/>
        <item x="78"/>
        <item x="367"/>
        <item x="262"/>
        <item x="393"/>
        <item x="9"/>
        <item x="231"/>
        <item x="79"/>
        <item x="261"/>
        <item x="366"/>
        <item x="299"/>
        <item x="232"/>
        <item x="80"/>
        <item x="81"/>
        <item x="218"/>
        <item x="82"/>
        <item x="83"/>
        <item x="84"/>
        <item x="85"/>
        <item x="10"/>
        <item x="175"/>
        <item m="1" x="428"/>
        <item x="315"/>
        <item x="86"/>
        <item x="224"/>
        <item x="87"/>
        <item x="185"/>
        <item x="88"/>
        <item x="89"/>
        <item x="178"/>
        <item x="11"/>
        <item x="90"/>
        <item x="219"/>
        <item x="91"/>
        <item x="371"/>
        <item x="394"/>
        <item x="179"/>
        <item x="92"/>
        <item x="186"/>
        <item x="93"/>
        <item x="316"/>
        <item x="94"/>
        <item x="317"/>
        <item x="12"/>
        <item x="220"/>
        <item x="253"/>
        <item x="13"/>
        <item x="170"/>
        <item x="354"/>
        <item x="95"/>
        <item x="387"/>
        <item x="233"/>
        <item x="96"/>
        <item x="97"/>
        <item x="372"/>
        <item x="356"/>
        <item x="263"/>
        <item x="14"/>
        <item x="325"/>
        <item x="98"/>
        <item x="322"/>
        <item x="99"/>
        <item x="419"/>
        <item x="100"/>
        <item x="360"/>
        <item x="15"/>
        <item x="378"/>
        <item x="16"/>
        <item x="404"/>
        <item x="101"/>
        <item x="397"/>
        <item x="323"/>
        <item x="359"/>
        <item x="102"/>
        <item x="187"/>
        <item x="103"/>
        <item x="221"/>
        <item x="385"/>
        <item x="17"/>
        <item x="405"/>
        <item x="18"/>
        <item x="389"/>
        <item x="104"/>
        <item x="292"/>
        <item x="105"/>
        <item x="106"/>
        <item x="188"/>
        <item x="293"/>
        <item x="336"/>
        <item x="255"/>
        <item x="337"/>
        <item x="107"/>
        <item x="357"/>
        <item x="19"/>
        <item x="338"/>
        <item x="201"/>
        <item x="407"/>
        <item x="311"/>
        <item x="108"/>
        <item x="180"/>
        <item x="330"/>
        <item x="339"/>
        <item x="340"/>
        <item x="109"/>
        <item x="110"/>
        <item x="111"/>
        <item x="284"/>
        <item x="399"/>
        <item x="341"/>
        <item x="392"/>
        <item x="20"/>
        <item x="112"/>
        <item x="411"/>
        <item x="222"/>
        <item x="189"/>
        <item x="259"/>
        <item x="190"/>
        <item x="388"/>
        <item x="113"/>
        <item x="234"/>
        <item x="114"/>
        <item x="408"/>
        <item x="422"/>
        <item x="168"/>
        <item x="361"/>
        <item x="247"/>
        <item x="115"/>
        <item x="264"/>
        <item x="21"/>
        <item x="418"/>
        <item x="260"/>
        <item x="258"/>
        <item x="306"/>
        <item x="116"/>
        <item x="406"/>
        <item x="191"/>
        <item x="235"/>
        <item x="223"/>
        <item x="208"/>
        <item x="414"/>
        <item x="117"/>
        <item x="22"/>
        <item x="288"/>
        <item x="192"/>
        <item x="286"/>
        <item x="225"/>
        <item x="270"/>
        <item x="167"/>
        <item x="118"/>
        <item x="294"/>
        <item x="119"/>
        <item x="226"/>
        <item x="120"/>
        <item x="121"/>
        <item x="384"/>
        <item x="312"/>
        <item x="122"/>
        <item x="342"/>
        <item x="271"/>
        <item x="257"/>
        <item x="343"/>
        <item x="344"/>
        <item x="193"/>
        <item x="123"/>
        <item x="124"/>
        <item x="169"/>
        <item x="236"/>
        <item x="358"/>
        <item x="423"/>
        <item x="345"/>
        <item x="373"/>
        <item x="125"/>
        <item x="126"/>
        <item x="127"/>
        <item x="194"/>
        <item x="128"/>
        <item x="278"/>
        <item x="129"/>
        <item x="285"/>
        <item x="300"/>
        <item x="130"/>
        <item x="131"/>
        <item x="132"/>
        <item x="282"/>
        <item x="374"/>
        <item x="308"/>
        <item x="133"/>
        <item x="237"/>
        <item x="313"/>
        <item x="134"/>
        <item x="272"/>
        <item x="386"/>
        <item x="135"/>
        <item x="346"/>
        <item x="136"/>
        <item x="137"/>
        <item x="138"/>
        <item x="380"/>
        <item x="363"/>
        <item x="390"/>
        <item x="181"/>
        <item x="139"/>
        <item x="347"/>
        <item x="140"/>
        <item x="141"/>
        <item x="295"/>
        <item x="142"/>
        <item x="318"/>
        <item x="256"/>
        <item x="381"/>
        <item x="238"/>
        <item x="239"/>
        <item x="348"/>
        <item x="324"/>
        <item x="289"/>
        <item x="176"/>
        <item x="143"/>
        <item x="144"/>
        <item x="309"/>
        <item x="182"/>
        <item x="273"/>
        <item x="274"/>
        <item x="248"/>
        <item x="145"/>
        <item x="195"/>
        <item x="202"/>
        <item x="417"/>
        <item x="326"/>
        <item x="413"/>
        <item x="296"/>
        <item x="319"/>
        <item x="382"/>
        <item x="240"/>
        <item x="320"/>
        <item x="290"/>
        <item x="249"/>
        <item x="327"/>
        <item x="146"/>
        <item x="147"/>
        <item x="275"/>
        <item x="349"/>
        <item x="183"/>
        <item x="301"/>
        <item x="196"/>
        <item m="1" x="427"/>
        <item x="148"/>
        <item x="149"/>
        <item x="150"/>
        <item x="276"/>
        <item x="350"/>
        <item x="203"/>
        <item x="241"/>
        <item x="332"/>
        <item x="151"/>
        <item x="204"/>
        <item x="227"/>
        <item x="302"/>
        <item x="277"/>
        <item x="152"/>
        <item x="153"/>
        <item x="362"/>
        <item x="400"/>
        <item x="395"/>
        <item x="416"/>
        <item x="154"/>
        <item x="351"/>
        <item x="197"/>
        <item x="155"/>
        <item x="279"/>
        <item x="329"/>
        <item x="410"/>
        <item x="352"/>
        <item x="280"/>
        <item x="364"/>
        <item x="303"/>
        <item x="307"/>
        <item x="242"/>
        <item x="156"/>
        <item x="157"/>
        <item m="1" x="425"/>
        <item x="304"/>
        <item x="158"/>
        <item x="375"/>
        <item x="205"/>
        <item x="159"/>
        <item x="269"/>
        <item m="1" x="426"/>
        <item x="365"/>
        <item x="160"/>
        <item x="161"/>
        <item x="287"/>
        <item x="162"/>
        <item x="206"/>
        <item x="250"/>
        <item x="243"/>
        <item x="163"/>
        <item x="198"/>
        <item x="379"/>
        <item x="207"/>
        <item x="297"/>
        <item x="291"/>
        <item x="244"/>
        <item x="164"/>
        <item x="165"/>
        <item x="166"/>
        <item m="1" x="424"/>
        <item x="353"/>
        <item x="283"/>
        <item t="default"/>
      </items>
    </pivotField>
    <pivotField axis="axisPage" multipleItemSelectionAllowed="1" showAll="0">
      <items count="27">
        <item x="10"/>
        <item m="1" x="17"/>
        <item h="1" x="14"/>
        <item m="1" x="19"/>
        <item x="2"/>
        <item m="1" x="18"/>
        <item x="5"/>
        <item m="1" x="21"/>
        <item x="16"/>
        <item h="1" m="1" x="25"/>
        <item m="1" x="20"/>
        <item m="1" x="24"/>
        <item x="12"/>
        <item x="11"/>
        <item h="1" x="6"/>
        <item x="13"/>
        <item h="1" x="0"/>
        <item x="4"/>
        <item x="8"/>
        <item m="1" x="22"/>
        <item x="7"/>
        <item h="1" x="15"/>
        <item h="1" x="9"/>
        <item h="1" x="1"/>
        <item m="1" x="23"/>
        <item x="3"/>
        <item t="default"/>
      </items>
    </pivotField>
    <pivotField showAll="0"/>
    <pivotField showAll="0"/>
    <pivotField showAll="0"/>
    <pivotField showAll="0"/>
    <pivotField numFmtId="4" showAll="0"/>
    <pivotField showAll="0"/>
    <pivotField numFmtId="43" showAll="0"/>
    <pivotField dataField="1" numFmtId="43" showAll="0"/>
    <pivotField dataField="1" numFmtId="43" showAll="0"/>
    <pivotField dataField="1" showAll="0"/>
    <pivotField numFmtId="43" showAll="0"/>
    <pivotField showAll="0"/>
    <pivotField dataField="1" showAll="0"/>
    <pivotField numFmtId="4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4">
    <field x="18"/>
    <field x="17"/>
    <field x="16"/>
    <field x="0"/>
  </rowFields>
  <rowItems count="15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a de m2" fld="14" baseField="15" baseItem="1" numFmtId="43"/>
    <dataField name="Suma de Neto" fld="10" baseField="0" baseItem="0" numFmtId="43"/>
    <dataField name="Suma de Costo Venta" fld="11" baseField="0" baseItem="0"/>
    <dataField name="Suma de Descuento" fld="9" baseField="0" baseItem="0" numFmtId="43"/>
  </dataFields>
  <formats count="1">
    <format dxfId="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1612B-103C-4F4D-BADA-9E7B9FBE9C83}" name="TablaDinámica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 ">
  <location ref="A22:E34" firstHeaderRow="0" firstDataRow="1" firstDataCol="1" rowPageCount="1" colPageCount="1"/>
  <pivotFields count="19">
    <pivotField numFmtId="14" showAll="0">
      <items count="430">
        <item x="23"/>
        <item x="24"/>
        <item x="265"/>
        <item x="25"/>
        <item x="26"/>
        <item x="27"/>
        <item x="396"/>
        <item x="28"/>
        <item x="29"/>
        <item x="30"/>
        <item x="200"/>
        <item x="376"/>
        <item x="0"/>
        <item x="31"/>
        <item x="32"/>
        <item x="33"/>
        <item x="34"/>
        <item x="35"/>
        <item x="1"/>
        <item x="412"/>
        <item x="401"/>
        <item x="402"/>
        <item x="36"/>
        <item x="421"/>
        <item x="37"/>
        <item x="228"/>
        <item x="38"/>
        <item x="39"/>
        <item x="40"/>
        <item x="2"/>
        <item x="266"/>
        <item x="213"/>
        <item x="210"/>
        <item x="171"/>
        <item x="172"/>
        <item x="333"/>
        <item x="199"/>
        <item x="377"/>
        <item x="334"/>
        <item x="214"/>
        <item x="173"/>
        <item x="355"/>
        <item x="328"/>
        <item x="41"/>
        <item x="42"/>
        <item x="43"/>
        <item x="398"/>
        <item x="251"/>
        <item x="3"/>
        <item x="174"/>
        <item x="44"/>
        <item x="45"/>
        <item x="46"/>
        <item x="47"/>
        <item x="420"/>
        <item x="215"/>
        <item x="369"/>
        <item x="267"/>
        <item x="48"/>
        <item x="211"/>
        <item x="49"/>
        <item x="4"/>
        <item x="50"/>
        <item x="51"/>
        <item x="5"/>
        <item x="52"/>
        <item x="53"/>
        <item x="229"/>
        <item x="54"/>
        <item x="55"/>
        <item x="335"/>
        <item x="252"/>
        <item x="56"/>
        <item x="57"/>
        <item x="383"/>
        <item x="321"/>
        <item x="305"/>
        <item x="6"/>
        <item x="58"/>
        <item x="212"/>
        <item x="245"/>
        <item x="59"/>
        <item x="331"/>
        <item x="409"/>
        <item x="246"/>
        <item x="209"/>
        <item x="216"/>
        <item x="60"/>
        <item x="61"/>
        <item x="268"/>
        <item x="62"/>
        <item x="254"/>
        <item x="403"/>
        <item x="63"/>
        <item x="370"/>
        <item x="64"/>
        <item x="7"/>
        <item x="65"/>
        <item x="281"/>
        <item x="66"/>
        <item x="67"/>
        <item x="68"/>
        <item x="217"/>
        <item x="69"/>
        <item x="310"/>
        <item x="70"/>
        <item x="71"/>
        <item x="177"/>
        <item x="368"/>
        <item x="8"/>
        <item x="184"/>
        <item x="298"/>
        <item x="314"/>
        <item x="72"/>
        <item x="391"/>
        <item x="73"/>
        <item x="74"/>
        <item x="230"/>
        <item x="75"/>
        <item x="76"/>
        <item x="77"/>
        <item x="415"/>
        <item x="78"/>
        <item x="367"/>
        <item x="262"/>
        <item x="393"/>
        <item x="9"/>
        <item x="231"/>
        <item x="79"/>
        <item x="261"/>
        <item x="366"/>
        <item x="299"/>
        <item x="232"/>
        <item x="80"/>
        <item x="81"/>
        <item x="218"/>
        <item x="82"/>
        <item x="83"/>
        <item x="84"/>
        <item x="85"/>
        <item x="10"/>
        <item x="175"/>
        <item m="1" x="428"/>
        <item x="315"/>
        <item x="86"/>
        <item x="224"/>
        <item x="87"/>
        <item x="185"/>
        <item x="88"/>
        <item x="89"/>
        <item x="178"/>
        <item x="11"/>
        <item x="90"/>
        <item x="219"/>
        <item x="91"/>
        <item x="371"/>
        <item x="394"/>
        <item x="179"/>
        <item x="92"/>
        <item x="186"/>
        <item x="93"/>
        <item x="316"/>
        <item x="94"/>
        <item x="317"/>
        <item x="12"/>
        <item x="220"/>
        <item x="253"/>
        <item x="13"/>
        <item x="170"/>
        <item x="354"/>
        <item x="95"/>
        <item x="387"/>
        <item x="233"/>
        <item x="96"/>
        <item x="97"/>
        <item x="372"/>
        <item x="356"/>
        <item x="263"/>
        <item x="14"/>
        <item x="325"/>
        <item x="98"/>
        <item x="322"/>
        <item x="99"/>
        <item x="419"/>
        <item x="100"/>
        <item x="360"/>
        <item x="15"/>
        <item x="378"/>
        <item x="16"/>
        <item x="404"/>
        <item x="101"/>
        <item x="397"/>
        <item x="323"/>
        <item x="359"/>
        <item x="102"/>
        <item x="187"/>
        <item x="103"/>
        <item x="221"/>
        <item x="385"/>
        <item x="17"/>
        <item x="405"/>
        <item x="18"/>
        <item x="389"/>
        <item x="104"/>
        <item x="292"/>
        <item x="105"/>
        <item x="106"/>
        <item x="188"/>
        <item x="293"/>
        <item x="336"/>
        <item x="255"/>
        <item x="337"/>
        <item x="107"/>
        <item x="357"/>
        <item x="19"/>
        <item x="338"/>
        <item x="201"/>
        <item x="407"/>
        <item x="311"/>
        <item x="108"/>
        <item x="180"/>
        <item x="330"/>
        <item x="339"/>
        <item x="340"/>
        <item x="109"/>
        <item x="110"/>
        <item x="111"/>
        <item x="284"/>
        <item x="399"/>
        <item x="341"/>
        <item x="392"/>
        <item x="20"/>
        <item x="112"/>
        <item x="411"/>
        <item x="222"/>
        <item x="189"/>
        <item x="259"/>
        <item x="190"/>
        <item x="388"/>
        <item x="113"/>
        <item x="234"/>
        <item x="114"/>
        <item x="408"/>
        <item x="422"/>
        <item x="168"/>
        <item x="361"/>
        <item x="247"/>
        <item x="115"/>
        <item x="264"/>
        <item x="21"/>
        <item x="418"/>
        <item x="260"/>
        <item x="258"/>
        <item x="306"/>
        <item x="116"/>
        <item x="406"/>
        <item x="191"/>
        <item x="235"/>
        <item x="223"/>
        <item x="208"/>
        <item x="414"/>
        <item x="117"/>
        <item x="22"/>
        <item x="288"/>
        <item x="192"/>
        <item x="286"/>
        <item x="225"/>
        <item x="270"/>
        <item x="167"/>
        <item x="118"/>
        <item x="294"/>
        <item x="119"/>
        <item x="226"/>
        <item x="120"/>
        <item x="121"/>
        <item x="384"/>
        <item x="312"/>
        <item x="122"/>
        <item x="342"/>
        <item x="271"/>
        <item x="257"/>
        <item x="343"/>
        <item x="344"/>
        <item x="193"/>
        <item x="123"/>
        <item x="124"/>
        <item x="169"/>
        <item x="236"/>
        <item x="358"/>
        <item x="423"/>
        <item x="345"/>
        <item x="373"/>
        <item x="125"/>
        <item x="126"/>
        <item x="127"/>
        <item x="194"/>
        <item x="128"/>
        <item x="278"/>
        <item x="129"/>
        <item x="285"/>
        <item x="300"/>
        <item x="130"/>
        <item x="131"/>
        <item x="132"/>
        <item x="282"/>
        <item x="374"/>
        <item x="308"/>
        <item x="133"/>
        <item x="237"/>
        <item x="313"/>
        <item x="134"/>
        <item x="272"/>
        <item x="386"/>
        <item x="135"/>
        <item x="346"/>
        <item x="136"/>
        <item x="137"/>
        <item x="138"/>
        <item x="380"/>
        <item x="363"/>
        <item x="390"/>
        <item x="181"/>
        <item x="139"/>
        <item x="347"/>
        <item x="140"/>
        <item x="141"/>
        <item x="295"/>
        <item x="142"/>
        <item x="318"/>
        <item x="256"/>
        <item x="381"/>
        <item x="238"/>
        <item x="239"/>
        <item x="348"/>
        <item x="324"/>
        <item x="289"/>
        <item x="176"/>
        <item x="143"/>
        <item x="144"/>
        <item x="309"/>
        <item x="182"/>
        <item x="273"/>
        <item x="274"/>
        <item x="248"/>
        <item x="145"/>
        <item x="195"/>
        <item x="202"/>
        <item x="417"/>
        <item x="326"/>
        <item x="413"/>
        <item x="296"/>
        <item x="319"/>
        <item x="382"/>
        <item x="240"/>
        <item x="320"/>
        <item x="290"/>
        <item x="249"/>
        <item x="327"/>
        <item x="146"/>
        <item x="147"/>
        <item x="275"/>
        <item x="349"/>
        <item x="183"/>
        <item x="301"/>
        <item x="196"/>
        <item m="1" x="427"/>
        <item x="148"/>
        <item x="149"/>
        <item x="150"/>
        <item x="276"/>
        <item x="350"/>
        <item x="203"/>
        <item x="241"/>
        <item x="332"/>
        <item x="151"/>
        <item x="204"/>
        <item x="227"/>
        <item x="302"/>
        <item x="277"/>
        <item x="152"/>
        <item x="153"/>
        <item x="362"/>
        <item x="400"/>
        <item x="395"/>
        <item x="416"/>
        <item x="154"/>
        <item x="351"/>
        <item x="197"/>
        <item x="155"/>
        <item x="279"/>
        <item x="329"/>
        <item x="410"/>
        <item x="352"/>
        <item x="280"/>
        <item x="364"/>
        <item x="303"/>
        <item x="307"/>
        <item x="242"/>
        <item x="156"/>
        <item x="157"/>
        <item m="1" x="425"/>
        <item x="304"/>
        <item x="158"/>
        <item x="375"/>
        <item x="205"/>
        <item x="159"/>
        <item x="269"/>
        <item m="1" x="426"/>
        <item x="365"/>
        <item x="160"/>
        <item x="161"/>
        <item x="287"/>
        <item x="162"/>
        <item x="206"/>
        <item x="250"/>
        <item x="243"/>
        <item x="163"/>
        <item x="198"/>
        <item x="379"/>
        <item x="207"/>
        <item x="297"/>
        <item x="291"/>
        <item x="244"/>
        <item x="164"/>
        <item x="165"/>
        <item x="166"/>
        <item m="1" x="424"/>
        <item x="353"/>
        <item x="283"/>
        <item t="default"/>
      </items>
    </pivotField>
    <pivotField axis="axisRow" multipleItemSelectionAllowed="1" showAll="0" sortType="descending">
      <items count="27">
        <item x="10"/>
        <item m="1" x="17"/>
        <item h="1" x="14"/>
        <item m="1" x="19"/>
        <item x="2"/>
        <item m="1" x="18"/>
        <item x="5"/>
        <item m="1" x="21"/>
        <item x="16"/>
        <item h="1" m="1" x="25"/>
        <item m="1" x="20"/>
        <item m="1" x="24"/>
        <item x="12"/>
        <item x="11"/>
        <item h="1" x="6"/>
        <item x="13"/>
        <item h="1" x="0"/>
        <item x="4"/>
        <item x="8"/>
        <item m="1" x="22"/>
        <item x="7"/>
        <item h="1" x="15"/>
        <item h="1" x="9"/>
        <item h="1" x="1"/>
        <item m="1" x="23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numFmtId="4" showAll="0"/>
    <pivotField showAll="0"/>
    <pivotField numFmtId="43" showAll="0"/>
    <pivotField dataField="1" numFmtId="43" showAll="0"/>
    <pivotField dataField="1" numFmtId="43" showAll="0"/>
    <pivotField dataField="1" showAll="0"/>
    <pivotField numFmtId="43" showAll="0"/>
    <pivotField showAll="0"/>
    <pivotField dataField="1" showAll="0"/>
    <pivotField numFmtId="43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6">
        <item h="1" sd="0" x="0"/>
        <item x="1"/>
        <item x="2"/>
        <item x="3"/>
        <item h="1" sd="0" x="4"/>
        <item t="default"/>
      </items>
    </pivotField>
  </pivotFields>
  <rowFields count="1">
    <field x="1"/>
  </rowFields>
  <rowItems count="12">
    <i>
      <x v="15"/>
    </i>
    <i>
      <x v="18"/>
    </i>
    <i>
      <x v="17"/>
    </i>
    <i>
      <x/>
    </i>
    <i>
      <x v="4"/>
    </i>
    <i>
      <x v="6"/>
    </i>
    <i>
      <x v="8"/>
    </i>
    <i>
      <x v="12"/>
    </i>
    <i>
      <x v="13"/>
    </i>
    <i>
      <x v="20"/>
    </i>
    <i>
      <x v="2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8" hier="-1"/>
  </pageFields>
  <dataFields count="4">
    <dataField name="Suma de m2" fld="14" baseField="15" baseItem="1" numFmtId="43"/>
    <dataField name="Suma de Neto" fld="10" baseField="0" baseItem="0" numFmtId="43"/>
    <dataField name="Suma de Descuento" fld="9" baseField="0" baseItem="0" numFmtId="43"/>
    <dataField name="Suma de Costo Venta" fld="11" baseField="0" baseItem="0"/>
  </dataFields>
  <formats count="10">
    <format dxfId="65">
      <pivotArea outline="0" collapsedLevelsAreSubtotals="1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8" type="button" dataOnly="0" labelOnly="1" outline="0" axis="axisPage" fieldPosition="0"/>
    </format>
    <format dxfId="61">
      <pivotArea dataOnly="0" labelOnly="1" fieldPosition="0">
        <references count="1">
          <reference field="18" count="3">
            <x v="1"/>
            <x v="2"/>
            <x v="3"/>
          </reference>
        </references>
      </pivotArea>
    </format>
    <format dxfId="60">
      <pivotArea dataOnly="0" labelOnly="1" grandRow="1" outline="0" fieldPosition="0"/>
    </format>
    <format dxfId="59">
      <pivotArea dataOnly="0" labelOnly="1" fieldPosition="0">
        <references count="2">
          <reference field="1" count="16">
            <x v="0"/>
            <x v="1"/>
            <x v="4"/>
            <x v="5"/>
            <x v="6"/>
            <x v="7"/>
            <x v="8"/>
            <x v="10"/>
            <x v="11"/>
            <x v="12"/>
            <x v="13"/>
            <x v="15"/>
            <x v="17"/>
            <x v="18"/>
            <x v="20"/>
            <x v="24"/>
          </reference>
          <reference field="18" count="1" selected="0">
            <x v="1"/>
          </reference>
        </references>
      </pivotArea>
    </format>
    <format dxfId="58">
      <pivotArea dataOnly="0" labelOnly="1" fieldPosition="0">
        <references count="2">
          <reference field="1" count="14">
            <x v="0"/>
            <x v="3"/>
            <x v="4"/>
            <x v="5"/>
            <x v="6"/>
            <x v="7"/>
            <x v="8"/>
            <x v="11"/>
            <x v="12"/>
            <x v="13"/>
            <x v="15"/>
            <x v="17"/>
            <x v="18"/>
            <x v="20"/>
          </reference>
          <reference field="18" count="1" selected="0">
            <x v="2"/>
          </reference>
        </references>
      </pivotArea>
    </format>
    <format dxfId="57">
      <pivotArea dataOnly="0" labelOnly="1" fieldPosition="0">
        <references count="2">
          <reference field="1" count="13">
            <x v="0"/>
            <x v="4"/>
            <x v="5"/>
            <x v="6"/>
            <x v="7"/>
            <x v="8"/>
            <x v="11"/>
            <x v="12"/>
            <x v="13"/>
            <x v="15"/>
            <x v="17"/>
            <x v="18"/>
            <x v="19"/>
          </reference>
          <reference field="18" count="1" selected="0">
            <x v="3"/>
          </reference>
        </references>
      </pivotArea>
    </format>
    <format dxfId="5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E0FE8-73D7-4C05-AED3-BE94B51F9413}" name="TablaDiná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">
  <location ref="J3:N141" firstHeaderRow="0" firstDataRow="1" firstDataCol="1" rowPageCount="1" colPageCount="1"/>
  <pivotFields count="19">
    <pivotField numFmtId="14" showAll="0">
      <items count="430">
        <item x="23"/>
        <item x="24"/>
        <item x="265"/>
        <item x="25"/>
        <item x="26"/>
        <item x="27"/>
        <item x="396"/>
        <item x="28"/>
        <item x="29"/>
        <item x="30"/>
        <item x="200"/>
        <item x="376"/>
        <item x="0"/>
        <item x="31"/>
        <item x="32"/>
        <item x="33"/>
        <item x="34"/>
        <item x="35"/>
        <item x="1"/>
        <item x="412"/>
        <item x="401"/>
        <item x="402"/>
        <item x="36"/>
        <item x="421"/>
        <item x="37"/>
        <item x="228"/>
        <item x="38"/>
        <item x="39"/>
        <item x="40"/>
        <item x="2"/>
        <item x="266"/>
        <item x="213"/>
        <item x="210"/>
        <item x="171"/>
        <item x="172"/>
        <item x="333"/>
        <item x="199"/>
        <item x="377"/>
        <item x="334"/>
        <item x="214"/>
        <item x="173"/>
        <item x="355"/>
        <item x="328"/>
        <item x="41"/>
        <item x="42"/>
        <item x="43"/>
        <item x="398"/>
        <item x="251"/>
        <item x="3"/>
        <item x="174"/>
        <item x="44"/>
        <item x="45"/>
        <item x="46"/>
        <item x="47"/>
        <item x="420"/>
        <item x="215"/>
        <item x="369"/>
        <item x="267"/>
        <item x="48"/>
        <item x="211"/>
        <item x="49"/>
        <item x="4"/>
        <item x="50"/>
        <item x="51"/>
        <item x="5"/>
        <item x="52"/>
        <item x="53"/>
        <item x="229"/>
        <item x="54"/>
        <item x="55"/>
        <item x="335"/>
        <item x="252"/>
        <item x="56"/>
        <item x="57"/>
        <item x="383"/>
        <item x="321"/>
        <item x="305"/>
        <item x="6"/>
        <item x="58"/>
        <item x="212"/>
        <item x="245"/>
        <item x="59"/>
        <item x="331"/>
        <item x="409"/>
        <item x="246"/>
        <item x="209"/>
        <item x="216"/>
        <item x="60"/>
        <item x="61"/>
        <item x="268"/>
        <item x="62"/>
        <item x="254"/>
        <item x="403"/>
        <item x="63"/>
        <item x="370"/>
        <item x="64"/>
        <item x="7"/>
        <item x="65"/>
        <item x="281"/>
        <item x="66"/>
        <item x="67"/>
        <item x="68"/>
        <item x="217"/>
        <item x="69"/>
        <item x="310"/>
        <item x="70"/>
        <item x="71"/>
        <item x="177"/>
        <item x="368"/>
        <item x="8"/>
        <item x="184"/>
        <item x="298"/>
        <item x="314"/>
        <item x="72"/>
        <item x="391"/>
        <item x="73"/>
        <item x="74"/>
        <item x="230"/>
        <item x="75"/>
        <item x="76"/>
        <item x="77"/>
        <item x="415"/>
        <item x="78"/>
        <item x="367"/>
        <item x="262"/>
        <item x="393"/>
        <item x="9"/>
        <item x="231"/>
        <item x="79"/>
        <item x="261"/>
        <item x="366"/>
        <item x="299"/>
        <item x="232"/>
        <item x="80"/>
        <item x="81"/>
        <item x="218"/>
        <item x="82"/>
        <item x="83"/>
        <item x="84"/>
        <item x="85"/>
        <item x="10"/>
        <item x="175"/>
        <item m="1" x="428"/>
        <item x="315"/>
        <item x="86"/>
        <item x="224"/>
        <item x="87"/>
        <item x="185"/>
        <item x="88"/>
        <item x="89"/>
        <item x="178"/>
        <item x="11"/>
        <item x="90"/>
        <item x="219"/>
        <item x="91"/>
        <item x="371"/>
        <item x="394"/>
        <item x="179"/>
        <item x="92"/>
        <item x="186"/>
        <item x="93"/>
        <item x="316"/>
        <item x="94"/>
        <item x="317"/>
        <item x="12"/>
        <item x="220"/>
        <item x="253"/>
        <item x="13"/>
        <item x="170"/>
        <item x="354"/>
        <item x="95"/>
        <item x="387"/>
        <item x="233"/>
        <item x="96"/>
        <item x="97"/>
        <item x="372"/>
        <item x="356"/>
        <item x="263"/>
        <item x="14"/>
        <item x="325"/>
        <item x="98"/>
        <item x="322"/>
        <item x="99"/>
        <item x="419"/>
        <item x="100"/>
        <item x="360"/>
        <item x="15"/>
        <item x="378"/>
        <item x="16"/>
        <item x="404"/>
        <item x="101"/>
        <item x="397"/>
        <item x="323"/>
        <item x="359"/>
        <item x="102"/>
        <item x="187"/>
        <item x="103"/>
        <item x="221"/>
        <item x="385"/>
        <item x="17"/>
        <item x="405"/>
        <item x="18"/>
        <item x="389"/>
        <item x="104"/>
        <item x="292"/>
        <item x="105"/>
        <item x="106"/>
        <item x="188"/>
        <item x="293"/>
        <item x="336"/>
        <item x="255"/>
        <item x="337"/>
        <item x="107"/>
        <item x="357"/>
        <item x="19"/>
        <item x="338"/>
        <item x="201"/>
        <item x="407"/>
        <item x="311"/>
        <item x="108"/>
        <item x="180"/>
        <item x="330"/>
        <item x="339"/>
        <item x="340"/>
        <item x="109"/>
        <item x="110"/>
        <item x="111"/>
        <item x="284"/>
        <item x="399"/>
        <item x="341"/>
        <item x="392"/>
        <item x="20"/>
        <item x="112"/>
        <item x="411"/>
        <item x="222"/>
        <item x="189"/>
        <item x="259"/>
        <item x="190"/>
        <item x="388"/>
        <item x="113"/>
        <item x="234"/>
        <item x="114"/>
        <item x="408"/>
        <item x="422"/>
        <item x="168"/>
        <item x="361"/>
        <item x="247"/>
        <item x="115"/>
        <item x="264"/>
        <item x="21"/>
        <item x="418"/>
        <item x="260"/>
        <item x="258"/>
        <item x="306"/>
        <item x="116"/>
        <item x="406"/>
        <item x="191"/>
        <item x="235"/>
        <item x="223"/>
        <item x="208"/>
        <item x="414"/>
        <item x="117"/>
        <item x="22"/>
        <item x="288"/>
        <item x="192"/>
        <item x="286"/>
        <item x="225"/>
        <item x="270"/>
        <item x="167"/>
        <item x="118"/>
        <item x="294"/>
        <item x="119"/>
        <item x="226"/>
        <item x="120"/>
        <item x="121"/>
        <item x="384"/>
        <item x="312"/>
        <item x="122"/>
        <item x="342"/>
        <item x="271"/>
        <item x="257"/>
        <item x="343"/>
        <item x="344"/>
        <item x="193"/>
        <item x="123"/>
        <item x="124"/>
        <item x="169"/>
        <item x="236"/>
        <item x="358"/>
        <item x="423"/>
        <item x="345"/>
        <item x="373"/>
        <item x="125"/>
        <item x="126"/>
        <item x="127"/>
        <item x="194"/>
        <item x="128"/>
        <item x="278"/>
        <item x="129"/>
        <item x="285"/>
        <item x="300"/>
        <item x="130"/>
        <item x="131"/>
        <item x="132"/>
        <item x="282"/>
        <item x="374"/>
        <item x="308"/>
        <item x="133"/>
        <item x="237"/>
        <item x="313"/>
        <item x="134"/>
        <item x="272"/>
        <item x="386"/>
        <item x="135"/>
        <item x="346"/>
        <item x="136"/>
        <item x="137"/>
        <item x="138"/>
        <item x="380"/>
        <item x="363"/>
        <item x="390"/>
        <item x="181"/>
        <item x="139"/>
        <item x="347"/>
        <item x="140"/>
        <item x="141"/>
        <item x="295"/>
        <item x="142"/>
        <item x="318"/>
        <item x="256"/>
        <item x="381"/>
        <item x="238"/>
        <item x="239"/>
        <item x="348"/>
        <item x="324"/>
        <item x="289"/>
        <item x="176"/>
        <item x="143"/>
        <item x="144"/>
        <item x="309"/>
        <item x="182"/>
        <item x="273"/>
        <item x="274"/>
        <item x="248"/>
        <item x="145"/>
        <item x="195"/>
        <item x="202"/>
        <item x="417"/>
        <item x="326"/>
        <item x="413"/>
        <item x="296"/>
        <item x="319"/>
        <item x="382"/>
        <item x="240"/>
        <item x="320"/>
        <item x="290"/>
        <item x="249"/>
        <item x="327"/>
        <item x="146"/>
        <item x="147"/>
        <item x="275"/>
        <item x="349"/>
        <item x="183"/>
        <item x="301"/>
        <item x="196"/>
        <item m="1" x="427"/>
        <item x="148"/>
        <item x="149"/>
        <item x="150"/>
        <item x="276"/>
        <item x="350"/>
        <item x="203"/>
        <item x="241"/>
        <item x="332"/>
        <item x="151"/>
        <item x="204"/>
        <item x="227"/>
        <item x="302"/>
        <item x="277"/>
        <item x="152"/>
        <item x="153"/>
        <item x="362"/>
        <item x="400"/>
        <item x="395"/>
        <item x="416"/>
        <item x="154"/>
        <item x="351"/>
        <item x="197"/>
        <item x="155"/>
        <item x="279"/>
        <item x="329"/>
        <item x="410"/>
        <item x="352"/>
        <item x="280"/>
        <item x="364"/>
        <item x="303"/>
        <item x="307"/>
        <item x="242"/>
        <item x="156"/>
        <item x="157"/>
        <item m="1" x="425"/>
        <item x="304"/>
        <item x="158"/>
        <item x="375"/>
        <item x="205"/>
        <item x="159"/>
        <item x="269"/>
        <item m="1" x="426"/>
        <item x="365"/>
        <item x="160"/>
        <item x="161"/>
        <item x="287"/>
        <item x="162"/>
        <item x="206"/>
        <item x="250"/>
        <item x="243"/>
        <item x="163"/>
        <item x="198"/>
        <item x="379"/>
        <item x="207"/>
        <item x="297"/>
        <item x="291"/>
        <item x="244"/>
        <item x="164"/>
        <item x="165"/>
        <item x="166"/>
        <item m="1" x="424"/>
        <item x="353"/>
        <item x="283"/>
        <item t="default"/>
      </items>
    </pivotField>
    <pivotField axis="axisPage" multipleItemSelectionAllowed="1" showAll="0">
      <items count="27">
        <item x="10"/>
        <item m="1" x="17"/>
        <item h="1" x="14"/>
        <item m="1" x="19"/>
        <item x="2"/>
        <item m="1" x="18"/>
        <item x="5"/>
        <item m="1" x="21"/>
        <item x="16"/>
        <item h="1" m="1" x="25"/>
        <item m="1" x="20"/>
        <item m="1" x="24"/>
        <item x="12"/>
        <item x="11"/>
        <item h="1" x="6"/>
        <item x="13"/>
        <item h="1" x="0"/>
        <item x="4"/>
        <item x="8"/>
        <item m="1" x="22"/>
        <item x="7"/>
        <item h="1" x="15"/>
        <item h="1" x="9"/>
        <item h="1" x="1"/>
        <item m="1" x="23"/>
        <item h="1" x="3"/>
        <item t="default"/>
      </items>
    </pivotField>
    <pivotField showAll="0"/>
    <pivotField showAll="0"/>
    <pivotField showAll="0"/>
    <pivotField showAll="0"/>
    <pivotField numFmtId="4" showAll="0"/>
    <pivotField axis="axisRow" showAll="0" sortType="descending">
      <items count="280">
        <item x="0"/>
        <item x="1"/>
        <item m="1" x="199"/>
        <item m="1" x="200"/>
        <item m="1" x="201"/>
        <item x="5"/>
        <item x="6"/>
        <item m="1" x="277"/>
        <item m="1" x="202"/>
        <item m="1" x="203"/>
        <item m="1" x="204"/>
        <item m="1" x="205"/>
        <item m="1" x="206"/>
        <item m="1" x="207"/>
        <item x="9"/>
        <item x="10"/>
        <item x="11"/>
        <item x="12"/>
        <item x="13"/>
        <item x="14"/>
        <item x="15"/>
        <item x="16"/>
        <item m="1" x="208"/>
        <item x="18"/>
        <item m="1" x="209"/>
        <item m="1" x="210"/>
        <item x="21"/>
        <item m="1" x="211"/>
        <item m="1" x="212"/>
        <item x="24"/>
        <item m="1" x="213"/>
        <item m="1" x="214"/>
        <item x="27"/>
        <item m="1" x="215"/>
        <item x="29"/>
        <item m="1" x="216"/>
        <item x="31"/>
        <item x="32"/>
        <item x="33"/>
        <item m="1" x="217"/>
        <item m="1" x="218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m="1" x="219"/>
        <item m="1" x="220"/>
        <item m="1" x="221"/>
        <item m="1" x="222"/>
        <item x="53"/>
        <item x="54"/>
        <item m="1" x="223"/>
        <item m="1" x="224"/>
        <item m="1" x="225"/>
        <item x="58"/>
        <item m="1" x="226"/>
        <item x="60"/>
        <item x="61"/>
        <item x="62"/>
        <item m="1" x="227"/>
        <item m="1" x="228"/>
        <item m="1" x="229"/>
        <item x="65"/>
        <item x="66"/>
        <item x="67"/>
        <item m="1" x="230"/>
        <item m="1" x="231"/>
        <item m="1" x="232"/>
        <item x="70"/>
        <item m="1" x="233"/>
        <item m="1" x="234"/>
        <item m="1" x="235"/>
        <item m="1" x="236"/>
        <item m="1" x="237"/>
        <item m="1" x="238"/>
        <item x="76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x="90"/>
        <item m="1" x="256"/>
        <item x="92"/>
        <item m="1" x="257"/>
        <item x="94"/>
        <item m="1" x="258"/>
        <item m="1" x="259"/>
        <item x="98"/>
        <item m="1" x="260"/>
        <item m="1" x="261"/>
        <item x="101"/>
        <item x="102"/>
        <item m="1" x="262"/>
        <item x="103"/>
        <item x="104"/>
        <item m="1" x="263"/>
        <item m="1" x="264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m="1" x="265"/>
        <item x="124"/>
        <item x="125"/>
        <item x="126"/>
        <item x="127"/>
        <item x="128"/>
        <item x="129"/>
        <item m="1" x="266"/>
        <item x="131"/>
        <item x="132"/>
        <item x="133"/>
        <item x="134"/>
        <item x="135"/>
        <item x="136"/>
        <item m="1" x="267"/>
        <item m="1" x="268"/>
        <item x="139"/>
        <item m="1" x="269"/>
        <item x="141"/>
        <item m="1" x="270"/>
        <item x="143"/>
        <item x="144"/>
        <item m="1" x="271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m="1" x="272"/>
        <item m="1" x="273"/>
        <item m="1" x="274"/>
        <item x="162"/>
        <item m="1" x="275"/>
        <item x="164"/>
        <item m="1" x="276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m="1" x="278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"/>
        <item x="3"/>
        <item x="4"/>
        <item x="7"/>
        <item x="8"/>
        <item x="17"/>
        <item x="19"/>
        <item x="20"/>
        <item x="22"/>
        <item x="23"/>
        <item x="25"/>
        <item x="26"/>
        <item x="28"/>
        <item x="30"/>
        <item x="34"/>
        <item x="35"/>
        <item x="50"/>
        <item x="51"/>
        <item x="52"/>
        <item x="55"/>
        <item x="56"/>
        <item x="57"/>
        <item x="59"/>
        <item x="63"/>
        <item x="64"/>
        <item x="68"/>
        <item x="69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3"/>
        <item x="95"/>
        <item x="96"/>
        <item x="97"/>
        <item x="99"/>
        <item x="100"/>
        <item x="105"/>
        <item x="106"/>
        <item x="123"/>
        <item x="130"/>
        <item x="137"/>
        <item x="138"/>
        <item x="140"/>
        <item x="142"/>
        <item x="145"/>
        <item x="159"/>
        <item x="160"/>
        <item x="161"/>
        <item x="163"/>
        <item x="165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numFmtId="43" showAll="0"/>
    <pivotField numFmtId="43" showAll="0"/>
    <pivotField dataField="1" numFmtId="43" showAll="0"/>
    <pivotField dataField="1" showAll="0"/>
    <pivotField numFmtId="43" showAll="0"/>
    <pivotField showAll="0"/>
    <pivotField dataField="1" showAll="0"/>
    <pivotField dataField="1" numFmtId="43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138">
    <i>
      <x v="114"/>
    </i>
    <i>
      <x v="251"/>
    </i>
    <i>
      <x v="217"/>
    </i>
    <i>
      <x v="216"/>
    </i>
    <i>
      <x v="197"/>
    </i>
    <i>
      <x v="255"/>
    </i>
    <i>
      <x v="274"/>
    </i>
    <i>
      <x v="239"/>
    </i>
    <i>
      <x v="236"/>
    </i>
    <i>
      <x v="259"/>
    </i>
    <i>
      <x v="218"/>
    </i>
    <i>
      <x v="237"/>
    </i>
    <i>
      <x v="243"/>
    </i>
    <i>
      <x v="219"/>
    </i>
    <i>
      <x v="186"/>
    </i>
    <i>
      <x v="267"/>
    </i>
    <i>
      <x v="241"/>
    </i>
    <i>
      <x v="154"/>
    </i>
    <i>
      <x v="262"/>
    </i>
    <i>
      <x v="208"/>
    </i>
    <i>
      <x v="132"/>
    </i>
    <i>
      <x v="260"/>
    </i>
    <i>
      <x v="209"/>
    </i>
    <i>
      <x v="245"/>
    </i>
    <i>
      <x v="184"/>
    </i>
    <i>
      <x v="185"/>
    </i>
    <i>
      <x v="269"/>
    </i>
    <i>
      <x v="258"/>
    </i>
    <i>
      <x v="247"/>
    </i>
    <i>
      <x v="227"/>
    </i>
    <i>
      <x v="277"/>
    </i>
    <i>
      <x v="244"/>
    </i>
    <i>
      <x v="206"/>
    </i>
    <i>
      <x v="204"/>
    </i>
    <i>
      <x v="238"/>
    </i>
    <i>
      <x v="228"/>
    </i>
    <i>
      <x v="68"/>
    </i>
    <i>
      <x v="21"/>
    </i>
    <i>
      <x v="246"/>
    </i>
    <i>
      <x v="6"/>
    </i>
    <i>
      <x v="23"/>
    </i>
    <i>
      <x v="210"/>
    </i>
    <i>
      <x v="273"/>
    </i>
    <i>
      <x v="234"/>
    </i>
    <i>
      <x v="254"/>
    </i>
    <i>
      <x v="180"/>
    </i>
    <i>
      <x v="202"/>
    </i>
    <i>
      <x v="276"/>
    </i>
    <i>
      <x v="275"/>
    </i>
    <i>
      <x v="225"/>
    </i>
    <i>
      <x v="194"/>
    </i>
    <i>
      <x v="240"/>
    </i>
    <i>
      <x v="266"/>
    </i>
    <i>
      <x v="66"/>
    </i>
    <i>
      <x v="252"/>
    </i>
    <i>
      <x v="242"/>
    </i>
    <i>
      <x v="235"/>
    </i>
    <i>
      <x v="59"/>
    </i>
    <i>
      <x v="213"/>
    </i>
    <i>
      <x v="226"/>
    </i>
    <i>
      <x v="220"/>
    </i>
    <i>
      <x v="67"/>
    </i>
    <i>
      <x v="278"/>
    </i>
    <i>
      <x v="261"/>
    </i>
    <i>
      <x v="189"/>
    </i>
    <i>
      <x v="73"/>
    </i>
    <i>
      <x v="187"/>
    </i>
    <i>
      <x v="135"/>
    </i>
    <i>
      <x v="113"/>
    </i>
    <i>
      <x v="142"/>
    </i>
    <i>
      <x v="253"/>
    </i>
    <i>
      <x v="36"/>
    </i>
    <i>
      <x v="141"/>
    </i>
    <i>
      <x v="196"/>
    </i>
    <i>
      <x v="203"/>
    </i>
    <i>
      <x v="248"/>
    </i>
    <i>
      <x v="19"/>
    </i>
    <i>
      <x v="26"/>
    </i>
    <i>
      <x v="140"/>
    </i>
    <i>
      <x v="179"/>
    </i>
    <i>
      <x v="137"/>
    </i>
    <i>
      <x v="74"/>
    </i>
    <i>
      <x v="156"/>
    </i>
    <i>
      <x v="188"/>
    </i>
    <i>
      <x v="37"/>
    </i>
    <i>
      <x v="272"/>
    </i>
    <i>
      <x v="264"/>
    </i>
    <i>
      <x v="250"/>
    </i>
    <i>
      <x v="265"/>
    </i>
    <i>
      <x v="249"/>
    </i>
    <i>
      <x v="60"/>
    </i>
    <i>
      <x v="152"/>
    </i>
    <i>
      <x v="138"/>
    </i>
    <i>
      <x v="231"/>
    </i>
    <i>
      <x v="149"/>
    </i>
    <i>
      <x v="45"/>
    </i>
    <i>
      <x v="175"/>
    </i>
    <i>
      <x v="207"/>
    </i>
    <i>
      <x v="78"/>
    </i>
    <i>
      <x v="38"/>
    </i>
    <i>
      <x v="64"/>
    </i>
    <i>
      <x v="107"/>
    </i>
    <i>
      <x v="205"/>
    </i>
    <i>
      <x v="271"/>
    </i>
    <i>
      <x v="232"/>
    </i>
    <i>
      <x v="221"/>
    </i>
    <i>
      <x v="110"/>
    </i>
    <i>
      <x v="198"/>
    </i>
    <i>
      <x v="200"/>
    </i>
    <i>
      <x v="195"/>
    </i>
    <i>
      <x v="181"/>
    </i>
    <i>
      <x v="257"/>
    </i>
    <i>
      <x v="139"/>
    </i>
    <i>
      <x v="268"/>
    </i>
    <i>
      <x v="34"/>
    </i>
    <i>
      <x v="105"/>
    </i>
    <i>
      <x v="32"/>
    </i>
    <i>
      <x v="201"/>
    </i>
    <i>
      <x v="157"/>
    </i>
    <i>
      <x v="263"/>
    </i>
    <i>
      <x v="256"/>
    </i>
    <i>
      <x v="177"/>
    </i>
    <i>
      <x v="134"/>
    </i>
    <i>
      <x v="230"/>
    </i>
    <i>
      <x v="223"/>
    </i>
    <i>
      <x v="270"/>
    </i>
    <i>
      <x v="211"/>
    </i>
    <i>
      <x v="224"/>
    </i>
    <i>
      <x v="133"/>
    </i>
    <i>
      <x v="46"/>
    </i>
    <i>
      <x v="233"/>
    </i>
    <i>
      <x v="85"/>
    </i>
    <i>
      <x v="20"/>
    </i>
    <i>
      <x v="212"/>
    </i>
    <i>
      <x v="222"/>
    </i>
    <i>
      <x v="44"/>
    </i>
    <i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a de m2" fld="14" baseField="15" baseItem="1" numFmtId="43"/>
    <dataField name="Suma de Neto" fld="10" baseField="0" baseItem="0" numFmtId="43"/>
    <dataField name="MP" fld="11" baseField="0" baseItem="0"/>
    <dataField name="Suma de rentabilidad" fld="15" baseField="0" baseItem="0" numFmtId="43"/>
  </dataFields>
  <formats count="1">
    <format dxfId="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6E712-A68B-401C-8EC4-D274E93F6484}" name="Tabla1" displayName="Tabla1" ref="A1:P1388" totalsRowCount="1" headerRowDxfId="87" dataDxfId="85" headerRowBorderDxfId="86" tableBorderDxfId="84" totalsRowBorderDxfId="83">
  <autoFilter ref="A1:P1387" xr:uid="{5AB6E712-A68B-401C-8EC4-D274E93F6484}"/>
  <sortState xmlns:xlrd2="http://schemas.microsoft.com/office/spreadsheetml/2017/richdata2" ref="A2:P1387">
    <sortCondition ref="H1:H1387"/>
  </sortState>
  <tableColumns count="16">
    <tableColumn id="1" xr3:uid="{E6BED697-77B8-492C-B81A-BC95813678E8}" name="Fecha de Emisión" dataDxfId="82" totalsRowDxfId="40"/>
    <tableColumn id="2" xr3:uid="{804601AF-7BF9-4283-BD9F-A3A4BAC31329}" name="Categoría Producto" dataDxfId="81" totalsRowDxfId="39"/>
    <tableColumn id="3" xr3:uid="{0235D993-A67C-4022-A9C7-5FEA98FDFF06}" name="Vendedor" dataDxfId="80" totalsRowDxfId="38"/>
    <tableColumn id="4" xr3:uid="{7149B15C-2BD7-4DFE-9B92-B3933473CDE6}" name="# Documento" dataDxfId="79" totalsRowDxfId="37"/>
    <tableColumn id="5" xr3:uid="{9C6F1AA2-F773-4047-9550-6A9125745AAA}" name="Canal Comercial" dataDxfId="78" totalsRowDxfId="36"/>
    <tableColumn id="6" xr3:uid="{4F2427E2-F716-45B5-B19A-CFFD199EF6C2}" name="Razón Social" dataDxfId="77" totalsRowDxfId="35"/>
    <tableColumn id="7" xr3:uid="{6F3779E7-1E9E-4876-813C-8A84FC7F90CB}" name="Cantidad" dataDxfId="76" totalsRowDxfId="34"/>
    <tableColumn id="8" xr3:uid="{25987EB1-0990-4293-90D4-B3CF3C85D600}" name="Producto" dataDxfId="75" totalsRowDxfId="33"/>
    <tableColumn id="17" xr3:uid="{606E1159-ADB5-4422-88C4-780C4ECD3808}" name="PVP" dataDxfId="74" totalsRowDxfId="32">
      <calculatedColumnFormula>Tabla1[[#This Row],[Descuento]]+Tabla1[[#This Row],[Neto]]</calculatedColumnFormula>
    </tableColumn>
    <tableColumn id="9" xr3:uid="{972574FC-B59A-4A5A-9B84-721820A93C89}" name="Descuento" totalsRowFunction="sum" dataDxfId="73" totalsRowDxfId="31"/>
    <tableColumn id="10" xr3:uid="{6BE76960-AA8C-47AE-A17D-E019ED631464}" name="Neto" totalsRowFunction="sum" dataDxfId="72" totalsRowDxfId="30"/>
    <tableColumn id="11" xr3:uid="{F6F12217-0F43-49AB-B766-8B37D204206D}" name="Costo Venta" totalsRowFunction="sum" dataDxfId="71" totalsRowDxfId="29"/>
    <tableColumn id="14" xr3:uid="{8FF4D873-7886-493D-97DA-7C2F3EBC1FE0}" name="Costo Uni." dataDxfId="70" totalsRowDxfId="28">
      <calculatedColumnFormula>+Tabla1[[#This Row],[Costo Venta]]/Tabla1[[#This Row],[Cantidad]]</calculatedColumnFormula>
    </tableColumn>
    <tableColumn id="12" xr3:uid="{782AB0F1-18FC-44CB-A4D4-18AD2746A69C}" name="Conversión" dataDxfId="69" totalsRowDxfId="27"/>
    <tableColumn id="13" xr3:uid="{2983C6EF-4802-46EB-B0BE-6CB16142135A}" name="M2" totalsRowFunction="sum" dataDxfId="68" totalsRowDxfId="26">
      <calculatedColumnFormula>+Tabla1[[#This Row],[Conversión]]*Tabla1[[#This Row],[Cantidad]]</calculatedColumnFormula>
    </tableColumn>
    <tableColumn id="15" xr3:uid="{8916C92F-FA21-4DD8-9CFE-26C4D86D4DDA}" name="Rentabilidad" dataDxfId="67" totalsRowDxfId="25">
      <calculatedColumnFormula>Tabla1[[#This Row],[Neto]]-Tabla1[[#This Row],[Costo Venta]]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799D-01CE-4A95-9725-F8DAD37ED24F}">
  <dimension ref="A1:J51"/>
  <sheetViews>
    <sheetView topLeftCell="A28" workbookViewId="0">
      <selection activeCell="D40" sqref="D40"/>
    </sheetView>
  </sheetViews>
  <sheetFormatPr baseColWidth="10" defaultColWidth="11.42578125" defaultRowHeight="15" x14ac:dyDescent="0.25"/>
  <cols>
    <col min="1" max="1" width="50" bestFit="1" customWidth="1"/>
    <col min="2" max="2" width="11.7109375" bestFit="1" customWidth="1"/>
    <col min="3" max="3" width="19.85546875" bestFit="1" customWidth="1"/>
    <col min="4" max="4" width="13.42578125" bestFit="1" customWidth="1"/>
    <col min="5" max="5" width="18.5703125" bestFit="1" customWidth="1"/>
    <col min="6" max="6" width="12.5703125" bestFit="1" customWidth="1"/>
    <col min="8" max="8" width="10.7109375" style="15"/>
  </cols>
  <sheetData>
    <row r="1" spans="1:10" x14ac:dyDescent="0.25">
      <c r="A1" s="11" t="s">
        <v>0</v>
      </c>
      <c r="B1" t="s">
        <v>1</v>
      </c>
    </row>
    <row r="3" spans="1:10" x14ac:dyDescent="0.25">
      <c r="A3" s="11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10" x14ac:dyDescent="0.25">
      <c r="A4" s="12" t="s">
        <v>8</v>
      </c>
      <c r="B4" s="54"/>
      <c r="C4" s="54"/>
      <c r="D4" s="14"/>
      <c r="E4" s="14"/>
      <c r="F4" s="14"/>
      <c r="J4" t="e">
        <f>C4/B4</f>
        <v>#DIV/0!</v>
      </c>
    </row>
    <row r="5" spans="1:10" x14ac:dyDescent="0.25">
      <c r="A5" s="13" t="s">
        <v>9</v>
      </c>
      <c r="B5" s="14">
        <v>388.32400000000007</v>
      </c>
      <c r="C5" s="14">
        <v>4454.2045399999997</v>
      </c>
      <c r="D5" s="14">
        <v>20018.52</v>
      </c>
      <c r="E5" s="14">
        <v>10781.397700000001</v>
      </c>
      <c r="F5" s="14">
        <v>30799.917699999998</v>
      </c>
      <c r="G5">
        <f t="shared" ref="G5:G16" si="0">D5/B5</f>
        <v>51.551075905686993</v>
      </c>
      <c r="H5" s="15">
        <f>E5/F5</f>
        <v>0.35004631522116053</v>
      </c>
      <c r="J5">
        <f t="shared" ref="J5:J6" si="1">C5/B5</f>
        <v>11.470330291200129</v>
      </c>
    </row>
    <row r="6" spans="1:10" x14ac:dyDescent="0.25">
      <c r="A6" s="13" t="s">
        <v>10</v>
      </c>
      <c r="B6" s="54">
        <v>34.242000000000004</v>
      </c>
      <c r="C6" s="54">
        <v>287.41770000000002</v>
      </c>
      <c r="D6" s="14">
        <v>1240.5</v>
      </c>
      <c r="E6" s="14">
        <v>799.5</v>
      </c>
      <c r="F6" s="14">
        <v>2040</v>
      </c>
      <c r="G6">
        <f t="shared" si="0"/>
        <v>36.227439985982123</v>
      </c>
      <c r="H6" s="15">
        <f t="shared" ref="H6:H39" si="2">E6/F6</f>
        <v>0.39191176470588235</v>
      </c>
      <c r="J6">
        <f t="shared" si="1"/>
        <v>8.3937182407569644</v>
      </c>
    </row>
    <row r="7" spans="1:10" x14ac:dyDescent="0.25">
      <c r="A7" s="13" t="s">
        <v>11</v>
      </c>
      <c r="B7" s="54">
        <v>78.792000000000002</v>
      </c>
      <c r="C7" s="54">
        <v>566.62785199999996</v>
      </c>
      <c r="D7" s="14">
        <v>3204</v>
      </c>
      <c r="E7" s="14">
        <v>356</v>
      </c>
      <c r="F7" s="14">
        <v>3560</v>
      </c>
      <c r="G7">
        <f t="shared" si="0"/>
        <v>40.664026804751749</v>
      </c>
      <c r="H7" s="15">
        <f t="shared" si="2"/>
        <v>0.1</v>
      </c>
    </row>
    <row r="8" spans="1:10" x14ac:dyDescent="0.25">
      <c r="A8" s="13" t="s">
        <v>12</v>
      </c>
      <c r="B8" s="54">
        <v>0.94599999999999995</v>
      </c>
      <c r="C8" s="54">
        <v>13.940000000000001</v>
      </c>
      <c r="D8" s="14">
        <v>146</v>
      </c>
      <c r="E8" s="14">
        <v>0</v>
      </c>
      <c r="F8" s="14">
        <v>146</v>
      </c>
      <c r="G8">
        <f t="shared" si="0"/>
        <v>154.33403805496829</v>
      </c>
      <c r="H8" s="15">
        <f t="shared" si="2"/>
        <v>0</v>
      </c>
    </row>
    <row r="9" spans="1:10" x14ac:dyDescent="0.25">
      <c r="A9" s="13" t="s">
        <v>13</v>
      </c>
      <c r="B9" s="54">
        <v>7.75</v>
      </c>
      <c r="C9" s="54">
        <v>72.42</v>
      </c>
      <c r="D9" s="14">
        <v>376.2</v>
      </c>
      <c r="E9" s="14">
        <v>41.8</v>
      </c>
      <c r="F9" s="14">
        <v>418</v>
      </c>
      <c r="G9">
        <f t="shared" si="0"/>
        <v>48.541935483870965</v>
      </c>
      <c r="H9" s="15">
        <f t="shared" si="2"/>
        <v>9.9999999999999992E-2</v>
      </c>
    </row>
    <row r="10" spans="1:10" x14ac:dyDescent="0.25">
      <c r="A10" s="13" t="s">
        <v>14</v>
      </c>
      <c r="B10" s="54">
        <v>32.742000000000004</v>
      </c>
      <c r="C10" s="54">
        <v>251.33585199999999</v>
      </c>
      <c r="D10" s="14">
        <v>1527.6799999999998</v>
      </c>
      <c r="E10" s="14">
        <v>208.32000000000002</v>
      </c>
      <c r="F10" s="14">
        <v>1736</v>
      </c>
      <c r="G10">
        <f t="shared" si="0"/>
        <v>46.658114959379382</v>
      </c>
      <c r="H10" s="15">
        <f t="shared" si="2"/>
        <v>0.12000000000000001</v>
      </c>
    </row>
    <row r="11" spans="1:10" x14ac:dyDescent="0.25">
      <c r="A11" s="13" t="s">
        <v>15</v>
      </c>
      <c r="B11" s="54">
        <v>82.778999999999996</v>
      </c>
      <c r="C11" s="54">
        <v>1045.160079</v>
      </c>
      <c r="D11" s="14">
        <v>4859.49</v>
      </c>
      <c r="E11" s="14">
        <v>1467.1880000000001</v>
      </c>
      <c r="F11" s="14">
        <v>6326.6779999999999</v>
      </c>
      <c r="G11">
        <f t="shared" si="0"/>
        <v>58.704381546044289</v>
      </c>
      <c r="H11" s="15">
        <f t="shared" si="2"/>
        <v>0.23190495865286651</v>
      </c>
    </row>
    <row r="12" spans="1:10" x14ac:dyDescent="0.25">
      <c r="A12" s="13" t="s">
        <v>16</v>
      </c>
      <c r="B12" s="54">
        <v>23.189999999999998</v>
      </c>
      <c r="C12" s="54">
        <v>197.790795</v>
      </c>
      <c r="D12" s="14">
        <v>721.53</v>
      </c>
      <c r="E12" s="14">
        <v>388.51175999999998</v>
      </c>
      <c r="F12" s="14">
        <v>1110.0417600000001</v>
      </c>
      <c r="G12">
        <f t="shared" si="0"/>
        <v>31.113842173350584</v>
      </c>
      <c r="H12" s="15">
        <f t="shared" si="2"/>
        <v>0.34999742712382276</v>
      </c>
    </row>
    <row r="13" spans="1:10" x14ac:dyDescent="0.25">
      <c r="A13" s="13" t="s">
        <v>17</v>
      </c>
      <c r="B13" s="54">
        <v>6.2919999999999998</v>
      </c>
      <c r="C13" s="54">
        <v>47.443514</v>
      </c>
      <c r="D13" s="14">
        <v>571.31999999999994</v>
      </c>
      <c r="E13" s="14">
        <v>0</v>
      </c>
      <c r="F13" s="14">
        <v>571.31999999999994</v>
      </c>
      <c r="G13">
        <f t="shared" si="0"/>
        <v>90.801017164653516</v>
      </c>
      <c r="H13" s="15">
        <f t="shared" si="2"/>
        <v>0</v>
      </c>
    </row>
    <row r="14" spans="1:10" x14ac:dyDescent="0.25">
      <c r="A14" s="13" t="s">
        <v>18</v>
      </c>
      <c r="B14" s="54">
        <v>175.11199999999999</v>
      </c>
      <c r="C14" s="54">
        <v>1471.0547448000002</v>
      </c>
      <c r="D14" s="14">
        <v>12190.26</v>
      </c>
      <c r="E14" s="14">
        <v>32.678800000000003</v>
      </c>
      <c r="F14" s="14">
        <v>12222.9388</v>
      </c>
      <c r="G14">
        <f t="shared" si="0"/>
        <v>69.614075563068212</v>
      </c>
      <c r="H14" s="15">
        <f t="shared" si="2"/>
        <v>2.6735632514170815E-3</v>
      </c>
    </row>
    <row r="15" spans="1:10" x14ac:dyDescent="0.25">
      <c r="A15" s="13" t="s">
        <v>19</v>
      </c>
      <c r="B15" s="54">
        <v>91.558999999999997</v>
      </c>
      <c r="C15" s="54">
        <v>613.3013085</v>
      </c>
      <c r="D15" s="14">
        <v>5068</v>
      </c>
      <c r="E15" s="14">
        <v>0</v>
      </c>
      <c r="F15" s="14">
        <v>5068</v>
      </c>
      <c r="G15">
        <f t="shared" si="0"/>
        <v>55.352286503784448</v>
      </c>
      <c r="H15" s="15">
        <f t="shared" si="2"/>
        <v>0</v>
      </c>
    </row>
    <row r="16" spans="1:10" x14ac:dyDescent="0.25">
      <c r="A16" s="13" t="s">
        <v>20</v>
      </c>
      <c r="B16" s="54">
        <v>114.69199999999999</v>
      </c>
      <c r="C16" s="54">
        <v>749.10111199999983</v>
      </c>
      <c r="D16" s="14">
        <v>5040.75</v>
      </c>
      <c r="E16" s="14">
        <v>2714.2500000000005</v>
      </c>
      <c r="F16" s="14">
        <v>7755</v>
      </c>
      <c r="G16">
        <f t="shared" si="0"/>
        <v>43.950319115544239</v>
      </c>
      <c r="H16" s="15">
        <f t="shared" si="2"/>
        <v>0.35000000000000003</v>
      </c>
    </row>
    <row r="17" spans="1:8" x14ac:dyDescent="0.25">
      <c r="A17" s="13" t="s">
        <v>21</v>
      </c>
      <c r="B17" s="54">
        <v>18</v>
      </c>
      <c r="C17" s="54">
        <v>343.09247449999998</v>
      </c>
      <c r="D17" s="14">
        <v>891.1</v>
      </c>
      <c r="E17" s="14">
        <v>381.9</v>
      </c>
      <c r="F17" s="14">
        <v>1273</v>
      </c>
    </row>
    <row r="18" spans="1:8" x14ac:dyDescent="0.25">
      <c r="A18" s="13" t="s">
        <v>22</v>
      </c>
      <c r="B18" s="54">
        <v>15.75</v>
      </c>
      <c r="C18" s="54">
        <v>145.65</v>
      </c>
      <c r="D18" s="14">
        <v>660.39</v>
      </c>
      <c r="E18" s="14">
        <v>95.49</v>
      </c>
      <c r="F18" s="14">
        <v>755.88</v>
      </c>
      <c r="G18">
        <f t="shared" ref="G18:G29" si="3">D18/B18</f>
        <v>41.929523809523808</v>
      </c>
      <c r="H18" s="15">
        <f t="shared" si="2"/>
        <v>0.12632957612319415</v>
      </c>
    </row>
    <row r="19" spans="1:8" x14ac:dyDescent="0.25">
      <c r="A19" s="13" t="s">
        <v>23</v>
      </c>
      <c r="B19" s="54">
        <v>51.137999999999998</v>
      </c>
      <c r="C19" s="54">
        <v>591.9384520000001</v>
      </c>
      <c r="D19" s="14">
        <v>2178.3599999999997</v>
      </c>
      <c r="E19" s="14">
        <v>726.12</v>
      </c>
      <c r="F19" s="14">
        <v>2904.48</v>
      </c>
      <c r="G19">
        <f t="shared" si="3"/>
        <v>42.597676874340017</v>
      </c>
      <c r="H19" s="15">
        <f t="shared" si="2"/>
        <v>0.25</v>
      </c>
    </row>
    <row r="20" spans="1:8" x14ac:dyDescent="0.25">
      <c r="A20" s="13" t="s">
        <v>24</v>
      </c>
      <c r="B20" s="54">
        <v>28.75</v>
      </c>
      <c r="C20" s="54">
        <v>174.124334</v>
      </c>
      <c r="D20" s="14">
        <v>945.79</v>
      </c>
      <c r="E20" s="14">
        <v>436.36959999999999</v>
      </c>
      <c r="F20" s="14">
        <v>1382.1596</v>
      </c>
      <c r="G20">
        <f t="shared" si="3"/>
        <v>32.897043478260869</v>
      </c>
      <c r="H20" s="15">
        <f t="shared" si="2"/>
        <v>0.31571578275041462</v>
      </c>
    </row>
    <row r="21" spans="1:8" x14ac:dyDescent="0.25">
      <c r="A21" s="13" t="s">
        <v>25</v>
      </c>
      <c r="B21" s="54">
        <v>6.7919999999999998</v>
      </c>
      <c r="C21" s="54">
        <v>137.33536000000001</v>
      </c>
      <c r="D21" s="14">
        <v>782.8</v>
      </c>
      <c r="E21" s="14">
        <v>41.2</v>
      </c>
      <c r="F21" s="14">
        <v>824</v>
      </c>
      <c r="G21">
        <f t="shared" si="3"/>
        <v>115.25323910482921</v>
      </c>
      <c r="H21" s="15">
        <f t="shared" si="2"/>
        <v>0.05</v>
      </c>
    </row>
    <row r="22" spans="1:8" x14ac:dyDescent="0.25">
      <c r="A22" s="13" t="s">
        <v>26</v>
      </c>
      <c r="B22" s="54">
        <v>19.760999999999999</v>
      </c>
      <c r="C22" s="54">
        <v>156.223343</v>
      </c>
      <c r="D22" s="14">
        <v>1607.9</v>
      </c>
      <c r="E22" s="14">
        <v>689.1</v>
      </c>
      <c r="F22" s="14">
        <v>2297</v>
      </c>
      <c r="G22">
        <f t="shared" si="3"/>
        <v>81.367339709528878</v>
      </c>
      <c r="H22" s="15">
        <f t="shared" si="2"/>
        <v>0.3</v>
      </c>
    </row>
    <row r="23" spans="1:8" x14ac:dyDescent="0.25">
      <c r="A23" s="12" t="s">
        <v>27</v>
      </c>
      <c r="B23" s="54"/>
      <c r="C23" s="54"/>
      <c r="D23" s="14"/>
      <c r="E23" s="14"/>
      <c r="F23" s="14"/>
      <c r="G23" t="e">
        <f t="shared" si="3"/>
        <v>#DIV/0!</v>
      </c>
      <c r="H23" s="15" t="e">
        <f t="shared" si="2"/>
        <v>#DIV/0!</v>
      </c>
    </row>
    <row r="24" spans="1:8" x14ac:dyDescent="0.25">
      <c r="A24" s="13" t="s">
        <v>9</v>
      </c>
      <c r="B24" s="54">
        <v>182.54499999999996</v>
      </c>
      <c r="C24" s="54">
        <v>1861.8589275500001</v>
      </c>
      <c r="D24" s="14">
        <v>10022.569999999998</v>
      </c>
      <c r="E24" s="14">
        <v>6252.1655999999994</v>
      </c>
      <c r="F24" s="14">
        <v>16274.7356</v>
      </c>
      <c r="G24">
        <f t="shared" si="3"/>
        <v>54.904653647045933</v>
      </c>
      <c r="H24" s="15">
        <f t="shared" si="2"/>
        <v>0.38416388159325915</v>
      </c>
    </row>
    <row r="25" spans="1:8" x14ac:dyDescent="0.25">
      <c r="A25" s="13" t="s">
        <v>28</v>
      </c>
      <c r="B25" s="54">
        <v>8.2799999999999994</v>
      </c>
      <c r="C25" s="54">
        <v>41.004861839999997</v>
      </c>
      <c r="D25" s="14">
        <v>39.409999999999997</v>
      </c>
      <c r="E25" s="14">
        <v>282.52260863999999</v>
      </c>
      <c r="F25" s="14">
        <v>321.93260864000001</v>
      </c>
      <c r="G25">
        <f t="shared" si="3"/>
        <v>4.7596618357487923</v>
      </c>
      <c r="H25" s="15">
        <f t="shared" si="2"/>
        <v>0.87758307502154864</v>
      </c>
    </row>
    <row r="26" spans="1:8" x14ac:dyDescent="0.25">
      <c r="A26" s="13" t="s">
        <v>29</v>
      </c>
      <c r="B26" s="54">
        <v>247.215</v>
      </c>
      <c r="C26" s="54">
        <v>1763.3979214999999</v>
      </c>
      <c r="D26" s="14">
        <v>8087.86</v>
      </c>
      <c r="E26" s="14">
        <v>3466.2240000000011</v>
      </c>
      <c r="F26" s="14">
        <v>11554.083999999999</v>
      </c>
      <c r="G26">
        <f t="shared" si="3"/>
        <v>32.715895071091964</v>
      </c>
      <c r="H26" s="15">
        <f t="shared" si="2"/>
        <v>0.29999989614062017</v>
      </c>
    </row>
    <row r="27" spans="1:8" x14ac:dyDescent="0.25">
      <c r="A27" s="13" t="s">
        <v>30</v>
      </c>
      <c r="B27" s="54">
        <v>8.6839999999999993</v>
      </c>
      <c r="C27" s="54">
        <v>130.030798</v>
      </c>
      <c r="D27" s="14">
        <v>1027.67</v>
      </c>
      <c r="E27" s="14">
        <v>54.087999999999994</v>
      </c>
      <c r="F27" s="14">
        <v>1081.758</v>
      </c>
      <c r="G27">
        <f t="shared" si="3"/>
        <v>118.34062643942886</v>
      </c>
      <c r="H27" s="15">
        <f t="shared" si="2"/>
        <v>5.000009244211736E-2</v>
      </c>
    </row>
    <row r="28" spans="1:8" x14ac:dyDescent="0.25">
      <c r="A28" s="13" t="s">
        <v>31</v>
      </c>
      <c r="B28" s="54">
        <v>11.5</v>
      </c>
      <c r="C28" s="54">
        <v>89.846000000000004</v>
      </c>
      <c r="D28" s="14">
        <v>1188.82</v>
      </c>
      <c r="E28" s="14">
        <v>640.13600000000008</v>
      </c>
      <c r="F28" s="14">
        <v>1828.9560000000001</v>
      </c>
      <c r="G28">
        <f t="shared" si="3"/>
        <v>103.37565217391304</v>
      </c>
      <c r="H28" s="15">
        <f t="shared" si="2"/>
        <v>0.35000076546401337</v>
      </c>
    </row>
    <row r="29" spans="1:8" x14ac:dyDescent="0.25">
      <c r="A29" s="13" t="s">
        <v>16</v>
      </c>
      <c r="B29" s="54">
        <v>5.5</v>
      </c>
      <c r="C29" s="54">
        <v>26.746400999999999</v>
      </c>
      <c r="D29" s="14">
        <v>151.72</v>
      </c>
      <c r="E29" s="14">
        <v>81.697000000000003</v>
      </c>
      <c r="F29" s="14">
        <v>233.417</v>
      </c>
      <c r="G29">
        <f t="shared" si="3"/>
        <v>27.585454545454546</v>
      </c>
      <c r="H29" s="15">
        <f t="shared" si="2"/>
        <v>0.35000449838700698</v>
      </c>
    </row>
    <row r="30" spans="1:8" x14ac:dyDescent="0.25">
      <c r="A30" s="13" t="s">
        <v>32</v>
      </c>
      <c r="B30" s="54">
        <v>9.625</v>
      </c>
      <c r="C30" s="54">
        <v>150.91766799999999</v>
      </c>
      <c r="D30" s="14">
        <v>1070.9299999999998</v>
      </c>
      <c r="E30" s="14">
        <v>188.988</v>
      </c>
      <c r="F30" s="14">
        <v>1259.9179999999999</v>
      </c>
    </row>
    <row r="31" spans="1:8" x14ac:dyDescent="0.25">
      <c r="A31" s="13" t="s">
        <v>20</v>
      </c>
      <c r="B31" s="54">
        <v>282.76900000000001</v>
      </c>
      <c r="C31" s="54">
        <v>3350.8605159999993</v>
      </c>
      <c r="D31" s="14">
        <v>9940.9100000000017</v>
      </c>
      <c r="E31" s="14">
        <v>7026.844000000001</v>
      </c>
      <c r="F31" s="14">
        <v>16967.754000000001</v>
      </c>
      <c r="G31">
        <f t="shared" ref="G31:G39" si="4">D31/B31</f>
        <v>35.155586362012812</v>
      </c>
      <c r="H31" s="15">
        <f t="shared" si="2"/>
        <v>0.41412929489666106</v>
      </c>
    </row>
    <row r="32" spans="1:8" x14ac:dyDescent="0.25">
      <c r="A32" s="13" t="s">
        <v>34</v>
      </c>
      <c r="B32" s="54">
        <v>36.9</v>
      </c>
      <c r="C32" s="54">
        <v>284.70655499999998</v>
      </c>
      <c r="D32" s="14">
        <v>1626.69</v>
      </c>
      <c r="E32" s="14">
        <v>697.15200000000004</v>
      </c>
      <c r="F32" s="14">
        <v>2323.8420000000001</v>
      </c>
      <c r="G32">
        <f t="shared" si="4"/>
        <v>44.083739837398376</v>
      </c>
      <c r="H32" s="15">
        <f t="shared" si="2"/>
        <v>0.29999974180688704</v>
      </c>
    </row>
    <row r="33" spans="1:8" x14ac:dyDescent="0.25">
      <c r="A33" s="13" t="s">
        <v>35</v>
      </c>
      <c r="B33" s="54">
        <v>21.81</v>
      </c>
      <c r="C33" s="54">
        <v>244.58370600000001</v>
      </c>
      <c r="D33" s="14">
        <v>1339.81</v>
      </c>
      <c r="E33" s="14">
        <v>608.02944000000002</v>
      </c>
      <c r="F33" s="14">
        <v>1947.83944</v>
      </c>
      <c r="G33">
        <f t="shared" si="4"/>
        <v>61.430994956441999</v>
      </c>
      <c r="H33" s="15">
        <f t="shared" si="2"/>
        <v>0.31215583148886239</v>
      </c>
    </row>
    <row r="34" spans="1:8" x14ac:dyDescent="0.25">
      <c r="A34" s="13" t="s">
        <v>36</v>
      </c>
      <c r="B34" s="54">
        <v>4.2</v>
      </c>
      <c r="C34" s="54">
        <v>27.759713999999999</v>
      </c>
      <c r="D34" s="14">
        <v>161.69999999999999</v>
      </c>
      <c r="E34" s="14">
        <v>53.900000000000006</v>
      </c>
      <c r="F34" s="14">
        <v>215.60000000000002</v>
      </c>
      <c r="G34">
        <f t="shared" si="4"/>
        <v>38.499999999999993</v>
      </c>
      <c r="H34" s="15">
        <f t="shared" si="2"/>
        <v>0.25</v>
      </c>
    </row>
    <row r="35" spans="1:8" x14ac:dyDescent="0.25">
      <c r="A35" s="13" t="s">
        <v>37</v>
      </c>
      <c r="B35" s="54">
        <v>7</v>
      </c>
      <c r="C35" s="54">
        <v>47.119660000000003</v>
      </c>
      <c r="D35" s="14">
        <v>500.98</v>
      </c>
      <c r="E35" s="14">
        <v>55.664000000000001</v>
      </c>
      <c r="F35" s="14">
        <v>556.64400000000001</v>
      </c>
      <c r="G35">
        <f t="shared" si="4"/>
        <v>71.568571428571431</v>
      </c>
      <c r="H35" s="15">
        <f t="shared" si="2"/>
        <v>9.9999281407865709E-2</v>
      </c>
    </row>
    <row r="36" spans="1:8" x14ac:dyDescent="0.25">
      <c r="A36" s="13" t="s">
        <v>38</v>
      </c>
      <c r="B36" s="54">
        <v>0.52499999999999991</v>
      </c>
      <c r="C36" s="54">
        <v>6.7126359999999998</v>
      </c>
      <c r="D36" s="14">
        <v>0</v>
      </c>
      <c r="E36" s="14">
        <v>59.64</v>
      </c>
      <c r="F36" s="14">
        <v>59.64</v>
      </c>
      <c r="G36">
        <f t="shared" si="4"/>
        <v>0</v>
      </c>
      <c r="H36" s="15">
        <f t="shared" si="2"/>
        <v>1</v>
      </c>
    </row>
    <row r="37" spans="1:8" x14ac:dyDescent="0.25">
      <c r="A37" s="13" t="s">
        <v>23</v>
      </c>
      <c r="B37" s="54">
        <v>2</v>
      </c>
      <c r="C37" s="54">
        <v>20.503533999999998</v>
      </c>
      <c r="D37" s="14">
        <v>58.32</v>
      </c>
      <c r="E37" s="14">
        <v>19.440000000000001</v>
      </c>
      <c r="F37" s="14">
        <v>77.760000000000005</v>
      </c>
      <c r="G37">
        <f t="shared" si="4"/>
        <v>29.16</v>
      </c>
      <c r="H37" s="15">
        <f t="shared" si="2"/>
        <v>0.25</v>
      </c>
    </row>
    <row r="38" spans="1:8" x14ac:dyDescent="0.25">
      <c r="A38" s="12" t="s">
        <v>39</v>
      </c>
      <c r="B38" s="54"/>
      <c r="C38" s="54"/>
      <c r="D38" s="14"/>
      <c r="E38" s="14"/>
      <c r="F38" s="14"/>
      <c r="G38" t="e">
        <f t="shared" si="4"/>
        <v>#DIV/0!</v>
      </c>
      <c r="H38" s="15" t="e">
        <f t="shared" si="2"/>
        <v>#DIV/0!</v>
      </c>
    </row>
    <row r="39" spans="1:8" x14ac:dyDescent="0.25">
      <c r="A39" s="13" t="s">
        <v>9</v>
      </c>
      <c r="B39" s="54">
        <v>177.58000000000004</v>
      </c>
      <c r="C39" s="54">
        <v>1680.1740669999997</v>
      </c>
      <c r="D39" s="14">
        <v>6270.9999999999991</v>
      </c>
      <c r="E39" s="14">
        <v>5130.8279999999986</v>
      </c>
      <c r="F39" s="14">
        <v>11401.828</v>
      </c>
      <c r="G39">
        <f t="shared" si="4"/>
        <v>35.313661448361287</v>
      </c>
      <c r="H39" s="15">
        <f t="shared" si="2"/>
        <v>0.45000047360826695</v>
      </c>
    </row>
    <row r="40" spans="1:8" x14ac:dyDescent="0.25">
      <c r="A40" s="13" t="s">
        <v>29</v>
      </c>
      <c r="B40" s="54">
        <v>5.5</v>
      </c>
      <c r="C40" s="54">
        <v>28.0049025</v>
      </c>
      <c r="D40" s="14">
        <v>149.68</v>
      </c>
      <c r="E40" s="14">
        <v>64.152000000000001</v>
      </c>
      <c r="F40" s="14">
        <v>213.83199999999999</v>
      </c>
    </row>
    <row r="41" spans="1:8" x14ac:dyDescent="0.25">
      <c r="A41" s="13" t="s">
        <v>40</v>
      </c>
      <c r="B41" s="54">
        <v>43.891999999999996</v>
      </c>
      <c r="C41" s="54">
        <v>256.58541700000001</v>
      </c>
      <c r="D41" s="14">
        <v>1813.92</v>
      </c>
      <c r="E41" s="14">
        <v>604.64</v>
      </c>
      <c r="F41" s="14">
        <v>2418.56</v>
      </c>
    </row>
    <row r="42" spans="1:8" x14ac:dyDescent="0.25">
      <c r="A42" s="13" t="s">
        <v>41</v>
      </c>
      <c r="B42" s="54">
        <v>16.872</v>
      </c>
      <c r="C42" s="54">
        <v>166.60338000000002</v>
      </c>
      <c r="D42" s="14">
        <v>1508.18</v>
      </c>
      <c r="E42" s="14">
        <v>646.36799999999994</v>
      </c>
      <c r="F42" s="14">
        <v>2154.5480000000002</v>
      </c>
    </row>
    <row r="43" spans="1:8" x14ac:dyDescent="0.25">
      <c r="A43" s="13" t="s">
        <v>42</v>
      </c>
      <c r="B43" s="54">
        <v>2.1</v>
      </c>
      <c r="C43" s="54">
        <v>37.542870000000001</v>
      </c>
      <c r="D43" s="14">
        <v>309.66000000000003</v>
      </c>
      <c r="E43" s="14">
        <v>166.74</v>
      </c>
      <c r="F43" s="14">
        <v>476.40000000000003</v>
      </c>
    </row>
    <row r="44" spans="1:8" x14ac:dyDescent="0.25">
      <c r="A44" s="13" t="s">
        <v>43</v>
      </c>
      <c r="B44" s="54">
        <v>7.492</v>
      </c>
      <c r="C44" s="54">
        <v>73.128824000000009</v>
      </c>
      <c r="D44" s="14">
        <v>629.1</v>
      </c>
      <c r="E44" s="14">
        <v>269.61599999999999</v>
      </c>
      <c r="F44" s="14">
        <v>898.71600000000001</v>
      </c>
    </row>
    <row r="45" spans="1:8" x14ac:dyDescent="0.25">
      <c r="A45" s="13" t="s">
        <v>20</v>
      </c>
      <c r="B45" s="54">
        <v>6.1230000000000002</v>
      </c>
      <c r="C45" s="54">
        <v>55.783389</v>
      </c>
      <c r="D45" s="14">
        <v>352.1</v>
      </c>
      <c r="E45" s="14">
        <v>150.9</v>
      </c>
      <c r="F45" s="14">
        <v>503</v>
      </c>
    </row>
    <row r="46" spans="1:8" x14ac:dyDescent="0.25">
      <c r="A46" s="13" t="s">
        <v>44</v>
      </c>
      <c r="B46" s="54">
        <v>0.125</v>
      </c>
      <c r="C46" s="54">
        <v>4.8583869999999996</v>
      </c>
      <c r="D46" s="14">
        <v>12.92</v>
      </c>
      <c r="E46" s="14">
        <v>6.9580000000000002</v>
      </c>
      <c r="F46" s="14">
        <v>19.878</v>
      </c>
    </row>
    <row r="47" spans="1:8" x14ac:dyDescent="0.25">
      <c r="A47" s="13" t="s">
        <v>45</v>
      </c>
      <c r="B47" s="54">
        <v>6.7919999999999998</v>
      </c>
      <c r="C47" s="54">
        <v>77.127319999999997</v>
      </c>
      <c r="D47" s="14">
        <v>573.44000000000005</v>
      </c>
      <c r="E47" s="14">
        <v>245.76000000000002</v>
      </c>
      <c r="F47" s="14">
        <v>819.19999999999993</v>
      </c>
    </row>
    <row r="48" spans="1:8" x14ac:dyDescent="0.25">
      <c r="A48" s="13" t="s">
        <v>46</v>
      </c>
      <c r="B48" s="54">
        <v>0.52499999999999991</v>
      </c>
      <c r="C48" s="54">
        <v>5.8671119999999997</v>
      </c>
      <c r="D48" s="14">
        <v>50.69</v>
      </c>
      <c r="E48" s="14">
        <v>8.9459999999999997</v>
      </c>
      <c r="F48" s="14">
        <v>59.635999999999996</v>
      </c>
    </row>
    <row r="49" spans="1:6" x14ac:dyDescent="0.25">
      <c r="A49" s="13" t="s">
        <v>47</v>
      </c>
      <c r="B49" s="54">
        <v>5.9689999999999994</v>
      </c>
      <c r="C49" s="54">
        <v>60.747385000000001</v>
      </c>
      <c r="D49" s="14">
        <v>382.69</v>
      </c>
      <c r="E49" s="14">
        <v>313.11</v>
      </c>
      <c r="F49" s="14">
        <v>695.80000000000007</v>
      </c>
    </row>
    <row r="50" spans="1:6" x14ac:dyDescent="0.25">
      <c r="A50" s="13" t="s">
        <v>38</v>
      </c>
      <c r="B50" s="54">
        <v>8.7169999999999987</v>
      </c>
      <c r="C50" s="54">
        <v>80.09372599999999</v>
      </c>
      <c r="D50" s="14">
        <v>882.21</v>
      </c>
      <c r="E50" s="14">
        <v>155.68199999999999</v>
      </c>
      <c r="F50" s="14">
        <v>1037.8920000000001</v>
      </c>
    </row>
    <row r="51" spans="1:6" x14ac:dyDescent="0.25">
      <c r="A51" s="12" t="s">
        <v>48</v>
      </c>
      <c r="B51" s="14">
        <v>2286.8510000000001</v>
      </c>
      <c r="C51" s="14">
        <v>21890.727139189996</v>
      </c>
      <c r="D51" s="14">
        <v>110183.57000000002</v>
      </c>
      <c r="E51" s="14">
        <v>46410.016508640016</v>
      </c>
      <c r="F51" s="14">
        <v>156593.58650864003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90"/>
  <sheetViews>
    <sheetView tabSelected="1" topLeftCell="D163" workbookViewId="0">
      <selection activeCell="F184" sqref="F184"/>
    </sheetView>
  </sheetViews>
  <sheetFormatPr baseColWidth="10" defaultColWidth="9.140625" defaultRowHeight="15" x14ac:dyDescent="0.25"/>
  <cols>
    <col min="1" max="1" width="21.5703125" style="50" bestFit="1" customWidth="1"/>
    <col min="2" max="2" width="25.7109375" customWidth="1"/>
    <col min="3" max="3" width="18.5703125" customWidth="1"/>
    <col min="4" max="6" width="25.7109375" customWidth="1"/>
    <col min="7" max="7" width="14" customWidth="1"/>
    <col min="8" max="8" width="52" customWidth="1"/>
    <col min="9" max="9" width="18.5703125" customWidth="1"/>
    <col min="10" max="10" width="14.5703125" bestFit="1" customWidth="1"/>
    <col min="11" max="11" width="13.140625" customWidth="1"/>
    <col min="12" max="12" width="13.7109375" customWidth="1"/>
    <col min="13" max="13" width="13.42578125" bestFit="1" customWidth="1"/>
    <col min="14" max="14" width="12.140625" customWidth="1"/>
    <col min="15" max="15" width="10.28515625" customWidth="1"/>
    <col min="16" max="16" width="16.42578125" bestFit="1" customWidth="1"/>
    <col min="17" max="27" width="25.7109375" customWidth="1"/>
  </cols>
  <sheetData>
    <row r="1" spans="1:16" x14ac:dyDescent="0.25">
      <c r="A1" s="47" t="s">
        <v>49</v>
      </c>
      <c r="B1" s="4" t="s">
        <v>0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53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5" t="s">
        <v>60</v>
      </c>
      <c r="N1" s="5" t="s">
        <v>61</v>
      </c>
      <c r="O1" s="4" t="s">
        <v>62</v>
      </c>
      <c r="P1" s="4" t="s">
        <v>63</v>
      </c>
    </row>
    <row r="2" spans="1:16" x14ac:dyDescent="0.25">
      <c r="A2" s="48">
        <v>44957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2">
        <v>1</v>
      </c>
      <c r="H2" s="1" t="s">
        <v>69</v>
      </c>
      <c r="I2" s="44">
        <f>Tabla1[[#This Row],[Descuento]]+Tabla1[[#This Row],[Neto]]</f>
        <v>267.86</v>
      </c>
      <c r="J2" s="9">
        <v>0</v>
      </c>
      <c r="K2" s="9">
        <v>267.86</v>
      </c>
      <c r="L2" s="9"/>
      <c r="M2" s="24">
        <f>+Tabla1[[#This Row],[Costo Venta]]/Tabla1[[#This Row],[Cantidad]]</f>
        <v>0</v>
      </c>
      <c r="N2" s="3">
        <v>1</v>
      </c>
      <c r="O2" s="8">
        <f>+Tabla1[[#This Row],[Conversión]]*Tabla1[[#This Row],[Cantidad]]</f>
        <v>1</v>
      </c>
      <c r="P2" s="43">
        <f>Tabla1[[#This Row],[Neto]]-Tabla1[[#This Row],[Costo Venta]]</f>
        <v>267.86</v>
      </c>
    </row>
    <row r="3" spans="1:16" x14ac:dyDescent="0.25">
      <c r="A3" s="48">
        <v>44957</v>
      </c>
      <c r="B3" s="1" t="s">
        <v>64</v>
      </c>
      <c r="C3" s="1" t="s">
        <v>65</v>
      </c>
      <c r="D3" s="1" t="s">
        <v>70</v>
      </c>
      <c r="E3" s="1" t="s">
        <v>71</v>
      </c>
      <c r="F3" s="1" t="s">
        <v>72</v>
      </c>
      <c r="G3" s="2">
        <v>1</v>
      </c>
      <c r="H3" s="1" t="s">
        <v>69</v>
      </c>
      <c r="I3" s="44">
        <f>Tabla1[[#This Row],[Descuento]]+Tabla1[[#This Row],[Neto]]</f>
        <v>357.14</v>
      </c>
      <c r="J3" s="9">
        <v>0</v>
      </c>
      <c r="K3" s="9">
        <v>357.14</v>
      </c>
      <c r="L3" s="9"/>
      <c r="M3" s="24">
        <f>+Tabla1[[#This Row],[Costo Venta]]/Tabla1[[#This Row],[Cantidad]]</f>
        <v>0</v>
      </c>
      <c r="N3" s="3">
        <v>1</v>
      </c>
      <c r="O3" s="8">
        <f>+Tabla1[[#This Row],[Conversión]]*Tabla1[[#This Row],[Cantidad]]</f>
        <v>1</v>
      </c>
      <c r="P3" s="43">
        <f>Tabla1[[#This Row],[Neto]]-Tabla1[[#This Row],[Costo Venta]]</f>
        <v>357.14</v>
      </c>
    </row>
    <row r="4" spans="1:16" x14ac:dyDescent="0.25">
      <c r="A4" s="48">
        <v>44974</v>
      </c>
      <c r="B4" s="1" t="s">
        <v>64</v>
      </c>
      <c r="C4" s="1" t="s">
        <v>65</v>
      </c>
      <c r="D4" s="1" t="s">
        <v>73</v>
      </c>
      <c r="E4" s="1" t="s">
        <v>67</v>
      </c>
      <c r="F4" s="1" t="s">
        <v>68</v>
      </c>
      <c r="G4" s="2">
        <v>1</v>
      </c>
      <c r="H4" s="1" t="s">
        <v>69</v>
      </c>
      <c r="I4" s="44">
        <f>Tabla1[[#This Row],[Descuento]]+Tabla1[[#This Row],[Neto]]</f>
        <v>267.86</v>
      </c>
      <c r="J4" s="9">
        <v>0</v>
      </c>
      <c r="K4" s="9">
        <v>267.86</v>
      </c>
      <c r="L4" s="9"/>
      <c r="M4" s="24">
        <f>+Tabla1[[#This Row],[Costo Venta]]/Tabla1[[#This Row],[Cantidad]]</f>
        <v>0</v>
      </c>
      <c r="N4" s="3">
        <v>1</v>
      </c>
      <c r="O4" s="8">
        <f>+Tabla1[[#This Row],[Conversión]]*Tabla1[[#This Row],[Cantidad]]</f>
        <v>1</v>
      </c>
      <c r="P4" s="43">
        <f>Tabla1[[#This Row],[Neto]]-Tabla1[[#This Row],[Costo Venta]]</f>
        <v>267.86</v>
      </c>
    </row>
    <row r="5" spans="1:16" x14ac:dyDescent="0.25">
      <c r="A5" s="48">
        <v>44974</v>
      </c>
      <c r="B5" s="1" t="s">
        <v>64</v>
      </c>
      <c r="C5" s="1" t="s">
        <v>65</v>
      </c>
      <c r="D5" s="1" t="s">
        <v>74</v>
      </c>
      <c r="E5" s="1" t="s">
        <v>71</v>
      </c>
      <c r="F5" s="1" t="s">
        <v>72</v>
      </c>
      <c r="G5" s="2">
        <v>1</v>
      </c>
      <c r="H5" s="1" t="s">
        <v>69</v>
      </c>
      <c r="I5" s="44">
        <f>Tabla1[[#This Row],[Descuento]]+Tabla1[[#This Row],[Neto]]</f>
        <v>357.14</v>
      </c>
      <c r="J5" s="9">
        <v>0</v>
      </c>
      <c r="K5" s="9">
        <v>357.14</v>
      </c>
      <c r="L5" s="9"/>
      <c r="M5" s="24">
        <f>+Tabla1[[#This Row],[Costo Venta]]/Tabla1[[#This Row],[Cantidad]]</f>
        <v>0</v>
      </c>
      <c r="N5" s="3">
        <v>1</v>
      </c>
      <c r="O5" s="8">
        <f>+Tabla1[[#This Row],[Conversión]]*Tabla1[[#This Row],[Cantidad]]</f>
        <v>1</v>
      </c>
      <c r="P5" s="43">
        <f>Tabla1[[#This Row],[Neto]]-Tabla1[[#This Row],[Costo Venta]]</f>
        <v>357.14</v>
      </c>
    </row>
    <row r="6" spans="1:16" x14ac:dyDescent="0.25">
      <c r="A6" s="48">
        <v>45001</v>
      </c>
      <c r="B6" s="1" t="s">
        <v>64</v>
      </c>
      <c r="C6" s="1" t="s">
        <v>65</v>
      </c>
      <c r="D6" s="1" t="s">
        <v>75</v>
      </c>
      <c r="E6" s="1" t="s">
        <v>67</v>
      </c>
      <c r="F6" s="1" t="s">
        <v>68</v>
      </c>
      <c r="G6" s="2">
        <v>1</v>
      </c>
      <c r="H6" s="1" t="s">
        <v>69</v>
      </c>
      <c r="I6" s="44">
        <f>Tabla1[[#This Row],[Descuento]]+Tabla1[[#This Row],[Neto]]</f>
        <v>267.86</v>
      </c>
      <c r="J6" s="9">
        <v>0</v>
      </c>
      <c r="K6" s="9">
        <v>267.86</v>
      </c>
      <c r="L6" s="9"/>
      <c r="M6" s="24">
        <f>+Tabla1[[#This Row],[Costo Venta]]/Tabla1[[#This Row],[Cantidad]]</f>
        <v>0</v>
      </c>
      <c r="N6" s="3">
        <v>1</v>
      </c>
      <c r="O6" s="8">
        <f>+Tabla1[[#This Row],[Conversión]]*Tabla1[[#This Row],[Cantidad]]</f>
        <v>1</v>
      </c>
      <c r="P6" s="43">
        <f>Tabla1[[#This Row],[Neto]]-Tabla1[[#This Row],[Costo Venta]]</f>
        <v>267.86</v>
      </c>
    </row>
    <row r="7" spans="1:16" x14ac:dyDescent="0.25">
      <c r="A7" s="48">
        <v>45001</v>
      </c>
      <c r="B7" s="1" t="s">
        <v>64</v>
      </c>
      <c r="C7" s="1" t="s">
        <v>65</v>
      </c>
      <c r="D7" s="1" t="s">
        <v>76</v>
      </c>
      <c r="E7" s="1" t="s">
        <v>71</v>
      </c>
      <c r="F7" s="1" t="s">
        <v>72</v>
      </c>
      <c r="G7" s="2">
        <v>1</v>
      </c>
      <c r="H7" s="1" t="s">
        <v>69</v>
      </c>
      <c r="I7" s="44">
        <f>Tabla1[[#This Row],[Descuento]]+Tabla1[[#This Row],[Neto]]</f>
        <v>357.14</v>
      </c>
      <c r="J7" s="9">
        <v>0</v>
      </c>
      <c r="K7" s="9">
        <v>357.14</v>
      </c>
      <c r="L7" s="9"/>
      <c r="M7" s="24">
        <f>+Tabla1[[#This Row],[Costo Venta]]/Tabla1[[#This Row],[Cantidad]]</f>
        <v>0</v>
      </c>
      <c r="N7" s="3">
        <v>1</v>
      </c>
      <c r="O7" s="8">
        <f>+Tabla1[[#This Row],[Conversión]]*Tabla1[[#This Row],[Cantidad]]</f>
        <v>1</v>
      </c>
      <c r="P7" s="43">
        <f>Tabla1[[#This Row],[Neto]]-Tabla1[[#This Row],[Costo Venta]]</f>
        <v>357.14</v>
      </c>
    </row>
    <row r="8" spans="1:16" x14ac:dyDescent="0.25">
      <c r="A8" s="48">
        <v>45033</v>
      </c>
      <c r="B8" s="1" t="s">
        <v>64</v>
      </c>
      <c r="C8" s="1" t="s">
        <v>65</v>
      </c>
      <c r="D8" s="1" t="s">
        <v>77</v>
      </c>
      <c r="E8" s="1" t="s">
        <v>67</v>
      </c>
      <c r="F8" s="1" t="s">
        <v>68</v>
      </c>
      <c r="G8" s="2">
        <v>1</v>
      </c>
      <c r="H8" s="1" t="s">
        <v>69</v>
      </c>
      <c r="I8" s="44">
        <f>Tabla1[[#This Row],[Descuento]]+Tabla1[[#This Row],[Neto]]</f>
        <v>267.86</v>
      </c>
      <c r="J8" s="9">
        <v>0</v>
      </c>
      <c r="K8" s="9">
        <v>267.86</v>
      </c>
      <c r="L8" s="9"/>
      <c r="M8" s="24">
        <f>+Tabla1[[#This Row],[Costo Venta]]/Tabla1[[#This Row],[Cantidad]]</f>
        <v>0</v>
      </c>
      <c r="N8" s="3">
        <v>1</v>
      </c>
      <c r="O8" s="8">
        <f>+Tabla1[[#This Row],[Conversión]]*Tabla1[[#This Row],[Cantidad]]</f>
        <v>1</v>
      </c>
      <c r="P8" s="43">
        <f>Tabla1[[#This Row],[Neto]]-Tabla1[[#This Row],[Costo Venta]]</f>
        <v>267.86</v>
      </c>
    </row>
    <row r="9" spans="1:16" x14ac:dyDescent="0.25">
      <c r="A9" s="48">
        <v>45033</v>
      </c>
      <c r="B9" s="1" t="s">
        <v>64</v>
      </c>
      <c r="C9" s="1" t="s">
        <v>65</v>
      </c>
      <c r="D9" s="1" t="s">
        <v>78</v>
      </c>
      <c r="E9" s="1" t="s">
        <v>71</v>
      </c>
      <c r="F9" s="1" t="s">
        <v>72</v>
      </c>
      <c r="G9" s="2">
        <v>1</v>
      </c>
      <c r="H9" s="1" t="s">
        <v>69</v>
      </c>
      <c r="I9" s="44">
        <f>Tabla1[[#This Row],[Descuento]]+Tabla1[[#This Row],[Neto]]</f>
        <v>357.14</v>
      </c>
      <c r="J9" s="9">
        <v>0</v>
      </c>
      <c r="K9" s="9">
        <v>357.14</v>
      </c>
      <c r="L9" s="9"/>
      <c r="M9" s="24">
        <f>+Tabla1[[#This Row],[Costo Venta]]/Tabla1[[#This Row],[Cantidad]]</f>
        <v>0</v>
      </c>
      <c r="N9" s="3">
        <v>1</v>
      </c>
      <c r="O9" s="8">
        <f>+Tabla1[[#This Row],[Conversión]]*Tabla1[[#This Row],[Cantidad]]</f>
        <v>1</v>
      </c>
      <c r="P9" s="43">
        <f>Tabla1[[#This Row],[Neto]]-Tabla1[[#This Row],[Costo Venta]]</f>
        <v>357.14</v>
      </c>
    </row>
    <row r="10" spans="1:16" x14ac:dyDescent="0.25">
      <c r="A10" s="48">
        <v>45062</v>
      </c>
      <c r="B10" s="1" t="s">
        <v>64</v>
      </c>
      <c r="C10" s="1" t="s">
        <v>65</v>
      </c>
      <c r="D10" s="1" t="s">
        <v>79</v>
      </c>
      <c r="E10" s="1" t="s">
        <v>67</v>
      </c>
      <c r="F10" s="1" t="s">
        <v>68</v>
      </c>
      <c r="G10" s="2">
        <v>1</v>
      </c>
      <c r="H10" s="1" t="s">
        <v>69</v>
      </c>
      <c r="I10" s="44">
        <f>Tabla1[[#This Row],[Descuento]]+Tabla1[[#This Row],[Neto]]</f>
        <v>267.86</v>
      </c>
      <c r="J10" s="9">
        <v>0</v>
      </c>
      <c r="K10" s="9">
        <v>267.86</v>
      </c>
      <c r="L10" s="9"/>
      <c r="M10" s="24">
        <f>+Tabla1[[#This Row],[Costo Venta]]/Tabla1[[#This Row],[Cantidad]]</f>
        <v>0</v>
      </c>
      <c r="N10" s="3">
        <v>1</v>
      </c>
      <c r="O10" s="8">
        <f>+Tabla1[[#This Row],[Conversión]]*Tabla1[[#This Row],[Cantidad]]</f>
        <v>1</v>
      </c>
      <c r="P10" s="43">
        <f>Tabla1[[#This Row],[Neto]]-Tabla1[[#This Row],[Costo Venta]]</f>
        <v>267.86</v>
      </c>
    </row>
    <row r="11" spans="1:16" x14ac:dyDescent="0.25">
      <c r="A11" s="48">
        <v>45062</v>
      </c>
      <c r="B11" s="1" t="s">
        <v>64</v>
      </c>
      <c r="C11" s="1" t="s">
        <v>65</v>
      </c>
      <c r="D11" s="1" t="s">
        <v>80</v>
      </c>
      <c r="E11" s="1" t="s">
        <v>71</v>
      </c>
      <c r="F11" s="1" t="s">
        <v>72</v>
      </c>
      <c r="G11" s="2">
        <v>1</v>
      </c>
      <c r="H11" s="1" t="s">
        <v>69</v>
      </c>
      <c r="I11" s="44">
        <f>Tabla1[[#This Row],[Descuento]]+Tabla1[[#This Row],[Neto]]</f>
        <v>357.14</v>
      </c>
      <c r="J11" s="9">
        <v>0</v>
      </c>
      <c r="K11" s="9">
        <v>357.14</v>
      </c>
      <c r="L11" s="9"/>
      <c r="M11" s="24">
        <f>+Tabla1[[#This Row],[Costo Venta]]/Tabla1[[#This Row],[Cantidad]]</f>
        <v>0</v>
      </c>
      <c r="N11" s="3">
        <v>1</v>
      </c>
      <c r="O11" s="8">
        <f>+Tabla1[[#This Row],[Conversión]]*Tabla1[[#This Row],[Cantidad]]</f>
        <v>1</v>
      </c>
      <c r="P11" s="43">
        <f>Tabla1[[#This Row],[Neto]]-Tabla1[[#This Row],[Costo Venta]]</f>
        <v>357.14</v>
      </c>
    </row>
    <row r="12" spans="1:16" x14ac:dyDescent="0.25">
      <c r="A12" s="48">
        <v>45065</v>
      </c>
      <c r="B12" s="1" t="s">
        <v>64</v>
      </c>
      <c r="C12" s="1" t="s">
        <v>81</v>
      </c>
      <c r="D12" s="1" t="s">
        <v>82</v>
      </c>
      <c r="E12" s="1" t="s">
        <v>71</v>
      </c>
      <c r="F12" s="1" t="s">
        <v>83</v>
      </c>
      <c r="G12" s="2">
        <v>1</v>
      </c>
      <c r="H12" s="1" t="s">
        <v>69</v>
      </c>
      <c r="I12" s="44">
        <f>Tabla1[[#This Row],[Descuento]]+Tabla1[[#This Row],[Neto]]</f>
        <v>300</v>
      </c>
      <c r="J12" s="9">
        <v>0</v>
      </c>
      <c r="K12" s="9">
        <v>300</v>
      </c>
      <c r="L12" s="9"/>
      <c r="M12" s="24">
        <f>+Tabla1[[#This Row],[Costo Venta]]/Tabla1[[#This Row],[Cantidad]]</f>
        <v>0</v>
      </c>
      <c r="N12" s="3">
        <v>1</v>
      </c>
      <c r="O12" s="8">
        <f>+Tabla1[[#This Row],[Conversión]]*Tabla1[[#This Row],[Cantidad]]</f>
        <v>1</v>
      </c>
      <c r="P12" s="43">
        <f>Tabla1[[#This Row],[Neto]]-Tabla1[[#This Row],[Costo Venta]]</f>
        <v>300</v>
      </c>
    </row>
    <row r="13" spans="1:16" x14ac:dyDescent="0.25">
      <c r="A13" s="48">
        <v>45092</v>
      </c>
      <c r="B13" s="1" t="s">
        <v>64</v>
      </c>
      <c r="C13" s="1" t="s">
        <v>65</v>
      </c>
      <c r="D13" s="1" t="s">
        <v>84</v>
      </c>
      <c r="E13" s="1" t="s">
        <v>67</v>
      </c>
      <c r="F13" s="1" t="s">
        <v>68</v>
      </c>
      <c r="G13" s="2">
        <v>1</v>
      </c>
      <c r="H13" s="1" t="s">
        <v>69</v>
      </c>
      <c r="I13" s="44">
        <f>Tabla1[[#This Row],[Descuento]]+Tabla1[[#This Row],[Neto]]</f>
        <v>267.86</v>
      </c>
      <c r="J13" s="9">
        <v>0</v>
      </c>
      <c r="K13" s="9">
        <v>267.86</v>
      </c>
      <c r="L13" s="9"/>
      <c r="M13" s="24">
        <f>+Tabla1[[#This Row],[Costo Venta]]/Tabla1[[#This Row],[Cantidad]]</f>
        <v>0</v>
      </c>
      <c r="N13" s="3">
        <v>1</v>
      </c>
      <c r="O13" s="8">
        <f>+Tabla1[[#This Row],[Conversión]]*Tabla1[[#This Row],[Cantidad]]</f>
        <v>1</v>
      </c>
      <c r="P13" s="43">
        <f>Tabla1[[#This Row],[Neto]]-Tabla1[[#This Row],[Costo Venta]]</f>
        <v>267.86</v>
      </c>
    </row>
    <row r="14" spans="1:16" x14ac:dyDescent="0.25">
      <c r="A14" s="48">
        <v>45092</v>
      </c>
      <c r="B14" s="1" t="s">
        <v>64</v>
      </c>
      <c r="C14" s="1" t="s">
        <v>65</v>
      </c>
      <c r="D14" s="1" t="s">
        <v>85</v>
      </c>
      <c r="E14" s="1" t="s">
        <v>71</v>
      </c>
      <c r="F14" s="1" t="s">
        <v>72</v>
      </c>
      <c r="G14" s="2">
        <v>1</v>
      </c>
      <c r="H14" s="1" t="s">
        <v>69</v>
      </c>
      <c r="I14" s="44">
        <f>Tabla1[[#This Row],[Descuento]]+Tabla1[[#This Row],[Neto]]</f>
        <v>357.14</v>
      </c>
      <c r="J14" s="9">
        <v>0</v>
      </c>
      <c r="K14" s="9">
        <v>357.14</v>
      </c>
      <c r="L14" s="9"/>
      <c r="M14" s="24">
        <f>+Tabla1[[#This Row],[Costo Venta]]/Tabla1[[#This Row],[Cantidad]]</f>
        <v>0</v>
      </c>
      <c r="N14" s="3">
        <v>1</v>
      </c>
      <c r="O14" s="8">
        <f>+Tabla1[[#This Row],[Conversión]]*Tabla1[[#This Row],[Cantidad]]</f>
        <v>1</v>
      </c>
      <c r="P14" s="43">
        <f>Tabla1[[#This Row],[Neto]]-Tabla1[[#This Row],[Costo Venta]]</f>
        <v>357.14</v>
      </c>
    </row>
    <row r="15" spans="1:16" x14ac:dyDescent="0.25">
      <c r="A15" s="48">
        <v>45125</v>
      </c>
      <c r="B15" s="1" t="s">
        <v>64</v>
      </c>
      <c r="C15" s="1" t="s">
        <v>65</v>
      </c>
      <c r="D15" s="1" t="s">
        <v>86</v>
      </c>
      <c r="E15" s="1" t="s">
        <v>71</v>
      </c>
      <c r="F15" s="1" t="s">
        <v>72</v>
      </c>
      <c r="G15" s="2">
        <v>1</v>
      </c>
      <c r="H15" s="1" t="s">
        <v>69</v>
      </c>
      <c r="I15" s="44">
        <f>Tabla1[[#This Row],[Descuento]]+Tabla1[[#This Row],[Neto]]</f>
        <v>357.14</v>
      </c>
      <c r="J15" s="9">
        <v>0</v>
      </c>
      <c r="K15" s="9">
        <v>357.14</v>
      </c>
      <c r="L15" s="9"/>
      <c r="M15" s="24">
        <f>+Tabla1[[#This Row],[Costo Venta]]/Tabla1[[#This Row],[Cantidad]]</f>
        <v>0</v>
      </c>
      <c r="N15" s="3">
        <v>1</v>
      </c>
      <c r="O15" s="8">
        <f>+Tabla1[[#This Row],[Conversión]]*Tabla1[[#This Row],[Cantidad]]</f>
        <v>1</v>
      </c>
      <c r="P15" s="43">
        <f>Tabla1[[#This Row],[Neto]]-Tabla1[[#This Row],[Costo Venta]]</f>
        <v>357.14</v>
      </c>
    </row>
    <row r="16" spans="1:16" x14ac:dyDescent="0.25">
      <c r="A16" s="48">
        <v>45125</v>
      </c>
      <c r="B16" s="1" t="s">
        <v>64</v>
      </c>
      <c r="C16" s="1" t="s">
        <v>65</v>
      </c>
      <c r="D16" s="1" t="s">
        <v>87</v>
      </c>
      <c r="E16" s="1" t="s">
        <v>67</v>
      </c>
      <c r="F16" s="1" t="s">
        <v>68</v>
      </c>
      <c r="G16" s="2">
        <v>1</v>
      </c>
      <c r="H16" s="1" t="s">
        <v>69</v>
      </c>
      <c r="I16" s="44">
        <f>Tabla1[[#This Row],[Descuento]]+Tabla1[[#This Row],[Neto]]</f>
        <v>267.86</v>
      </c>
      <c r="J16" s="9">
        <v>0</v>
      </c>
      <c r="K16" s="9">
        <v>267.86</v>
      </c>
      <c r="L16" s="9"/>
      <c r="M16" s="24">
        <f>+Tabla1[[#This Row],[Costo Venta]]/Tabla1[[#This Row],[Cantidad]]</f>
        <v>0</v>
      </c>
      <c r="N16" s="3">
        <v>1</v>
      </c>
      <c r="O16" s="8">
        <f>+Tabla1[[#This Row],[Conversión]]*Tabla1[[#This Row],[Cantidad]]</f>
        <v>1</v>
      </c>
      <c r="P16" s="43">
        <f>Tabla1[[#This Row],[Neto]]-Tabla1[[#This Row],[Costo Venta]]</f>
        <v>267.86</v>
      </c>
    </row>
    <row r="17" spans="1:16" x14ac:dyDescent="0.25">
      <c r="A17" s="48">
        <v>45153</v>
      </c>
      <c r="B17" s="1" t="s">
        <v>64</v>
      </c>
      <c r="C17" s="1" t="s">
        <v>65</v>
      </c>
      <c r="D17" s="1" t="s">
        <v>88</v>
      </c>
      <c r="E17" s="1" t="s">
        <v>71</v>
      </c>
      <c r="F17" s="1" t="s">
        <v>72</v>
      </c>
      <c r="G17" s="2">
        <v>1</v>
      </c>
      <c r="H17" s="1" t="s">
        <v>69</v>
      </c>
      <c r="I17" s="44">
        <f>Tabla1[[#This Row],[Descuento]]+Tabla1[[#This Row],[Neto]]</f>
        <v>357.14</v>
      </c>
      <c r="J17" s="9">
        <v>0</v>
      </c>
      <c r="K17" s="9">
        <v>357.14</v>
      </c>
      <c r="L17" s="9"/>
      <c r="M17" s="24">
        <f>+Tabla1[[#This Row],[Costo Venta]]/Tabla1[[#This Row],[Cantidad]]</f>
        <v>0</v>
      </c>
      <c r="N17" s="3">
        <v>1</v>
      </c>
      <c r="O17" s="8">
        <f>+Tabla1[[#This Row],[Conversión]]*Tabla1[[#This Row],[Cantidad]]</f>
        <v>1</v>
      </c>
      <c r="P17" s="43">
        <f>Tabla1[[#This Row],[Neto]]-Tabla1[[#This Row],[Costo Venta]]</f>
        <v>357.14</v>
      </c>
    </row>
    <row r="18" spans="1:16" x14ac:dyDescent="0.25">
      <c r="A18" s="48">
        <v>45153</v>
      </c>
      <c r="B18" s="1" t="s">
        <v>64</v>
      </c>
      <c r="C18" s="1" t="s">
        <v>65</v>
      </c>
      <c r="D18" s="1" t="s">
        <v>89</v>
      </c>
      <c r="E18" s="1" t="s">
        <v>67</v>
      </c>
      <c r="F18" s="1" t="s">
        <v>68</v>
      </c>
      <c r="G18" s="2">
        <v>1</v>
      </c>
      <c r="H18" s="1" t="s">
        <v>69</v>
      </c>
      <c r="I18" s="44">
        <f>Tabla1[[#This Row],[Descuento]]+Tabla1[[#This Row],[Neto]]</f>
        <v>267.86</v>
      </c>
      <c r="J18" s="9">
        <v>0</v>
      </c>
      <c r="K18" s="9">
        <v>267.86</v>
      </c>
      <c r="L18" s="9"/>
      <c r="M18" s="24">
        <f>+Tabla1[[#This Row],[Costo Venta]]/Tabla1[[#This Row],[Cantidad]]</f>
        <v>0</v>
      </c>
      <c r="N18" s="3">
        <v>1</v>
      </c>
      <c r="O18" s="8">
        <f>+Tabla1[[#This Row],[Conversión]]*Tabla1[[#This Row],[Cantidad]]</f>
        <v>1</v>
      </c>
      <c r="P18" s="43">
        <f>Tabla1[[#This Row],[Neto]]-Tabla1[[#This Row],[Costo Venta]]</f>
        <v>267.86</v>
      </c>
    </row>
    <row r="19" spans="1:16" x14ac:dyDescent="0.25">
      <c r="A19" s="48">
        <v>45187</v>
      </c>
      <c r="B19" s="1" t="s">
        <v>64</v>
      </c>
      <c r="C19" s="1" t="s">
        <v>65</v>
      </c>
      <c r="D19" s="1" t="s">
        <v>90</v>
      </c>
      <c r="E19" s="1" t="s">
        <v>67</v>
      </c>
      <c r="F19" s="1" t="s">
        <v>68</v>
      </c>
      <c r="G19" s="2">
        <v>1</v>
      </c>
      <c r="H19" s="1" t="s">
        <v>69</v>
      </c>
      <c r="I19" s="44">
        <f>Tabla1[[#This Row],[Descuento]]+Tabla1[[#This Row],[Neto]]</f>
        <v>267.86</v>
      </c>
      <c r="J19" s="9">
        <v>0</v>
      </c>
      <c r="K19" s="9">
        <v>267.86</v>
      </c>
      <c r="L19" s="9"/>
      <c r="M19" s="24">
        <f>+Tabla1[[#This Row],[Costo Venta]]/Tabla1[[#This Row],[Cantidad]]</f>
        <v>0</v>
      </c>
      <c r="N19" s="3">
        <v>1</v>
      </c>
      <c r="O19" s="8">
        <f>+Tabla1[[#This Row],[Conversión]]*Tabla1[[#This Row],[Cantidad]]</f>
        <v>1</v>
      </c>
      <c r="P19" s="43">
        <f>Tabla1[[#This Row],[Neto]]-Tabla1[[#This Row],[Costo Venta]]</f>
        <v>267.86</v>
      </c>
    </row>
    <row r="20" spans="1:16" x14ac:dyDescent="0.25">
      <c r="A20" s="48">
        <v>45187</v>
      </c>
      <c r="B20" s="1" t="s">
        <v>64</v>
      </c>
      <c r="C20" s="1" t="s">
        <v>65</v>
      </c>
      <c r="D20" s="1" t="s">
        <v>91</v>
      </c>
      <c r="E20" s="1" t="s">
        <v>71</v>
      </c>
      <c r="F20" s="1" t="s">
        <v>72</v>
      </c>
      <c r="G20" s="2">
        <v>1</v>
      </c>
      <c r="H20" s="1" t="s">
        <v>69</v>
      </c>
      <c r="I20" s="44">
        <f>Tabla1[[#This Row],[Descuento]]+Tabla1[[#This Row],[Neto]]</f>
        <v>357.14</v>
      </c>
      <c r="J20" s="9">
        <v>0</v>
      </c>
      <c r="K20" s="9">
        <v>357.14</v>
      </c>
      <c r="L20" s="9"/>
      <c r="M20" s="24">
        <f>+Tabla1[[#This Row],[Costo Venta]]/Tabla1[[#This Row],[Cantidad]]</f>
        <v>0</v>
      </c>
      <c r="N20" s="3">
        <v>1</v>
      </c>
      <c r="O20" s="8">
        <f>+Tabla1[[#This Row],[Conversión]]*Tabla1[[#This Row],[Cantidad]]</f>
        <v>1</v>
      </c>
      <c r="P20" s="43">
        <f>Tabla1[[#This Row],[Neto]]-Tabla1[[#This Row],[Costo Venta]]</f>
        <v>357.14</v>
      </c>
    </row>
    <row r="21" spans="1:16" x14ac:dyDescent="0.25">
      <c r="A21" s="48">
        <v>45215</v>
      </c>
      <c r="B21" s="1" t="s">
        <v>64</v>
      </c>
      <c r="C21" s="1" t="s">
        <v>65</v>
      </c>
      <c r="D21" s="1" t="s">
        <v>92</v>
      </c>
      <c r="E21" s="1" t="s">
        <v>71</v>
      </c>
      <c r="F21" s="1" t="s">
        <v>72</v>
      </c>
      <c r="G21" s="2">
        <v>1</v>
      </c>
      <c r="H21" s="1" t="s">
        <v>69</v>
      </c>
      <c r="I21" s="44">
        <f>Tabla1[[#This Row],[Descuento]]+Tabla1[[#This Row],[Neto]]</f>
        <v>357.14</v>
      </c>
      <c r="J21" s="9">
        <v>0</v>
      </c>
      <c r="K21" s="9">
        <v>357.14</v>
      </c>
      <c r="L21" s="9"/>
      <c r="M21" s="24">
        <f>+Tabla1[[#This Row],[Costo Venta]]/Tabla1[[#This Row],[Cantidad]]</f>
        <v>0</v>
      </c>
      <c r="N21" s="3">
        <v>1</v>
      </c>
      <c r="O21" s="8">
        <f>+Tabla1[[#This Row],[Conversión]]*Tabla1[[#This Row],[Cantidad]]</f>
        <v>1</v>
      </c>
      <c r="P21" s="43">
        <f>Tabla1[[#This Row],[Neto]]-Tabla1[[#This Row],[Costo Venta]]</f>
        <v>357.14</v>
      </c>
    </row>
    <row r="22" spans="1:16" x14ac:dyDescent="0.25">
      <c r="A22" s="48">
        <v>45215</v>
      </c>
      <c r="B22" s="1" t="s">
        <v>64</v>
      </c>
      <c r="C22" s="1" t="s">
        <v>65</v>
      </c>
      <c r="D22" s="1" t="s">
        <v>93</v>
      </c>
      <c r="E22" s="1" t="s">
        <v>67</v>
      </c>
      <c r="F22" s="1" t="s">
        <v>68</v>
      </c>
      <c r="G22" s="2">
        <v>1</v>
      </c>
      <c r="H22" s="1" t="s">
        <v>69</v>
      </c>
      <c r="I22" s="44">
        <f>Tabla1[[#This Row],[Descuento]]+Tabla1[[#This Row],[Neto]]</f>
        <v>267.86</v>
      </c>
      <c r="J22" s="9">
        <v>0</v>
      </c>
      <c r="K22" s="9">
        <v>267.86</v>
      </c>
      <c r="L22" s="9"/>
      <c r="M22" s="24">
        <f>+Tabla1[[#This Row],[Costo Venta]]/Tabla1[[#This Row],[Cantidad]]</f>
        <v>0</v>
      </c>
      <c r="N22" s="3">
        <v>1</v>
      </c>
      <c r="O22" s="8">
        <f>+Tabla1[[#This Row],[Conversión]]*Tabla1[[#This Row],[Cantidad]]</f>
        <v>1</v>
      </c>
      <c r="P22" s="43">
        <f>Tabla1[[#This Row],[Neto]]-Tabla1[[#This Row],[Costo Venta]]</f>
        <v>267.86</v>
      </c>
    </row>
    <row r="23" spans="1:16" x14ac:dyDescent="0.25">
      <c r="A23" s="48">
        <v>45245</v>
      </c>
      <c r="B23" s="1" t="s">
        <v>64</v>
      </c>
      <c r="C23" s="1" t="s">
        <v>65</v>
      </c>
      <c r="D23" s="1" t="s">
        <v>94</v>
      </c>
      <c r="E23" s="1" t="s">
        <v>71</v>
      </c>
      <c r="F23" s="1" t="s">
        <v>72</v>
      </c>
      <c r="G23" s="2">
        <v>1</v>
      </c>
      <c r="H23" s="1" t="s">
        <v>69</v>
      </c>
      <c r="I23" s="44">
        <f>Tabla1[[#This Row],[Descuento]]+Tabla1[[#This Row],[Neto]]</f>
        <v>357.14</v>
      </c>
      <c r="J23" s="9">
        <v>0</v>
      </c>
      <c r="K23" s="9">
        <v>357.14</v>
      </c>
      <c r="L23" s="9"/>
      <c r="M23" s="24">
        <f>+Tabla1[[#This Row],[Costo Venta]]/Tabla1[[#This Row],[Cantidad]]</f>
        <v>0</v>
      </c>
      <c r="N23" s="3">
        <v>1</v>
      </c>
      <c r="O23" s="8">
        <f>+Tabla1[[#This Row],[Conversión]]*Tabla1[[#This Row],[Cantidad]]</f>
        <v>1</v>
      </c>
      <c r="P23" s="43">
        <f>Tabla1[[#This Row],[Neto]]-Tabla1[[#This Row],[Costo Venta]]</f>
        <v>357.14</v>
      </c>
    </row>
    <row r="24" spans="1:16" x14ac:dyDescent="0.25">
      <c r="A24" s="48">
        <v>45245</v>
      </c>
      <c r="B24" s="1" t="s">
        <v>64</v>
      </c>
      <c r="C24" s="1" t="s">
        <v>65</v>
      </c>
      <c r="D24" s="1" t="s">
        <v>95</v>
      </c>
      <c r="E24" s="1" t="s">
        <v>67</v>
      </c>
      <c r="F24" s="1" t="s">
        <v>68</v>
      </c>
      <c r="G24" s="2">
        <v>1</v>
      </c>
      <c r="H24" s="1" t="s">
        <v>69</v>
      </c>
      <c r="I24" s="44">
        <f>Tabla1[[#This Row],[Descuento]]+Tabla1[[#This Row],[Neto]]</f>
        <v>267.86</v>
      </c>
      <c r="J24" s="9">
        <v>0</v>
      </c>
      <c r="K24" s="9">
        <v>267.86</v>
      </c>
      <c r="L24" s="9"/>
      <c r="M24" s="24">
        <f>+Tabla1[[#This Row],[Costo Venta]]/Tabla1[[#This Row],[Cantidad]]</f>
        <v>0</v>
      </c>
      <c r="N24" s="3">
        <v>1</v>
      </c>
      <c r="O24" s="8">
        <f>+Tabla1[[#This Row],[Conversión]]*Tabla1[[#This Row],[Cantidad]]</f>
        <v>1</v>
      </c>
      <c r="P24" s="43">
        <f>Tabla1[[#This Row],[Neto]]-Tabla1[[#This Row],[Costo Venta]]</f>
        <v>267.86</v>
      </c>
    </row>
    <row r="25" spans="1:16" x14ac:dyDescent="0.25">
      <c r="A25" s="48">
        <v>45272</v>
      </c>
      <c r="B25" s="1" t="s">
        <v>64</v>
      </c>
      <c r="C25" s="1" t="s">
        <v>65</v>
      </c>
      <c r="D25" s="1" t="s">
        <v>96</v>
      </c>
      <c r="E25" s="1" t="s">
        <v>71</v>
      </c>
      <c r="F25" s="1" t="s">
        <v>72</v>
      </c>
      <c r="G25" s="2">
        <v>1</v>
      </c>
      <c r="H25" s="1" t="s">
        <v>69</v>
      </c>
      <c r="I25" s="44">
        <f>Tabla1[[#This Row],[Descuento]]+Tabla1[[#This Row],[Neto]]</f>
        <v>357.14</v>
      </c>
      <c r="J25" s="9">
        <v>0</v>
      </c>
      <c r="K25" s="9">
        <v>357.14</v>
      </c>
      <c r="L25" s="9"/>
      <c r="M25" s="24">
        <f>+Tabla1[[#This Row],[Costo Venta]]/Tabla1[[#This Row],[Cantidad]]</f>
        <v>0</v>
      </c>
      <c r="N25" s="3">
        <v>1</v>
      </c>
      <c r="O25" s="8">
        <f>+Tabla1[[#This Row],[Conversión]]*Tabla1[[#This Row],[Cantidad]]</f>
        <v>1</v>
      </c>
      <c r="P25" s="43">
        <f>Tabla1[[#This Row],[Neto]]-Tabla1[[#This Row],[Costo Venta]]</f>
        <v>357.14</v>
      </c>
    </row>
    <row r="26" spans="1:16" x14ac:dyDescent="0.25">
      <c r="A26" s="48">
        <v>45280</v>
      </c>
      <c r="B26" s="1" t="s">
        <v>64</v>
      </c>
      <c r="C26" s="1" t="s">
        <v>65</v>
      </c>
      <c r="D26" s="1" t="s">
        <v>97</v>
      </c>
      <c r="E26" s="1" t="s">
        <v>67</v>
      </c>
      <c r="F26" s="1" t="s">
        <v>68</v>
      </c>
      <c r="G26" s="2">
        <v>1</v>
      </c>
      <c r="H26" s="1" t="s">
        <v>69</v>
      </c>
      <c r="I26" s="44">
        <f>Tabla1[[#This Row],[Descuento]]+Tabla1[[#This Row],[Neto]]</f>
        <v>267.86</v>
      </c>
      <c r="J26" s="9">
        <v>0</v>
      </c>
      <c r="K26" s="9">
        <v>267.86</v>
      </c>
      <c r="L26" s="9"/>
      <c r="M26" s="24">
        <f>+Tabla1[[#This Row],[Costo Venta]]/Tabla1[[#This Row],[Cantidad]]</f>
        <v>0</v>
      </c>
      <c r="N26" s="3">
        <v>1</v>
      </c>
      <c r="O26" s="8">
        <f>+Tabla1[[#This Row],[Conversión]]*Tabla1[[#This Row],[Cantidad]]</f>
        <v>1</v>
      </c>
      <c r="P26" s="43">
        <f>Tabla1[[#This Row],[Neto]]-Tabla1[[#This Row],[Costo Venta]]</f>
        <v>267.86</v>
      </c>
    </row>
    <row r="27" spans="1:16" x14ac:dyDescent="0.25">
      <c r="A27" s="48">
        <v>45307</v>
      </c>
      <c r="B27" s="1" t="s">
        <v>64</v>
      </c>
      <c r="C27" s="1" t="s">
        <v>65</v>
      </c>
      <c r="D27" s="1" t="s">
        <v>98</v>
      </c>
      <c r="E27" s="1" t="s">
        <v>67</v>
      </c>
      <c r="F27" s="1" t="s">
        <v>68</v>
      </c>
      <c r="G27" s="2">
        <v>1</v>
      </c>
      <c r="H27" s="1" t="s">
        <v>69</v>
      </c>
      <c r="I27" s="44">
        <f>Tabla1[[#This Row],[Descuento]]+Tabla1[[#This Row],[Neto]]</f>
        <v>267.86</v>
      </c>
      <c r="J27" s="9">
        <v>0</v>
      </c>
      <c r="K27" s="9">
        <v>267.86</v>
      </c>
      <c r="L27" s="9"/>
      <c r="M27" s="24">
        <f>+Tabla1[[#This Row],[Costo Venta]]/Tabla1[[#This Row],[Cantidad]]</f>
        <v>0</v>
      </c>
      <c r="N27" s="3">
        <v>1</v>
      </c>
      <c r="O27" s="8">
        <f>+Tabla1[[#This Row],[Conversión]]*Tabla1[[#This Row],[Cantidad]]</f>
        <v>1</v>
      </c>
      <c r="P27" s="43">
        <f>Tabla1[[#This Row],[Neto]]-Tabla1[[#This Row],[Costo Venta]]</f>
        <v>267.86</v>
      </c>
    </row>
    <row r="28" spans="1:16" x14ac:dyDescent="0.25">
      <c r="A28" s="48">
        <v>45307</v>
      </c>
      <c r="B28" s="1" t="s">
        <v>64</v>
      </c>
      <c r="C28" s="1" t="s">
        <v>65</v>
      </c>
      <c r="D28" s="1" t="s">
        <v>99</v>
      </c>
      <c r="E28" s="1" t="s">
        <v>71</v>
      </c>
      <c r="F28" s="1" t="s">
        <v>72</v>
      </c>
      <c r="G28" s="2">
        <v>1</v>
      </c>
      <c r="H28" s="1" t="s">
        <v>69</v>
      </c>
      <c r="I28" s="44">
        <f>Tabla1[[#This Row],[Descuento]]+Tabla1[[#This Row],[Neto]]</f>
        <v>357.14</v>
      </c>
      <c r="J28" s="9">
        <v>0</v>
      </c>
      <c r="K28" s="9">
        <v>357.14</v>
      </c>
      <c r="L28" s="9"/>
      <c r="M28" s="24">
        <f>+Tabla1[[#This Row],[Costo Venta]]/Tabla1[[#This Row],[Cantidad]]</f>
        <v>0</v>
      </c>
      <c r="N28" s="3">
        <v>1</v>
      </c>
      <c r="O28" s="8">
        <f>+Tabla1[[#This Row],[Conversión]]*Tabla1[[#This Row],[Cantidad]]</f>
        <v>1</v>
      </c>
      <c r="P28" s="43">
        <f>Tabla1[[#This Row],[Neto]]-Tabla1[[#This Row],[Costo Venta]]</f>
        <v>357.14</v>
      </c>
    </row>
    <row r="29" spans="1:16" x14ac:dyDescent="0.25">
      <c r="A29" s="48">
        <v>45330</v>
      </c>
      <c r="B29" s="1" t="s">
        <v>64</v>
      </c>
      <c r="C29" s="1" t="s">
        <v>65</v>
      </c>
      <c r="D29" s="1" t="s">
        <v>100</v>
      </c>
      <c r="E29" s="1" t="s">
        <v>71</v>
      </c>
      <c r="F29" s="1" t="s">
        <v>72</v>
      </c>
      <c r="G29" s="2">
        <v>1</v>
      </c>
      <c r="H29" s="1" t="s">
        <v>69</v>
      </c>
      <c r="I29" s="44">
        <f>Tabla1[[#This Row],[Descuento]]+Tabla1[[#This Row],[Neto]]</f>
        <v>357.14</v>
      </c>
      <c r="J29" s="9">
        <v>0</v>
      </c>
      <c r="K29" s="9">
        <v>357.14</v>
      </c>
      <c r="L29" s="9"/>
      <c r="M29" s="24">
        <f>+Tabla1[[#This Row],[Costo Venta]]/Tabla1[[#This Row],[Cantidad]]</f>
        <v>0</v>
      </c>
      <c r="N29" s="3">
        <v>1</v>
      </c>
      <c r="O29" s="8">
        <f>+Tabla1[[#This Row],[Conversión]]*Tabla1[[#This Row],[Cantidad]]</f>
        <v>1</v>
      </c>
      <c r="P29" s="43">
        <f>Tabla1[[#This Row],[Neto]]-Tabla1[[#This Row],[Costo Venta]]</f>
        <v>357.14</v>
      </c>
    </row>
    <row r="30" spans="1:16" x14ac:dyDescent="0.25">
      <c r="A30" s="48">
        <v>45338</v>
      </c>
      <c r="B30" s="1" t="s">
        <v>64</v>
      </c>
      <c r="C30" s="1" t="s">
        <v>65</v>
      </c>
      <c r="D30" s="1" t="s">
        <v>101</v>
      </c>
      <c r="E30" s="1" t="s">
        <v>67</v>
      </c>
      <c r="F30" s="1" t="s">
        <v>68</v>
      </c>
      <c r="G30" s="2">
        <v>1</v>
      </c>
      <c r="H30" s="1" t="s">
        <v>69</v>
      </c>
      <c r="I30" s="44">
        <f>Tabla1[[#This Row],[Descuento]]+Tabla1[[#This Row],[Neto]]</f>
        <v>267.86</v>
      </c>
      <c r="J30" s="9">
        <v>0</v>
      </c>
      <c r="K30" s="9">
        <v>267.86</v>
      </c>
      <c r="L30" s="9"/>
      <c r="M30" s="24">
        <f>+Tabla1[[#This Row],[Costo Venta]]/Tabla1[[#This Row],[Cantidad]]</f>
        <v>0</v>
      </c>
      <c r="N30" s="3">
        <v>1</v>
      </c>
      <c r="O30" s="8">
        <f>+Tabla1[[#This Row],[Conversión]]*Tabla1[[#This Row],[Cantidad]]</f>
        <v>1</v>
      </c>
      <c r="P30" s="43">
        <f>Tabla1[[#This Row],[Neto]]-Tabla1[[#This Row],[Costo Venta]]</f>
        <v>267.86</v>
      </c>
    </row>
    <row r="31" spans="1:16" x14ac:dyDescent="0.25">
      <c r="A31" s="48">
        <v>45369</v>
      </c>
      <c r="B31" s="1" t="s">
        <v>64</v>
      </c>
      <c r="C31" s="1" t="s">
        <v>65</v>
      </c>
      <c r="D31" s="1" t="s">
        <v>102</v>
      </c>
      <c r="E31" s="1" t="s">
        <v>67</v>
      </c>
      <c r="F31" s="1" t="s">
        <v>68</v>
      </c>
      <c r="G31" s="2">
        <v>1</v>
      </c>
      <c r="H31" s="1" t="s">
        <v>69</v>
      </c>
      <c r="I31" s="44">
        <f>Tabla1[[#This Row],[Descuento]]+Tabla1[[#This Row],[Neto]]</f>
        <v>267.86</v>
      </c>
      <c r="J31" s="9">
        <v>0</v>
      </c>
      <c r="K31" s="9">
        <v>267.86</v>
      </c>
      <c r="L31" s="9"/>
      <c r="M31" s="24">
        <f>+Tabla1[[#This Row],[Costo Venta]]/Tabla1[[#This Row],[Cantidad]]</f>
        <v>0</v>
      </c>
      <c r="N31" s="3">
        <v>1</v>
      </c>
      <c r="O31" s="8">
        <f>+Tabla1[[#This Row],[Conversión]]*Tabla1[[#This Row],[Cantidad]]</f>
        <v>1</v>
      </c>
      <c r="P31" s="43">
        <f>Tabla1[[#This Row],[Neto]]-Tabla1[[#This Row],[Costo Venta]]</f>
        <v>267.86</v>
      </c>
    </row>
    <row r="32" spans="1:16" x14ac:dyDescent="0.25">
      <c r="A32" s="48">
        <v>45371</v>
      </c>
      <c r="B32" s="1" t="s">
        <v>64</v>
      </c>
      <c r="C32" s="1" t="s">
        <v>65</v>
      </c>
      <c r="D32" s="1" t="s">
        <v>103</v>
      </c>
      <c r="E32" s="1" t="s">
        <v>71</v>
      </c>
      <c r="F32" s="1" t="s">
        <v>72</v>
      </c>
      <c r="G32" s="2">
        <v>1</v>
      </c>
      <c r="H32" s="1" t="s">
        <v>69</v>
      </c>
      <c r="I32" s="44">
        <f>Tabla1[[#This Row],[Descuento]]+Tabla1[[#This Row],[Neto]]</f>
        <v>178.57</v>
      </c>
      <c r="J32" s="9">
        <v>0</v>
      </c>
      <c r="K32" s="9">
        <v>178.57</v>
      </c>
      <c r="L32" s="9"/>
      <c r="M32" s="24">
        <f>+Tabla1[[#This Row],[Costo Venta]]/Tabla1[[#This Row],[Cantidad]]</f>
        <v>0</v>
      </c>
      <c r="N32" s="3">
        <v>1</v>
      </c>
      <c r="O32" s="8">
        <f>+Tabla1[[#This Row],[Conversión]]*Tabla1[[#This Row],[Cantidad]]</f>
        <v>1</v>
      </c>
      <c r="P32" s="43">
        <f>Tabla1[[#This Row],[Neto]]-Tabla1[[#This Row],[Costo Venta]]</f>
        <v>178.57</v>
      </c>
    </row>
    <row r="33" spans="1:16" x14ac:dyDescent="0.25">
      <c r="A33" s="48">
        <v>45399</v>
      </c>
      <c r="B33" s="1" t="s">
        <v>64</v>
      </c>
      <c r="C33" s="1" t="s">
        <v>65</v>
      </c>
      <c r="D33" s="1" t="s">
        <v>104</v>
      </c>
      <c r="E33" s="1" t="s">
        <v>67</v>
      </c>
      <c r="F33" s="1" t="s">
        <v>68</v>
      </c>
      <c r="G33" s="2">
        <v>1</v>
      </c>
      <c r="H33" s="1" t="s">
        <v>69</v>
      </c>
      <c r="I33" s="44">
        <f>Tabla1[[#This Row],[Descuento]]+Tabla1[[#This Row],[Neto]]</f>
        <v>267.86114600000002</v>
      </c>
      <c r="J33" s="9">
        <v>6.9911459999999996</v>
      </c>
      <c r="K33" s="9">
        <v>260.87</v>
      </c>
      <c r="L33" s="9"/>
      <c r="M33" s="24">
        <f>+Tabla1[[#This Row],[Costo Venta]]/Tabla1[[#This Row],[Cantidad]]</f>
        <v>0</v>
      </c>
      <c r="N33" s="3">
        <v>1</v>
      </c>
      <c r="O33" s="8">
        <f>+Tabla1[[#This Row],[Conversión]]*Tabla1[[#This Row],[Cantidad]]</f>
        <v>1</v>
      </c>
      <c r="P33" s="43">
        <f>Tabla1[[#This Row],[Neto]]-Tabla1[[#This Row],[Costo Venta]]</f>
        <v>260.87</v>
      </c>
    </row>
    <row r="34" spans="1:16" x14ac:dyDescent="0.25">
      <c r="A34" s="48">
        <v>45429</v>
      </c>
      <c r="B34" s="1" t="s">
        <v>64</v>
      </c>
      <c r="C34" s="1" t="s">
        <v>65</v>
      </c>
      <c r="D34" s="1" t="s">
        <v>105</v>
      </c>
      <c r="E34" s="1" t="s">
        <v>67</v>
      </c>
      <c r="F34" s="1" t="s">
        <v>68</v>
      </c>
      <c r="G34" s="2">
        <v>1</v>
      </c>
      <c r="H34" s="1" t="s">
        <v>69</v>
      </c>
      <c r="I34" s="44">
        <f>Tabla1[[#This Row],[Descuento]]+Tabla1[[#This Row],[Neto]]</f>
        <v>267.86114600000002</v>
      </c>
      <c r="J34" s="9">
        <v>6.9911459999999996</v>
      </c>
      <c r="K34" s="9">
        <v>260.87</v>
      </c>
      <c r="L34" s="9"/>
      <c r="M34" s="24">
        <f>+Tabla1[[#This Row],[Costo Venta]]/Tabla1[[#This Row],[Cantidad]]</f>
        <v>0</v>
      </c>
      <c r="N34" s="3">
        <v>1</v>
      </c>
      <c r="O34" s="8">
        <f>+Tabla1[[#This Row],[Conversión]]*Tabla1[[#This Row],[Cantidad]]</f>
        <v>1</v>
      </c>
      <c r="P34" s="43">
        <f>Tabla1[[#This Row],[Neto]]-Tabla1[[#This Row],[Costo Venta]]</f>
        <v>260.87</v>
      </c>
    </row>
    <row r="35" spans="1:16" x14ac:dyDescent="0.25">
      <c r="A35" s="48">
        <v>45464</v>
      </c>
      <c r="B35" s="1" t="s">
        <v>64</v>
      </c>
      <c r="C35" s="1" t="s">
        <v>65</v>
      </c>
      <c r="D35" s="1" t="s">
        <v>106</v>
      </c>
      <c r="E35" s="1" t="s">
        <v>67</v>
      </c>
      <c r="F35" s="1" t="s">
        <v>68</v>
      </c>
      <c r="G35" s="2">
        <v>1</v>
      </c>
      <c r="H35" s="1" t="s">
        <v>69</v>
      </c>
      <c r="I35" s="44">
        <f>Tabla1[[#This Row],[Descuento]]+Tabla1[[#This Row],[Neto]]</f>
        <v>267.86114600000002</v>
      </c>
      <c r="J35" s="9">
        <v>6.9911459999999996</v>
      </c>
      <c r="K35" s="9">
        <v>260.87</v>
      </c>
      <c r="L35" s="9"/>
      <c r="M35" s="24">
        <f>+Tabla1[[#This Row],[Costo Venta]]/Tabla1[[#This Row],[Cantidad]]</f>
        <v>0</v>
      </c>
      <c r="N35" s="3">
        <v>1</v>
      </c>
      <c r="O35" s="8">
        <f>+Tabla1[[#This Row],[Conversión]]*Tabla1[[#This Row],[Cantidad]]</f>
        <v>1</v>
      </c>
      <c r="P35" s="43">
        <f>Tabla1[[#This Row],[Neto]]-Tabla1[[#This Row],[Costo Venta]]</f>
        <v>260.87</v>
      </c>
    </row>
    <row r="36" spans="1:16" x14ac:dyDescent="0.25">
      <c r="A36" s="48">
        <v>45497</v>
      </c>
      <c r="B36" s="1" t="s">
        <v>64</v>
      </c>
      <c r="C36" s="1" t="s">
        <v>65</v>
      </c>
      <c r="D36" s="1" t="s">
        <v>107</v>
      </c>
      <c r="E36" s="1" t="s">
        <v>67</v>
      </c>
      <c r="F36" s="1" t="s">
        <v>68</v>
      </c>
      <c r="G36" s="2">
        <v>1</v>
      </c>
      <c r="H36" s="1" t="s">
        <v>69</v>
      </c>
      <c r="I36" s="44">
        <f>Tabla1[[#This Row],[Descuento]]+Tabla1[[#This Row],[Neto]]</f>
        <v>267.86114600000002</v>
      </c>
      <c r="J36" s="9">
        <v>6.9911459999999996</v>
      </c>
      <c r="K36" s="9">
        <v>260.87</v>
      </c>
      <c r="L36" s="9"/>
      <c r="M36" s="24">
        <f>+Tabla1[[#This Row],[Costo Venta]]/Tabla1[[#This Row],[Cantidad]]</f>
        <v>0</v>
      </c>
      <c r="N36" s="3">
        <v>1</v>
      </c>
      <c r="O36" s="8">
        <f>+Tabla1[[#This Row],[Conversión]]*Tabla1[[#This Row],[Cantidad]]</f>
        <v>1</v>
      </c>
      <c r="P36" s="43">
        <f>Tabla1[[#This Row],[Neto]]-Tabla1[[#This Row],[Costo Venta]]</f>
        <v>260.87</v>
      </c>
    </row>
    <row r="37" spans="1:16" x14ac:dyDescent="0.25">
      <c r="A37" s="48">
        <v>44931</v>
      </c>
      <c r="B37" s="1" t="s">
        <v>108</v>
      </c>
      <c r="C37" s="1" t="s">
        <v>109</v>
      </c>
      <c r="D37" s="1" t="s">
        <v>110</v>
      </c>
      <c r="E37" s="1" t="s">
        <v>71</v>
      </c>
      <c r="F37" s="1" t="s">
        <v>111</v>
      </c>
      <c r="G37" s="2">
        <v>1</v>
      </c>
      <c r="H37" s="1" t="s">
        <v>112</v>
      </c>
      <c r="I37" s="44">
        <f>Tabla1[[#This Row],[Descuento]]+Tabla1[[#This Row],[Neto]]</f>
        <v>25</v>
      </c>
      <c r="J37" s="9">
        <v>0</v>
      </c>
      <c r="K37" s="9">
        <v>25</v>
      </c>
      <c r="L37" s="9"/>
      <c r="M37" s="24">
        <f>+Tabla1[[#This Row],[Costo Venta]]/Tabla1[[#This Row],[Cantidad]]</f>
        <v>0</v>
      </c>
      <c r="N37" s="3">
        <v>1</v>
      </c>
      <c r="O37" s="8">
        <f>+Tabla1[[#This Row],[Conversión]]*Tabla1[[#This Row],[Cantidad]]</f>
        <v>1</v>
      </c>
      <c r="P37" s="43">
        <f>Tabla1[[#This Row],[Neto]]-Tabla1[[#This Row],[Costo Venta]]</f>
        <v>25</v>
      </c>
    </row>
    <row r="38" spans="1:16" x14ac:dyDescent="0.25">
      <c r="A38" s="48">
        <v>44935</v>
      </c>
      <c r="B38" s="1" t="s">
        <v>108</v>
      </c>
      <c r="C38" s="1" t="s">
        <v>109</v>
      </c>
      <c r="D38" s="1" t="s">
        <v>113</v>
      </c>
      <c r="E38" s="1" t="s">
        <v>71</v>
      </c>
      <c r="F38" s="1" t="s">
        <v>111</v>
      </c>
      <c r="G38" s="2">
        <v>1</v>
      </c>
      <c r="H38" s="1" t="s">
        <v>112</v>
      </c>
      <c r="I38" s="44">
        <f>Tabla1[[#This Row],[Descuento]]+Tabla1[[#This Row],[Neto]]</f>
        <v>25</v>
      </c>
      <c r="J38" s="9">
        <v>0</v>
      </c>
      <c r="K38" s="9">
        <v>25</v>
      </c>
      <c r="L38" s="9"/>
      <c r="M38" s="24">
        <f>+Tabla1[[#This Row],[Costo Venta]]/Tabla1[[#This Row],[Cantidad]]</f>
        <v>0</v>
      </c>
      <c r="N38" s="3">
        <v>1</v>
      </c>
      <c r="O38" s="8">
        <f>+Tabla1[[#This Row],[Conversión]]*Tabla1[[#This Row],[Cantidad]]</f>
        <v>1</v>
      </c>
      <c r="P38" s="43">
        <f>Tabla1[[#This Row],[Neto]]-Tabla1[[#This Row],[Costo Venta]]</f>
        <v>25</v>
      </c>
    </row>
    <row r="39" spans="1:16" x14ac:dyDescent="0.25">
      <c r="A39" s="48">
        <v>44935</v>
      </c>
      <c r="B39" s="1" t="s">
        <v>108</v>
      </c>
      <c r="C39" s="1" t="s">
        <v>65</v>
      </c>
      <c r="D39" s="1" t="s">
        <v>114</v>
      </c>
      <c r="E39" s="1" t="s">
        <v>67</v>
      </c>
      <c r="F39" s="1" t="s">
        <v>15</v>
      </c>
      <c r="G39" s="2">
        <v>1</v>
      </c>
      <c r="H39" s="1" t="s">
        <v>112</v>
      </c>
      <c r="I39" s="44">
        <f>Tabla1[[#This Row],[Descuento]]+Tabla1[[#This Row],[Neto]]</f>
        <v>240</v>
      </c>
      <c r="J39" s="9">
        <v>0</v>
      </c>
      <c r="K39" s="9">
        <v>240</v>
      </c>
      <c r="L39" s="9"/>
      <c r="M39" s="24">
        <f>+Tabla1[[#This Row],[Costo Venta]]/Tabla1[[#This Row],[Cantidad]]</f>
        <v>0</v>
      </c>
      <c r="N39" s="3">
        <v>1</v>
      </c>
      <c r="O39" s="8">
        <f>+Tabla1[[#This Row],[Conversión]]*Tabla1[[#This Row],[Cantidad]]</f>
        <v>1</v>
      </c>
      <c r="P39" s="43">
        <f>Tabla1[[#This Row],[Neto]]-Tabla1[[#This Row],[Costo Venta]]</f>
        <v>240</v>
      </c>
    </row>
    <row r="40" spans="1:16" x14ac:dyDescent="0.25">
      <c r="A40" s="48">
        <v>44938</v>
      </c>
      <c r="B40" s="1" t="s">
        <v>108</v>
      </c>
      <c r="C40" s="1" t="s">
        <v>115</v>
      </c>
      <c r="D40" s="1" t="s">
        <v>116</v>
      </c>
      <c r="E40" s="1" t="s">
        <v>71</v>
      </c>
      <c r="F40" s="1" t="s">
        <v>117</v>
      </c>
      <c r="G40" s="2">
        <v>1</v>
      </c>
      <c r="H40" s="1" t="s">
        <v>112</v>
      </c>
      <c r="I40" s="44">
        <f>Tabla1[[#This Row],[Descuento]]+Tabla1[[#This Row],[Neto]]</f>
        <v>80</v>
      </c>
      <c r="J40" s="9">
        <v>0</v>
      </c>
      <c r="K40" s="9">
        <v>80</v>
      </c>
      <c r="L40" s="9"/>
      <c r="M40" s="24">
        <f>+Tabla1[[#This Row],[Costo Venta]]/Tabla1[[#This Row],[Cantidad]]</f>
        <v>0</v>
      </c>
      <c r="N40" s="3">
        <v>1</v>
      </c>
      <c r="O40" s="8">
        <f>+Tabla1[[#This Row],[Conversión]]*Tabla1[[#This Row],[Cantidad]]</f>
        <v>1</v>
      </c>
      <c r="P40" s="43">
        <f>Tabla1[[#This Row],[Neto]]-Tabla1[[#This Row],[Costo Venta]]</f>
        <v>80</v>
      </c>
    </row>
    <row r="41" spans="1:16" x14ac:dyDescent="0.25">
      <c r="A41" s="48">
        <v>44942</v>
      </c>
      <c r="B41" s="1" t="s">
        <v>108</v>
      </c>
      <c r="C41" s="1" t="s">
        <v>115</v>
      </c>
      <c r="D41" s="1" t="s">
        <v>118</v>
      </c>
      <c r="E41" s="1" t="s">
        <v>71</v>
      </c>
      <c r="F41" s="1" t="s">
        <v>119</v>
      </c>
      <c r="G41" s="2">
        <v>1</v>
      </c>
      <c r="H41" s="1" t="s">
        <v>112</v>
      </c>
      <c r="I41" s="44">
        <f>Tabla1[[#This Row],[Descuento]]+Tabla1[[#This Row],[Neto]]</f>
        <v>30</v>
      </c>
      <c r="J41" s="9">
        <v>0</v>
      </c>
      <c r="K41" s="9">
        <v>30</v>
      </c>
      <c r="L41" s="9"/>
      <c r="M41" s="24">
        <f>+Tabla1[[#This Row],[Costo Venta]]/Tabla1[[#This Row],[Cantidad]]</f>
        <v>0</v>
      </c>
      <c r="N41" s="3">
        <v>1</v>
      </c>
      <c r="O41" s="8">
        <f>+Tabla1[[#This Row],[Conversión]]*Tabla1[[#This Row],[Cantidad]]</f>
        <v>1</v>
      </c>
      <c r="P41" s="43">
        <f>Tabla1[[#This Row],[Neto]]-Tabla1[[#This Row],[Costo Venta]]</f>
        <v>30</v>
      </c>
    </row>
    <row r="42" spans="1:16" x14ac:dyDescent="0.25">
      <c r="A42" s="48">
        <v>44942</v>
      </c>
      <c r="B42" s="1" t="s">
        <v>108</v>
      </c>
      <c r="C42" s="1" t="s">
        <v>115</v>
      </c>
      <c r="D42" s="1" t="s">
        <v>120</v>
      </c>
      <c r="E42" s="1" t="s">
        <v>71</v>
      </c>
      <c r="F42" s="1" t="s">
        <v>121</v>
      </c>
      <c r="G42" s="2">
        <v>1</v>
      </c>
      <c r="H42" s="1" t="s">
        <v>112</v>
      </c>
      <c r="I42" s="44">
        <f>Tabla1[[#This Row],[Descuento]]+Tabla1[[#This Row],[Neto]]</f>
        <v>50</v>
      </c>
      <c r="J42" s="9">
        <v>0</v>
      </c>
      <c r="K42" s="9">
        <v>50</v>
      </c>
      <c r="L42" s="9"/>
      <c r="M42" s="24">
        <f>+Tabla1[[#This Row],[Costo Venta]]/Tabla1[[#This Row],[Cantidad]]</f>
        <v>0</v>
      </c>
      <c r="N42" s="3">
        <v>1</v>
      </c>
      <c r="O42" s="8">
        <f>+Tabla1[[#This Row],[Conversión]]*Tabla1[[#This Row],[Cantidad]]</f>
        <v>1</v>
      </c>
      <c r="P42" s="43">
        <f>Tabla1[[#This Row],[Neto]]-Tabla1[[#This Row],[Costo Venta]]</f>
        <v>50</v>
      </c>
    </row>
    <row r="43" spans="1:16" x14ac:dyDescent="0.25">
      <c r="A43" s="48">
        <v>44944</v>
      </c>
      <c r="B43" s="1" t="s">
        <v>108</v>
      </c>
      <c r="C43" s="1" t="s">
        <v>65</v>
      </c>
      <c r="D43" s="1" t="s">
        <v>122</v>
      </c>
      <c r="E43" s="1" t="s">
        <v>71</v>
      </c>
      <c r="F43" s="1" t="s">
        <v>123</v>
      </c>
      <c r="G43" s="2">
        <v>1</v>
      </c>
      <c r="H43" s="1" t="s">
        <v>112</v>
      </c>
      <c r="I43" s="44">
        <f>Tabla1[[#This Row],[Descuento]]+Tabla1[[#This Row],[Neto]]</f>
        <v>25</v>
      </c>
      <c r="J43" s="9">
        <v>0</v>
      </c>
      <c r="K43" s="9">
        <v>25</v>
      </c>
      <c r="L43" s="9"/>
      <c r="M43" s="24">
        <f>+Tabla1[[#This Row],[Costo Venta]]/Tabla1[[#This Row],[Cantidad]]</f>
        <v>0</v>
      </c>
      <c r="N43" s="3">
        <v>1</v>
      </c>
      <c r="O43" s="8">
        <f>+Tabla1[[#This Row],[Conversión]]*Tabla1[[#This Row],[Cantidad]]</f>
        <v>1</v>
      </c>
      <c r="P43" s="43">
        <f>Tabla1[[#This Row],[Neto]]-Tabla1[[#This Row],[Costo Venta]]</f>
        <v>25</v>
      </c>
    </row>
    <row r="44" spans="1:16" x14ac:dyDescent="0.25">
      <c r="A44" s="48">
        <v>44949</v>
      </c>
      <c r="B44" s="1" t="s">
        <v>108</v>
      </c>
      <c r="C44" s="1" t="s">
        <v>115</v>
      </c>
      <c r="D44" s="1" t="s">
        <v>124</v>
      </c>
      <c r="E44" s="1" t="s">
        <v>71</v>
      </c>
      <c r="F44" s="1" t="s">
        <v>25</v>
      </c>
      <c r="G44" s="2">
        <v>1</v>
      </c>
      <c r="H44" s="1" t="s">
        <v>112</v>
      </c>
      <c r="I44" s="44">
        <f>Tabla1[[#This Row],[Descuento]]+Tabla1[[#This Row],[Neto]]</f>
        <v>25</v>
      </c>
      <c r="J44" s="9">
        <v>0</v>
      </c>
      <c r="K44" s="9">
        <v>25</v>
      </c>
      <c r="L44" s="9"/>
      <c r="M44" s="24">
        <f>+Tabla1[[#This Row],[Costo Venta]]/Tabla1[[#This Row],[Cantidad]]</f>
        <v>0</v>
      </c>
      <c r="N44" s="3">
        <v>1</v>
      </c>
      <c r="O44" s="8">
        <f>+Tabla1[[#This Row],[Conversión]]*Tabla1[[#This Row],[Cantidad]]</f>
        <v>1</v>
      </c>
      <c r="P44" s="43">
        <f>Tabla1[[#This Row],[Neto]]-Tabla1[[#This Row],[Costo Venta]]</f>
        <v>25</v>
      </c>
    </row>
    <row r="45" spans="1:16" x14ac:dyDescent="0.25">
      <c r="A45" s="48">
        <v>44949</v>
      </c>
      <c r="B45" s="1" t="s">
        <v>108</v>
      </c>
      <c r="C45" s="1" t="s">
        <v>115</v>
      </c>
      <c r="D45" s="1" t="s">
        <v>125</v>
      </c>
      <c r="E45" s="1" t="s">
        <v>71</v>
      </c>
      <c r="F45" s="1" t="s">
        <v>126</v>
      </c>
      <c r="G45" s="2">
        <v>1</v>
      </c>
      <c r="H45" s="1" t="s">
        <v>112</v>
      </c>
      <c r="I45" s="44">
        <f>Tabla1[[#This Row],[Descuento]]+Tabla1[[#This Row],[Neto]]</f>
        <v>30</v>
      </c>
      <c r="J45" s="9">
        <v>0</v>
      </c>
      <c r="K45" s="9">
        <v>30</v>
      </c>
      <c r="L45" s="9"/>
      <c r="M45" s="24">
        <f>+Tabla1[[#This Row],[Costo Venta]]/Tabla1[[#This Row],[Cantidad]]</f>
        <v>0</v>
      </c>
      <c r="N45" s="3">
        <v>1</v>
      </c>
      <c r="O45" s="8">
        <f>+Tabla1[[#This Row],[Conversión]]*Tabla1[[#This Row],[Cantidad]]</f>
        <v>1</v>
      </c>
      <c r="P45" s="43">
        <f>Tabla1[[#This Row],[Neto]]-Tabla1[[#This Row],[Costo Venta]]</f>
        <v>30</v>
      </c>
    </row>
    <row r="46" spans="1:16" x14ac:dyDescent="0.25">
      <c r="A46" s="48">
        <v>44950</v>
      </c>
      <c r="B46" s="1" t="s">
        <v>108</v>
      </c>
      <c r="C46" s="1" t="s">
        <v>109</v>
      </c>
      <c r="D46" s="1" t="s">
        <v>127</v>
      </c>
      <c r="E46" s="1" t="s">
        <v>71</v>
      </c>
      <c r="F46" s="1" t="s">
        <v>128</v>
      </c>
      <c r="G46" s="2">
        <v>1</v>
      </c>
      <c r="H46" s="1" t="s">
        <v>112</v>
      </c>
      <c r="I46" s="44">
        <f>Tabla1[[#This Row],[Descuento]]+Tabla1[[#This Row],[Neto]]</f>
        <v>0.01</v>
      </c>
      <c r="J46" s="9">
        <v>0.01</v>
      </c>
      <c r="K46" s="9">
        <v>0</v>
      </c>
      <c r="L46" s="9"/>
      <c r="M46" s="24">
        <f>+Tabla1[[#This Row],[Costo Venta]]/Tabla1[[#This Row],[Cantidad]]</f>
        <v>0</v>
      </c>
      <c r="N46" s="3">
        <v>1</v>
      </c>
      <c r="O46" s="8">
        <f>+Tabla1[[#This Row],[Conversión]]*Tabla1[[#This Row],[Cantidad]]</f>
        <v>1</v>
      </c>
      <c r="P46" s="43">
        <f>Tabla1[[#This Row],[Neto]]-Tabla1[[#This Row],[Costo Venta]]</f>
        <v>0</v>
      </c>
    </row>
    <row r="47" spans="1:16" x14ac:dyDescent="0.25">
      <c r="A47" s="48">
        <v>44950</v>
      </c>
      <c r="B47" s="1" t="s">
        <v>108</v>
      </c>
      <c r="C47" s="1" t="s">
        <v>115</v>
      </c>
      <c r="D47" s="1" t="s">
        <v>129</v>
      </c>
      <c r="E47" s="1" t="s">
        <v>71</v>
      </c>
      <c r="F47" s="1" t="s">
        <v>130</v>
      </c>
      <c r="G47" s="2">
        <v>1</v>
      </c>
      <c r="H47" s="1" t="s">
        <v>112</v>
      </c>
      <c r="I47" s="44">
        <f>Tabla1[[#This Row],[Descuento]]+Tabla1[[#This Row],[Neto]]</f>
        <v>240</v>
      </c>
      <c r="J47" s="9">
        <v>0</v>
      </c>
      <c r="K47" s="9">
        <v>240</v>
      </c>
      <c r="L47" s="9"/>
      <c r="M47" s="24">
        <f>+Tabla1[[#This Row],[Costo Venta]]/Tabla1[[#This Row],[Cantidad]]</f>
        <v>0</v>
      </c>
      <c r="N47" s="3">
        <v>1</v>
      </c>
      <c r="O47" s="8">
        <f>+Tabla1[[#This Row],[Conversión]]*Tabla1[[#This Row],[Cantidad]]</f>
        <v>1</v>
      </c>
      <c r="P47" s="43">
        <f>Tabla1[[#This Row],[Neto]]-Tabla1[[#This Row],[Costo Venta]]</f>
        <v>240</v>
      </c>
    </row>
    <row r="48" spans="1:16" x14ac:dyDescent="0.25">
      <c r="A48" s="48">
        <v>44952</v>
      </c>
      <c r="B48" s="1" t="s">
        <v>108</v>
      </c>
      <c r="C48" s="1" t="s">
        <v>65</v>
      </c>
      <c r="D48" s="1" t="s">
        <v>131</v>
      </c>
      <c r="E48" s="1" t="s">
        <v>132</v>
      </c>
      <c r="F48" s="1" t="s">
        <v>133</v>
      </c>
      <c r="G48" s="2">
        <v>1</v>
      </c>
      <c r="H48" s="1" t="s">
        <v>112</v>
      </c>
      <c r="I48" s="44">
        <f>Tabla1[[#This Row],[Descuento]]+Tabla1[[#This Row],[Neto]]</f>
        <v>40</v>
      </c>
      <c r="J48" s="9">
        <v>0</v>
      </c>
      <c r="K48" s="9">
        <v>40</v>
      </c>
      <c r="L48" s="9"/>
      <c r="M48" s="24">
        <f>+Tabla1[[#This Row],[Costo Venta]]/Tabla1[[#This Row],[Cantidad]]</f>
        <v>0</v>
      </c>
      <c r="N48" s="3">
        <v>1</v>
      </c>
      <c r="O48" s="8">
        <f>+Tabla1[[#This Row],[Conversión]]*Tabla1[[#This Row],[Cantidad]]</f>
        <v>1</v>
      </c>
      <c r="P48" s="43">
        <f>Tabla1[[#This Row],[Neto]]-Tabla1[[#This Row],[Costo Venta]]</f>
        <v>40</v>
      </c>
    </row>
    <row r="49" spans="1:16" x14ac:dyDescent="0.25">
      <c r="A49" s="48">
        <v>44958</v>
      </c>
      <c r="B49" s="1" t="s">
        <v>108</v>
      </c>
      <c r="C49" s="1" t="s">
        <v>109</v>
      </c>
      <c r="D49" s="1" t="s">
        <v>134</v>
      </c>
      <c r="E49" s="1" t="s">
        <v>71</v>
      </c>
      <c r="F49" s="1" t="s">
        <v>135</v>
      </c>
      <c r="G49" s="2">
        <v>1</v>
      </c>
      <c r="H49" s="1" t="s">
        <v>112</v>
      </c>
      <c r="I49" s="44">
        <f>Tabla1[[#This Row],[Descuento]]+Tabla1[[#This Row],[Neto]]</f>
        <v>20</v>
      </c>
      <c r="J49" s="9">
        <v>0</v>
      </c>
      <c r="K49" s="9">
        <v>20</v>
      </c>
      <c r="L49" s="9"/>
      <c r="M49" s="24">
        <f>+Tabla1[[#This Row],[Costo Venta]]/Tabla1[[#This Row],[Cantidad]]</f>
        <v>0</v>
      </c>
      <c r="N49" s="3">
        <v>1</v>
      </c>
      <c r="O49" s="8">
        <f>+Tabla1[[#This Row],[Conversión]]*Tabla1[[#This Row],[Cantidad]]</f>
        <v>1</v>
      </c>
      <c r="P49" s="43">
        <f>Tabla1[[#This Row],[Neto]]-Tabla1[[#This Row],[Costo Venta]]</f>
        <v>20</v>
      </c>
    </row>
    <row r="50" spans="1:16" x14ac:dyDescent="0.25">
      <c r="A50" s="48">
        <v>44958</v>
      </c>
      <c r="B50" s="1" t="s">
        <v>108</v>
      </c>
      <c r="C50" s="1" t="s">
        <v>109</v>
      </c>
      <c r="D50" s="1" t="s">
        <v>136</v>
      </c>
      <c r="E50" s="1" t="s">
        <v>137</v>
      </c>
      <c r="F50" s="1" t="s">
        <v>138</v>
      </c>
      <c r="G50" s="2">
        <v>1</v>
      </c>
      <c r="H50" s="1" t="s">
        <v>112</v>
      </c>
      <c r="I50" s="44">
        <f>Tabla1[[#This Row],[Descuento]]+Tabla1[[#This Row],[Neto]]</f>
        <v>30</v>
      </c>
      <c r="J50" s="9">
        <v>0</v>
      </c>
      <c r="K50" s="9">
        <v>30</v>
      </c>
      <c r="L50" s="9"/>
      <c r="M50" s="24">
        <f>+Tabla1[[#This Row],[Costo Venta]]/Tabla1[[#This Row],[Cantidad]]</f>
        <v>0</v>
      </c>
      <c r="N50" s="3">
        <v>1</v>
      </c>
      <c r="O50" s="8">
        <f>+Tabla1[[#This Row],[Conversión]]*Tabla1[[#This Row],[Cantidad]]</f>
        <v>1</v>
      </c>
      <c r="P50" s="43">
        <f>Tabla1[[#This Row],[Neto]]-Tabla1[[#This Row],[Costo Venta]]</f>
        <v>30</v>
      </c>
    </row>
    <row r="51" spans="1:16" x14ac:dyDescent="0.25">
      <c r="A51" s="48">
        <v>44963</v>
      </c>
      <c r="B51" s="1" t="s">
        <v>108</v>
      </c>
      <c r="C51" s="1" t="s">
        <v>65</v>
      </c>
      <c r="D51" s="1" t="s">
        <v>139</v>
      </c>
      <c r="E51" s="1" t="s">
        <v>71</v>
      </c>
      <c r="F51" s="1" t="s">
        <v>140</v>
      </c>
      <c r="G51" s="2">
        <v>1</v>
      </c>
      <c r="H51" s="1" t="s">
        <v>112</v>
      </c>
      <c r="I51" s="44">
        <f>Tabla1[[#This Row],[Descuento]]+Tabla1[[#This Row],[Neto]]</f>
        <v>80</v>
      </c>
      <c r="J51" s="9">
        <v>0</v>
      </c>
      <c r="K51" s="9">
        <v>80</v>
      </c>
      <c r="L51" s="9"/>
      <c r="M51" s="24">
        <f>+Tabla1[[#This Row],[Costo Venta]]/Tabla1[[#This Row],[Cantidad]]</f>
        <v>0</v>
      </c>
      <c r="N51" s="3">
        <v>1</v>
      </c>
      <c r="O51" s="8">
        <f>+Tabla1[[#This Row],[Conversión]]*Tabla1[[#This Row],[Cantidad]]</f>
        <v>1</v>
      </c>
      <c r="P51" s="43">
        <f>Tabla1[[#This Row],[Neto]]-Tabla1[[#This Row],[Costo Venta]]</f>
        <v>80</v>
      </c>
    </row>
    <row r="52" spans="1:16" x14ac:dyDescent="0.25">
      <c r="A52" s="48">
        <v>44965</v>
      </c>
      <c r="B52" s="1" t="s">
        <v>108</v>
      </c>
      <c r="C52" s="1" t="s">
        <v>65</v>
      </c>
      <c r="D52" s="1" t="s">
        <v>141</v>
      </c>
      <c r="E52" s="1" t="s">
        <v>132</v>
      </c>
      <c r="F52" s="1" t="s">
        <v>142</v>
      </c>
      <c r="G52" s="2">
        <v>1</v>
      </c>
      <c r="H52" s="1" t="s">
        <v>112</v>
      </c>
      <c r="I52" s="44">
        <f>Tabla1[[#This Row],[Descuento]]+Tabla1[[#This Row],[Neto]]</f>
        <v>40</v>
      </c>
      <c r="J52" s="9">
        <v>0</v>
      </c>
      <c r="K52" s="9">
        <v>40</v>
      </c>
      <c r="L52" s="9"/>
      <c r="M52" s="24">
        <f>+Tabla1[[#This Row],[Costo Venta]]/Tabla1[[#This Row],[Cantidad]]</f>
        <v>0</v>
      </c>
      <c r="N52" s="3">
        <v>1</v>
      </c>
      <c r="O52" s="8">
        <f>+Tabla1[[#This Row],[Conversión]]*Tabla1[[#This Row],[Cantidad]]</f>
        <v>1</v>
      </c>
      <c r="P52" s="43">
        <f>Tabla1[[#This Row],[Neto]]-Tabla1[[#This Row],[Costo Venta]]</f>
        <v>40</v>
      </c>
    </row>
    <row r="53" spans="1:16" x14ac:dyDescent="0.25">
      <c r="A53" s="48">
        <v>44967</v>
      </c>
      <c r="B53" s="1" t="s">
        <v>108</v>
      </c>
      <c r="C53" s="1" t="s">
        <v>143</v>
      </c>
      <c r="D53" s="1" t="s">
        <v>144</v>
      </c>
      <c r="E53" s="1" t="s">
        <v>71</v>
      </c>
      <c r="F53" s="1" t="s">
        <v>145</v>
      </c>
      <c r="G53" s="2">
        <v>1</v>
      </c>
      <c r="H53" s="1" t="s">
        <v>112</v>
      </c>
      <c r="I53" s="44">
        <f>Tabla1[[#This Row],[Descuento]]+Tabla1[[#This Row],[Neto]]</f>
        <v>450</v>
      </c>
      <c r="J53" s="9">
        <v>0</v>
      </c>
      <c r="K53" s="9">
        <v>450</v>
      </c>
      <c r="L53" s="9"/>
      <c r="M53" s="24">
        <f>+Tabla1[[#This Row],[Costo Venta]]/Tabla1[[#This Row],[Cantidad]]</f>
        <v>0</v>
      </c>
      <c r="N53" s="3">
        <v>1</v>
      </c>
      <c r="O53" s="8">
        <f>+Tabla1[[#This Row],[Conversión]]*Tabla1[[#This Row],[Cantidad]]</f>
        <v>1</v>
      </c>
      <c r="P53" s="43">
        <f>Tabla1[[#This Row],[Neto]]-Tabla1[[#This Row],[Costo Venta]]</f>
        <v>450</v>
      </c>
    </row>
    <row r="54" spans="1:16" x14ac:dyDescent="0.25">
      <c r="A54" s="48">
        <v>44970</v>
      </c>
      <c r="B54" s="1" t="s">
        <v>108</v>
      </c>
      <c r="C54" s="1" t="s">
        <v>109</v>
      </c>
      <c r="D54" s="1" t="s">
        <v>146</v>
      </c>
      <c r="E54" s="1" t="s">
        <v>132</v>
      </c>
      <c r="F54" s="1" t="s">
        <v>147</v>
      </c>
      <c r="G54" s="2">
        <v>1</v>
      </c>
      <c r="H54" s="1" t="s">
        <v>112</v>
      </c>
      <c r="I54" s="44">
        <f>Tabla1[[#This Row],[Descuento]]+Tabla1[[#This Row],[Neto]]</f>
        <v>60</v>
      </c>
      <c r="J54" s="9">
        <v>0</v>
      </c>
      <c r="K54" s="9">
        <v>60</v>
      </c>
      <c r="L54" s="9"/>
      <c r="M54" s="24">
        <f>+Tabla1[[#This Row],[Costo Venta]]/Tabla1[[#This Row],[Cantidad]]</f>
        <v>0</v>
      </c>
      <c r="N54" s="3">
        <v>1</v>
      </c>
      <c r="O54" s="8">
        <f>+Tabla1[[#This Row],[Conversión]]*Tabla1[[#This Row],[Cantidad]]</f>
        <v>1</v>
      </c>
      <c r="P54" s="43">
        <f>Tabla1[[#This Row],[Neto]]-Tabla1[[#This Row],[Costo Venta]]</f>
        <v>60</v>
      </c>
    </row>
    <row r="55" spans="1:16" x14ac:dyDescent="0.25">
      <c r="A55" s="48">
        <v>44984</v>
      </c>
      <c r="B55" s="1" t="s">
        <v>108</v>
      </c>
      <c r="C55" s="1" t="s">
        <v>109</v>
      </c>
      <c r="D55" s="1" t="s">
        <v>148</v>
      </c>
      <c r="E55" s="1" t="s">
        <v>67</v>
      </c>
      <c r="F55" s="1" t="s">
        <v>9</v>
      </c>
      <c r="G55" s="2">
        <v>1</v>
      </c>
      <c r="H55" s="1" t="s">
        <v>112</v>
      </c>
      <c r="I55" s="44">
        <f>Tabla1[[#This Row],[Descuento]]+Tabla1[[#This Row],[Neto]]</f>
        <v>0.01</v>
      </c>
      <c r="J55" s="9">
        <v>0</v>
      </c>
      <c r="K55" s="9">
        <v>0.01</v>
      </c>
      <c r="L55" s="9"/>
      <c r="M55" s="24">
        <f>+Tabla1[[#This Row],[Costo Venta]]/Tabla1[[#This Row],[Cantidad]]</f>
        <v>0</v>
      </c>
      <c r="N55" s="3">
        <v>1</v>
      </c>
      <c r="O55" s="8">
        <f>+Tabla1[[#This Row],[Conversión]]*Tabla1[[#This Row],[Cantidad]]</f>
        <v>1</v>
      </c>
      <c r="P55" s="43">
        <f>Tabla1[[#This Row],[Neto]]-Tabla1[[#This Row],[Costo Venta]]</f>
        <v>0.01</v>
      </c>
    </row>
    <row r="56" spans="1:16" x14ac:dyDescent="0.25">
      <c r="A56" s="48">
        <v>44984</v>
      </c>
      <c r="B56" s="1" t="s">
        <v>108</v>
      </c>
      <c r="C56" s="1" t="s">
        <v>109</v>
      </c>
      <c r="D56" s="1" t="s">
        <v>149</v>
      </c>
      <c r="E56" s="1" t="s">
        <v>67</v>
      </c>
      <c r="F56" s="1" t="s">
        <v>20</v>
      </c>
      <c r="G56" s="2">
        <v>1</v>
      </c>
      <c r="H56" s="1" t="s">
        <v>112</v>
      </c>
      <c r="I56" s="44">
        <f>Tabla1[[#This Row],[Descuento]]+Tabla1[[#This Row],[Neto]]</f>
        <v>0.01</v>
      </c>
      <c r="J56" s="9">
        <v>0.01</v>
      </c>
      <c r="K56" s="9">
        <v>0</v>
      </c>
      <c r="L56" s="9"/>
      <c r="M56" s="24">
        <f>+Tabla1[[#This Row],[Costo Venta]]/Tabla1[[#This Row],[Cantidad]]</f>
        <v>0</v>
      </c>
      <c r="N56" s="3">
        <v>1</v>
      </c>
      <c r="O56" s="8">
        <f>+Tabla1[[#This Row],[Conversión]]*Tabla1[[#This Row],[Cantidad]]</f>
        <v>1</v>
      </c>
      <c r="P56" s="43">
        <f>Tabla1[[#This Row],[Neto]]-Tabla1[[#This Row],[Costo Venta]]</f>
        <v>0</v>
      </c>
    </row>
    <row r="57" spans="1:16" x14ac:dyDescent="0.25">
      <c r="A57" s="48">
        <v>44987</v>
      </c>
      <c r="B57" s="1" t="s">
        <v>108</v>
      </c>
      <c r="C57" s="1" t="s">
        <v>109</v>
      </c>
      <c r="D57" s="1" t="s">
        <v>150</v>
      </c>
      <c r="E57" s="1" t="s">
        <v>137</v>
      </c>
      <c r="F57" s="1" t="s">
        <v>151</v>
      </c>
      <c r="G57" s="2">
        <v>1</v>
      </c>
      <c r="H57" s="1" t="s">
        <v>112</v>
      </c>
      <c r="I57" s="44">
        <f>Tabla1[[#This Row],[Descuento]]+Tabla1[[#This Row],[Neto]]</f>
        <v>40</v>
      </c>
      <c r="J57" s="9">
        <v>0</v>
      </c>
      <c r="K57" s="9">
        <v>40</v>
      </c>
      <c r="L57" s="9"/>
      <c r="M57" s="24">
        <f>+Tabla1[[#This Row],[Costo Venta]]/Tabla1[[#This Row],[Cantidad]]</f>
        <v>0</v>
      </c>
      <c r="N57" s="3">
        <v>1</v>
      </c>
      <c r="O57" s="8">
        <f>+Tabla1[[#This Row],[Conversión]]*Tabla1[[#This Row],[Cantidad]]</f>
        <v>1</v>
      </c>
      <c r="P57" s="43">
        <f>Tabla1[[#This Row],[Neto]]-Tabla1[[#This Row],[Costo Venta]]</f>
        <v>40</v>
      </c>
    </row>
    <row r="58" spans="1:16" x14ac:dyDescent="0.25">
      <c r="A58" s="48">
        <v>44992</v>
      </c>
      <c r="B58" s="1" t="s">
        <v>108</v>
      </c>
      <c r="C58" s="1" t="s">
        <v>109</v>
      </c>
      <c r="D58" s="1" t="s">
        <v>152</v>
      </c>
      <c r="E58" s="1" t="s">
        <v>67</v>
      </c>
      <c r="F58" s="1" t="s">
        <v>9</v>
      </c>
      <c r="G58" s="2">
        <v>1</v>
      </c>
      <c r="H58" s="1" t="s">
        <v>112</v>
      </c>
      <c r="I58" s="44">
        <f>Tabla1[[#This Row],[Descuento]]+Tabla1[[#This Row],[Neto]]</f>
        <v>0.01</v>
      </c>
      <c r="J58" s="9">
        <v>0</v>
      </c>
      <c r="K58" s="9">
        <v>0.01</v>
      </c>
      <c r="L58" s="9"/>
      <c r="M58" s="24">
        <f>+Tabla1[[#This Row],[Costo Venta]]/Tabla1[[#This Row],[Cantidad]]</f>
        <v>0</v>
      </c>
      <c r="N58" s="3">
        <v>1</v>
      </c>
      <c r="O58" s="8">
        <f>+Tabla1[[#This Row],[Conversión]]*Tabla1[[#This Row],[Cantidad]]</f>
        <v>1</v>
      </c>
      <c r="P58" s="43">
        <f>Tabla1[[#This Row],[Neto]]-Tabla1[[#This Row],[Costo Venta]]</f>
        <v>0.01</v>
      </c>
    </row>
    <row r="59" spans="1:16" x14ac:dyDescent="0.25">
      <c r="A59" s="48">
        <v>44994</v>
      </c>
      <c r="B59" s="1" t="s">
        <v>108</v>
      </c>
      <c r="C59" s="1" t="s">
        <v>109</v>
      </c>
      <c r="D59" s="1" t="s">
        <v>153</v>
      </c>
      <c r="E59" s="1" t="s">
        <v>132</v>
      </c>
      <c r="F59" s="1" t="s">
        <v>21</v>
      </c>
      <c r="G59" s="2">
        <v>1</v>
      </c>
      <c r="H59" s="1" t="s">
        <v>112</v>
      </c>
      <c r="I59" s="44">
        <f>Tabla1[[#This Row],[Descuento]]+Tabla1[[#This Row],[Neto]]</f>
        <v>30</v>
      </c>
      <c r="J59" s="9">
        <v>0</v>
      </c>
      <c r="K59" s="9">
        <v>30</v>
      </c>
      <c r="L59" s="9"/>
      <c r="M59" s="24">
        <f>+Tabla1[[#This Row],[Costo Venta]]/Tabla1[[#This Row],[Cantidad]]</f>
        <v>0</v>
      </c>
      <c r="N59" s="3">
        <v>1</v>
      </c>
      <c r="O59" s="8">
        <f>+Tabla1[[#This Row],[Conversión]]*Tabla1[[#This Row],[Cantidad]]</f>
        <v>1</v>
      </c>
      <c r="P59" s="43">
        <f>Tabla1[[#This Row],[Neto]]-Tabla1[[#This Row],[Costo Venta]]</f>
        <v>30</v>
      </c>
    </row>
    <row r="60" spans="1:16" x14ac:dyDescent="0.25">
      <c r="A60" s="48">
        <v>44994</v>
      </c>
      <c r="B60" s="1" t="s">
        <v>108</v>
      </c>
      <c r="C60" s="1" t="s">
        <v>109</v>
      </c>
      <c r="D60" s="1" t="s">
        <v>154</v>
      </c>
      <c r="E60" s="1" t="s">
        <v>71</v>
      </c>
      <c r="F60" s="1" t="s">
        <v>155</v>
      </c>
      <c r="G60" s="2">
        <v>1</v>
      </c>
      <c r="H60" s="1" t="s">
        <v>112</v>
      </c>
      <c r="I60" s="44">
        <f>Tabla1[[#This Row],[Descuento]]+Tabla1[[#This Row],[Neto]]</f>
        <v>25</v>
      </c>
      <c r="J60" s="9">
        <v>0</v>
      </c>
      <c r="K60" s="9">
        <v>25</v>
      </c>
      <c r="L60" s="9"/>
      <c r="M60" s="24">
        <f>+Tabla1[[#This Row],[Costo Venta]]/Tabla1[[#This Row],[Cantidad]]</f>
        <v>0</v>
      </c>
      <c r="N60" s="3">
        <v>1</v>
      </c>
      <c r="O60" s="8">
        <f>+Tabla1[[#This Row],[Conversión]]*Tabla1[[#This Row],[Cantidad]]</f>
        <v>1</v>
      </c>
      <c r="P60" s="43">
        <f>Tabla1[[#This Row],[Neto]]-Tabla1[[#This Row],[Costo Venta]]</f>
        <v>25</v>
      </c>
    </row>
    <row r="61" spans="1:16" x14ac:dyDescent="0.25">
      <c r="A61" s="48">
        <v>45000</v>
      </c>
      <c r="B61" s="1" t="s">
        <v>108</v>
      </c>
      <c r="C61" s="1" t="s">
        <v>65</v>
      </c>
      <c r="D61" s="1" t="s">
        <v>156</v>
      </c>
      <c r="E61" s="1" t="s">
        <v>67</v>
      </c>
      <c r="F61" s="1" t="s">
        <v>157</v>
      </c>
      <c r="G61" s="2">
        <v>1</v>
      </c>
      <c r="H61" s="1" t="s">
        <v>112</v>
      </c>
      <c r="I61" s="44">
        <f>Tabla1[[#This Row],[Descuento]]+Tabla1[[#This Row],[Neto]]</f>
        <v>25</v>
      </c>
      <c r="J61" s="9">
        <v>0</v>
      </c>
      <c r="K61" s="9">
        <v>25</v>
      </c>
      <c r="L61" s="9"/>
      <c r="M61" s="24">
        <f>+Tabla1[[#This Row],[Costo Venta]]/Tabla1[[#This Row],[Cantidad]]</f>
        <v>0</v>
      </c>
      <c r="N61" s="3">
        <v>1</v>
      </c>
      <c r="O61" s="8">
        <f>+Tabla1[[#This Row],[Conversión]]*Tabla1[[#This Row],[Cantidad]]</f>
        <v>1</v>
      </c>
      <c r="P61" s="43">
        <f>Tabla1[[#This Row],[Neto]]-Tabla1[[#This Row],[Costo Venta]]</f>
        <v>25</v>
      </c>
    </row>
    <row r="62" spans="1:16" x14ac:dyDescent="0.25">
      <c r="A62" s="48">
        <v>45026</v>
      </c>
      <c r="B62" s="1" t="s">
        <v>108</v>
      </c>
      <c r="C62" s="1" t="s">
        <v>81</v>
      </c>
      <c r="D62" s="1" t="s">
        <v>158</v>
      </c>
      <c r="E62" s="1" t="s">
        <v>71</v>
      </c>
      <c r="F62" s="1" t="s">
        <v>159</v>
      </c>
      <c r="G62" s="2">
        <v>1</v>
      </c>
      <c r="H62" s="1" t="s">
        <v>112</v>
      </c>
      <c r="I62" s="44">
        <f>Tabla1[[#This Row],[Descuento]]+Tabla1[[#This Row],[Neto]]</f>
        <v>200</v>
      </c>
      <c r="J62" s="9">
        <v>0</v>
      </c>
      <c r="K62" s="9">
        <v>200</v>
      </c>
      <c r="L62" s="9"/>
      <c r="M62" s="24">
        <f>+Tabla1[[#This Row],[Costo Venta]]/Tabla1[[#This Row],[Cantidad]]</f>
        <v>0</v>
      </c>
      <c r="N62" s="3">
        <v>1</v>
      </c>
      <c r="O62" s="8">
        <f>+Tabla1[[#This Row],[Conversión]]*Tabla1[[#This Row],[Cantidad]]</f>
        <v>1</v>
      </c>
      <c r="P62" s="43">
        <f>Tabla1[[#This Row],[Neto]]-Tabla1[[#This Row],[Costo Venta]]</f>
        <v>200</v>
      </c>
    </row>
    <row r="63" spans="1:16" x14ac:dyDescent="0.25">
      <c r="A63" s="48">
        <v>45027</v>
      </c>
      <c r="B63" s="1" t="s">
        <v>108</v>
      </c>
      <c r="C63" s="1" t="s">
        <v>81</v>
      </c>
      <c r="D63" s="1" t="s">
        <v>160</v>
      </c>
      <c r="E63" s="1" t="s">
        <v>71</v>
      </c>
      <c r="F63" s="1" t="s">
        <v>161</v>
      </c>
      <c r="G63" s="2">
        <v>1</v>
      </c>
      <c r="H63" s="1" t="s">
        <v>112</v>
      </c>
      <c r="I63" s="44">
        <f>Tabla1[[#This Row],[Descuento]]+Tabla1[[#This Row],[Neto]]</f>
        <v>20</v>
      </c>
      <c r="J63" s="9">
        <v>0</v>
      </c>
      <c r="K63" s="9">
        <v>20</v>
      </c>
      <c r="L63" s="9"/>
      <c r="M63" s="24">
        <f>+Tabla1[[#This Row],[Costo Venta]]/Tabla1[[#This Row],[Cantidad]]</f>
        <v>0</v>
      </c>
      <c r="N63" s="3">
        <v>1</v>
      </c>
      <c r="O63" s="8">
        <f>+Tabla1[[#This Row],[Conversión]]*Tabla1[[#This Row],[Cantidad]]</f>
        <v>1</v>
      </c>
      <c r="P63" s="43">
        <f>Tabla1[[#This Row],[Neto]]-Tabla1[[#This Row],[Costo Venta]]</f>
        <v>20</v>
      </c>
    </row>
    <row r="64" spans="1:16" x14ac:dyDescent="0.25">
      <c r="A64" s="48">
        <v>45028</v>
      </c>
      <c r="B64" s="1" t="s">
        <v>108</v>
      </c>
      <c r="C64" s="1" t="s">
        <v>81</v>
      </c>
      <c r="D64" s="1" t="s">
        <v>162</v>
      </c>
      <c r="E64" s="1" t="s">
        <v>71</v>
      </c>
      <c r="F64" s="1" t="s">
        <v>163</v>
      </c>
      <c r="G64" s="2">
        <v>1</v>
      </c>
      <c r="H64" s="1" t="s">
        <v>112</v>
      </c>
      <c r="I64" s="44">
        <f>Tabla1[[#This Row],[Descuento]]+Tabla1[[#This Row],[Neto]]</f>
        <v>25</v>
      </c>
      <c r="J64" s="9">
        <v>0</v>
      </c>
      <c r="K64" s="9">
        <v>25</v>
      </c>
      <c r="L64" s="9"/>
      <c r="M64" s="24">
        <f>+Tabla1[[#This Row],[Costo Venta]]/Tabla1[[#This Row],[Cantidad]]</f>
        <v>0</v>
      </c>
      <c r="N64" s="3">
        <v>1</v>
      </c>
      <c r="O64" s="8">
        <f>+Tabla1[[#This Row],[Conversión]]*Tabla1[[#This Row],[Cantidad]]</f>
        <v>1</v>
      </c>
      <c r="P64" s="43">
        <f>Tabla1[[#This Row],[Neto]]-Tabla1[[#This Row],[Costo Venta]]</f>
        <v>25</v>
      </c>
    </row>
    <row r="65" spans="1:16" x14ac:dyDescent="0.25">
      <c r="A65" s="48">
        <v>45033</v>
      </c>
      <c r="B65" s="1" t="s">
        <v>108</v>
      </c>
      <c r="C65" s="1" t="s">
        <v>109</v>
      </c>
      <c r="D65" s="1" t="s">
        <v>164</v>
      </c>
      <c r="E65" s="1" t="s">
        <v>71</v>
      </c>
      <c r="F65" s="1" t="s">
        <v>165</v>
      </c>
      <c r="G65" s="2">
        <v>1</v>
      </c>
      <c r="H65" s="1" t="s">
        <v>112</v>
      </c>
      <c r="I65" s="44">
        <f>Tabla1[[#This Row],[Descuento]]+Tabla1[[#This Row],[Neto]]</f>
        <v>175</v>
      </c>
      <c r="J65" s="9">
        <v>0</v>
      </c>
      <c r="K65" s="9">
        <v>175</v>
      </c>
      <c r="L65" s="9"/>
      <c r="M65" s="24">
        <f>+Tabla1[[#This Row],[Costo Venta]]/Tabla1[[#This Row],[Cantidad]]</f>
        <v>0</v>
      </c>
      <c r="N65" s="3">
        <v>1</v>
      </c>
      <c r="O65" s="8">
        <f>+Tabla1[[#This Row],[Conversión]]*Tabla1[[#This Row],[Cantidad]]</f>
        <v>1</v>
      </c>
      <c r="P65" s="43">
        <f>Tabla1[[#This Row],[Neto]]-Tabla1[[#This Row],[Costo Venta]]</f>
        <v>175</v>
      </c>
    </row>
    <row r="66" spans="1:16" x14ac:dyDescent="0.25">
      <c r="A66" s="48">
        <v>45033</v>
      </c>
      <c r="B66" s="1" t="s">
        <v>108</v>
      </c>
      <c r="C66" s="1" t="s">
        <v>81</v>
      </c>
      <c r="D66" s="1" t="s">
        <v>166</v>
      </c>
      <c r="E66" s="1" t="s">
        <v>71</v>
      </c>
      <c r="F66" s="1" t="s">
        <v>167</v>
      </c>
      <c r="G66" s="2">
        <v>1</v>
      </c>
      <c r="H66" s="1" t="s">
        <v>112</v>
      </c>
      <c r="I66" s="44">
        <f>Tabla1[[#This Row],[Descuento]]+Tabla1[[#This Row],[Neto]]</f>
        <v>40</v>
      </c>
      <c r="J66" s="9">
        <v>0</v>
      </c>
      <c r="K66" s="9">
        <v>40</v>
      </c>
      <c r="L66" s="9"/>
      <c r="M66" s="24">
        <f>+Tabla1[[#This Row],[Costo Venta]]/Tabla1[[#This Row],[Cantidad]]</f>
        <v>0</v>
      </c>
      <c r="N66" s="3">
        <v>1</v>
      </c>
      <c r="O66" s="8">
        <f>+Tabla1[[#This Row],[Conversión]]*Tabla1[[#This Row],[Cantidad]]</f>
        <v>1</v>
      </c>
      <c r="P66" s="43">
        <f>Tabla1[[#This Row],[Neto]]-Tabla1[[#This Row],[Costo Venta]]</f>
        <v>40</v>
      </c>
    </row>
    <row r="67" spans="1:16" x14ac:dyDescent="0.25">
      <c r="A67" s="48">
        <v>45036</v>
      </c>
      <c r="B67" s="1" t="s">
        <v>108</v>
      </c>
      <c r="C67" s="1" t="s">
        <v>81</v>
      </c>
      <c r="D67" s="1" t="s">
        <v>168</v>
      </c>
      <c r="E67" s="1" t="s">
        <v>71</v>
      </c>
      <c r="F67" s="1" t="s">
        <v>12</v>
      </c>
      <c r="G67" s="2">
        <v>1</v>
      </c>
      <c r="H67" s="1" t="s">
        <v>112</v>
      </c>
      <c r="I67" s="44">
        <f>Tabla1[[#This Row],[Descuento]]+Tabla1[[#This Row],[Neto]]</f>
        <v>20</v>
      </c>
      <c r="J67" s="9">
        <v>0</v>
      </c>
      <c r="K67" s="9">
        <v>20</v>
      </c>
      <c r="L67" s="9"/>
      <c r="M67" s="24">
        <f>+Tabla1[[#This Row],[Costo Venta]]/Tabla1[[#This Row],[Cantidad]]</f>
        <v>0</v>
      </c>
      <c r="N67" s="3">
        <v>1</v>
      </c>
      <c r="O67" s="8">
        <f>+Tabla1[[#This Row],[Conversión]]*Tabla1[[#This Row],[Cantidad]]</f>
        <v>1</v>
      </c>
      <c r="P67" s="43">
        <f>Tabla1[[#This Row],[Neto]]-Tabla1[[#This Row],[Costo Venta]]</f>
        <v>20</v>
      </c>
    </row>
    <row r="68" spans="1:16" x14ac:dyDescent="0.25">
      <c r="A68" s="48">
        <v>45040</v>
      </c>
      <c r="B68" s="1" t="s">
        <v>108</v>
      </c>
      <c r="C68" s="1" t="s">
        <v>109</v>
      </c>
      <c r="D68" s="1" t="s">
        <v>169</v>
      </c>
      <c r="E68" s="1" t="s">
        <v>67</v>
      </c>
      <c r="F68" s="1" t="s">
        <v>170</v>
      </c>
      <c r="G68" s="2">
        <v>1</v>
      </c>
      <c r="H68" s="1" t="s">
        <v>112</v>
      </c>
      <c r="I68" s="44">
        <f>Tabla1[[#This Row],[Descuento]]+Tabla1[[#This Row],[Neto]]</f>
        <v>200</v>
      </c>
      <c r="J68" s="9">
        <v>0</v>
      </c>
      <c r="K68" s="9">
        <v>200</v>
      </c>
      <c r="L68" s="9"/>
      <c r="M68" s="24">
        <f>+Tabla1[[#This Row],[Costo Venta]]/Tabla1[[#This Row],[Cantidad]]</f>
        <v>0</v>
      </c>
      <c r="N68" s="3">
        <v>1</v>
      </c>
      <c r="O68" s="8">
        <f>+Tabla1[[#This Row],[Conversión]]*Tabla1[[#This Row],[Cantidad]]</f>
        <v>1</v>
      </c>
      <c r="P68" s="43">
        <f>Tabla1[[#This Row],[Neto]]-Tabla1[[#This Row],[Costo Venta]]</f>
        <v>200</v>
      </c>
    </row>
    <row r="69" spans="1:16" x14ac:dyDescent="0.25">
      <c r="A69" s="48">
        <v>45041</v>
      </c>
      <c r="B69" s="1" t="s">
        <v>108</v>
      </c>
      <c r="C69" s="1" t="s">
        <v>109</v>
      </c>
      <c r="D69" s="1" t="s">
        <v>171</v>
      </c>
      <c r="E69" s="1" t="s">
        <v>71</v>
      </c>
      <c r="F69" s="1" t="s">
        <v>140</v>
      </c>
      <c r="G69" s="2">
        <v>1</v>
      </c>
      <c r="H69" s="1" t="s">
        <v>112</v>
      </c>
      <c r="I69" s="44">
        <f>Tabla1[[#This Row],[Descuento]]+Tabla1[[#This Row],[Neto]]</f>
        <v>40</v>
      </c>
      <c r="J69" s="9">
        <v>0</v>
      </c>
      <c r="K69" s="9">
        <v>40</v>
      </c>
      <c r="L69" s="9"/>
      <c r="M69" s="24">
        <f>+Tabla1[[#This Row],[Costo Venta]]/Tabla1[[#This Row],[Cantidad]]</f>
        <v>0</v>
      </c>
      <c r="N69" s="3">
        <v>1</v>
      </c>
      <c r="O69" s="8">
        <f>+Tabla1[[#This Row],[Conversión]]*Tabla1[[#This Row],[Cantidad]]</f>
        <v>1</v>
      </c>
      <c r="P69" s="43">
        <f>Tabla1[[#This Row],[Neto]]-Tabla1[[#This Row],[Costo Venta]]</f>
        <v>40</v>
      </c>
    </row>
    <row r="70" spans="1:16" x14ac:dyDescent="0.25">
      <c r="A70" s="48">
        <v>45042</v>
      </c>
      <c r="B70" s="1" t="s">
        <v>108</v>
      </c>
      <c r="C70" s="1" t="s">
        <v>109</v>
      </c>
      <c r="D70" s="1" t="s">
        <v>172</v>
      </c>
      <c r="E70" s="1" t="s">
        <v>67</v>
      </c>
      <c r="F70" s="1" t="s">
        <v>173</v>
      </c>
      <c r="G70" s="2">
        <v>1</v>
      </c>
      <c r="H70" s="1" t="s">
        <v>112</v>
      </c>
      <c r="I70" s="44">
        <f>Tabla1[[#This Row],[Descuento]]+Tabla1[[#This Row],[Neto]]</f>
        <v>120</v>
      </c>
      <c r="J70" s="9">
        <v>0</v>
      </c>
      <c r="K70" s="9">
        <v>120</v>
      </c>
      <c r="L70" s="9"/>
      <c r="M70" s="24">
        <f>+Tabla1[[#This Row],[Costo Venta]]/Tabla1[[#This Row],[Cantidad]]</f>
        <v>0</v>
      </c>
      <c r="N70" s="3">
        <v>1</v>
      </c>
      <c r="O70" s="8">
        <f>+Tabla1[[#This Row],[Conversión]]*Tabla1[[#This Row],[Cantidad]]</f>
        <v>1</v>
      </c>
      <c r="P70" s="43">
        <f>Tabla1[[#This Row],[Neto]]-Tabla1[[#This Row],[Costo Venta]]</f>
        <v>120</v>
      </c>
    </row>
    <row r="71" spans="1:16" x14ac:dyDescent="0.25">
      <c r="A71" s="48">
        <v>45042</v>
      </c>
      <c r="B71" s="1" t="s">
        <v>108</v>
      </c>
      <c r="C71" s="1" t="s">
        <v>65</v>
      </c>
      <c r="D71" s="1" t="s">
        <v>174</v>
      </c>
      <c r="E71" s="1" t="s">
        <v>137</v>
      </c>
      <c r="F71" s="1" t="s">
        <v>175</v>
      </c>
      <c r="G71" s="2">
        <v>1</v>
      </c>
      <c r="H71" s="1" t="s">
        <v>112</v>
      </c>
      <c r="I71" s="44">
        <f>Tabla1[[#This Row],[Descuento]]+Tabla1[[#This Row],[Neto]]</f>
        <v>70</v>
      </c>
      <c r="J71" s="9">
        <v>0</v>
      </c>
      <c r="K71" s="9">
        <v>70</v>
      </c>
      <c r="L71" s="9"/>
      <c r="M71" s="24">
        <f>+Tabla1[[#This Row],[Costo Venta]]/Tabla1[[#This Row],[Cantidad]]</f>
        <v>0</v>
      </c>
      <c r="N71" s="3">
        <v>1</v>
      </c>
      <c r="O71" s="8">
        <f>+Tabla1[[#This Row],[Conversión]]*Tabla1[[#This Row],[Cantidad]]</f>
        <v>1</v>
      </c>
      <c r="P71" s="43">
        <f>Tabla1[[#This Row],[Neto]]-Tabla1[[#This Row],[Costo Venta]]</f>
        <v>70</v>
      </c>
    </row>
    <row r="72" spans="1:16" x14ac:dyDescent="0.25">
      <c r="A72" s="48">
        <v>45054</v>
      </c>
      <c r="B72" s="1" t="s">
        <v>108</v>
      </c>
      <c r="C72" s="1" t="s">
        <v>81</v>
      </c>
      <c r="D72" s="1" t="s">
        <v>176</v>
      </c>
      <c r="E72" s="1" t="s">
        <v>71</v>
      </c>
      <c r="F72" s="1" t="s">
        <v>177</v>
      </c>
      <c r="G72" s="2">
        <v>1</v>
      </c>
      <c r="H72" s="1" t="s">
        <v>112</v>
      </c>
      <c r="I72" s="44">
        <f>Tabla1[[#This Row],[Descuento]]+Tabla1[[#This Row],[Neto]]</f>
        <v>40</v>
      </c>
      <c r="J72" s="9">
        <v>0</v>
      </c>
      <c r="K72" s="9">
        <v>40</v>
      </c>
      <c r="L72" s="9"/>
      <c r="M72" s="24">
        <f>+Tabla1[[#This Row],[Costo Venta]]/Tabla1[[#This Row],[Cantidad]]</f>
        <v>0</v>
      </c>
      <c r="N72" s="3">
        <v>1</v>
      </c>
      <c r="O72" s="8">
        <f>+Tabla1[[#This Row],[Conversión]]*Tabla1[[#This Row],[Cantidad]]</f>
        <v>1</v>
      </c>
      <c r="P72" s="43">
        <f>Tabla1[[#This Row],[Neto]]-Tabla1[[#This Row],[Costo Venta]]</f>
        <v>40</v>
      </c>
    </row>
    <row r="73" spans="1:16" x14ac:dyDescent="0.25">
      <c r="A73" s="48">
        <v>45054</v>
      </c>
      <c r="B73" s="1" t="s">
        <v>108</v>
      </c>
      <c r="C73" s="1" t="s">
        <v>81</v>
      </c>
      <c r="D73" s="1" t="s">
        <v>178</v>
      </c>
      <c r="E73" s="1" t="s">
        <v>71</v>
      </c>
      <c r="F73" s="1" t="s">
        <v>179</v>
      </c>
      <c r="G73" s="2">
        <v>1</v>
      </c>
      <c r="H73" s="1" t="s">
        <v>112</v>
      </c>
      <c r="I73" s="44">
        <f>Tabla1[[#This Row],[Descuento]]+Tabla1[[#This Row],[Neto]]</f>
        <v>25</v>
      </c>
      <c r="J73" s="9">
        <v>0</v>
      </c>
      <c r="K73" s="9">
        <v>25</v>
      </c>
      <c r="L73" s="9"/>
      <c r="M73" s="24">
        <f>+Tabla1[[#This Row],[Costo Venta]]/Tabla1[[#This Row],[Cantidad]]</f>
        <v>0</v>
      </c>
      <c r="N73" s="3">
        <v>1</v>
      </c>
      <c r="O73" s="8">
        <f>+Tabla1[[#This Row],[Conversión]]*Tabla1[[#This Row],[Cantidad]]</f>
        <v>1</v>
      </c>
      <c r="P73" s="43">
        <f>Tabla1[[#This Row],[Neto]]-Tabla1[[#This Row],[Costo Venta]]</f>
        <v>25</v>
      </c>
    </row>
    <row r="74" spans="1:16" x14ac:dyDescent="0.25">
      <c r="A74" s="48">
        <v>45061</v>
      </c>
      <c r="B74" s="1" t="s">
        <v>108</v>
      </c>
      <c r="C74" s="1" t="s">
        <v>109</v>
      </c>
      <c r="D74" s="1" t="s">
        <v>180</v>
      </c>
      <c r="E74" s="1" t="s">
        <v>137</v>
      </c>
      <c r="F74" s="1" t="s">
        <v>181</v>
      </c>
      <c r="G74" s="2">
        <v>1</v>
      </c>
      <c r="H74" s="1" t="s">
        <v>112</v>
      </c>
      <c r="I74" s="44">
        <f>Tabla1[[#This Row],[Descuento]]+Tabla1[[#This Row],[Neto]]</f>
        <v>135</v>
      </c>
      <c r="J74" s="9">
        <v>0</v>
      </c>
      <c r="K74" s="9">
        <v>135</v>
      </c>
      <c r="L74" s="9"/>
      <c r="M74" s="24">
        <f>+Tabla1[[#This Row],[Costo Venta]]/Tabla1[[#This Row],[Cantidad]]</f>
        <v>0</v>
      </c>
      <c r="N74" s="3">
        <v>1</v>
      </c>
      <c r="O74" s="8">
        <f>+Tabla1[[#This Row],[Conversión]]*Tabla1[[#This Row],[Cantidad]]</f>
        <v>1</v>
      </c>
      <c r="P74" s="43">
        <f>Tabla1[[#This Row],[Neto]]-Tabla1[[#This Row],[Costo Venta]]</f>
        <v>135</v>
      </c>
    </row>
    <row r="75" spans="1:16" x14ac:dyDescent="0.25">
      <c r="A75" s="48">
        <v>45063</v>
      </c>
      <c r="B75" s="1" t="s">
        <v>108</v>
      </c>
      <c r="C75" s="1" t="s">
        <v>109</v>
      </c>
      <c r="D75" s="1" t="s">
        <v>182</v>
      </c>
      <c r="E75" s="1" t="s">
        <v>137</v>
      </c>
      <c r="F75" s="1" t="s">
        <v>183</v>
      </c>
      <c r="G75" s="2">
        <v>1</v>
      </c>
      <c r="H75" s="1" t="s">
        <v>112</v>
      </c>
      <c r="I75" s="44">
        <f>Tabla1[[#This Row],[Descuento]]+Tabla1[[#This Row],[Neto]]</f>
        <v>60</v>
      </c>
      <c r="J75" s="9">
        <v>0</v>
      </c>
      <c r="K75" s="9">
        <v>60</v>
      </c>
      <c r="L75" s="9"/>
      <c r="M75" s="24">
        <f>+Tabla1[[#This Row],[Costo Venta]]/Tabla1[[#This Row],[Cantidad]]</f>
        <v>0</v>
      </c>
      <c r="N75" s="3">
        <v>1</v>
      </c>
      <c r="O75" s="8">
        <f>+Tabla1[[#This Row],[Conversión]]*Tabla1[[#This Row],[Cantidad]]</f>
        <v>1</v>
      </c>
      <c r="P75" s="43">
        <f>Tabla1[[#This Row],[Neto]]-Tabla1[[#This Row],[Costo Venta]]</f>
        <v>60</v>
      </c>
    </row>
    <row r="76" spans="1:16" x14ac:dyDescent="0.25">
      <c r="A76" s="48">
        <v>45064</v>
      </c>
      <c r="B76" s="1" t="s">
        <v>108</v>
      </c>
      <c r="C76" s="1" t="s">
        <v>109</v>
      </c>
      <c r="D76" s="1" t="s">
        <v>184</v>
      </c>
      <c r="E76" s="1" t="s">
        <v>132</v>
      </c>
      <c r="F76" s="1" t="s">
        <v>185</v>
      </c>
      <c r="G76" s="2">
        <v>1</v>
      </c>
      <c r="H76" s="1" t="s">
        <v>112</v>
      </c>
      <c r="I76" s="44">
        <f>Tabla1[[#This Row],[Descuento]]+Tabla1[[#This Row],[Neto]]</f>
        <v>30</v>
      </c>
      <c r="J76" s="9">
        <v>0</v>
      </c>
      <c r="K76" s="9">
        <v>30</v>
      </c>
      <c r="L76" s="9"/>
      <c r="M76" s="24">
        <f>+Tabla1[[#This Row],[Costo Venta]]/Tabla1[[#This Row],[Cantidad]]</f>
        <v>0</v>
      </c>
      <c r="N76" s="3">
        <v>1</v>
      </c>
      <c r="O76" s="8">
        <f>+Tabla1[[#This Row],[Conversión]]*Tabla1[[#This Row],[Cantidad]]</f>
        <v>1</v>
      </c>
      <c r="P76" s="43">
        <f>Tabla1[[#This Row],[Neto]]-Tabla1[[#This Row],[Costo Venta]]</f>
        <v>30</v>
      </c>
    </row>
    <row r="77" spans="1:16" x14ac:dyDescent="0.25">
      <c r="A77" s="48">
        <v>45065</v>
      </c>
      <c r="B77" s="1" t="s">
        <v>108</v>
      </c>
      <c r="C77" s="1" t="s">
        <v>81</v>
      </c>
      <c r="D77" s="1" t="s">
        <v>82</v>
      </c>
      <c r="E77" s="1" t="s">
        <v>71</v>
      </c>
      <c r="F77" s="1" t="s">
        <v>83</v>
      </c>
      <c r="G77" s="2">
        <v>1</v>
      </c>
      <c r="H77" s="1" t="s">
        <v>112</v>
      </c>
      <c r="I77" s="44">
        <f>Tabla1[[#This Row],[Descuento]]+Tabla1[[#This Row],[Neto]]</f>
        <v>80</v>
      </c>
      <c r="J77" s="9">
        <v>0</v>
      </c>
      <c r="K77" s="9">
        <v>80</v>
      </c>
      <c r="L77" s="9"/>
      <c r="M77" s="24">
        <f>+Tabla1[[#This Row],[Costo Venta]]/Tabla1[[#This Row],[Cantidad]]</f>
        <v>0</v>
      </c>
      <c r="N77" s="3">
        <v>1</v>
      </c>
      <c r="O77" s="8">
        <f>+Tabla1[[#This Row],[Conversión]]*Tabla1[[#This Row],[Cantidad]]</f>
        <v>1</v>
      </c>
      <c r="P77" s="43">
        <f>Tabla1[[#This Row],[Neto]]-Tabla1[[#This Row],[Costo Venta]]</f>
        <v>80</v>
      </c>
    </row>
    <row r="78" spans="1:16" x14ac:dyDescent="0.25">
      <c r="A78" s="48">
        <v>45068</v>
      </c>
      <c r="B78" s="1" t="s">
        <v>108</v>
      </c>
      <c r="C78" s="1" t="s">
        <v>81</v>
      </c>
      <c r="D78" s="1" t="s">
        <v>186</v>
      </c>
      <c r="E78" s="1" t="s">
        <v>71</v>
      </c>
      <c r="F78" s="1" t="s">
        <v>187</v>
      </c>
      <c r="G78" s="2">
        <v>1</v>
      </c>
      <c r="H78" s="1" t="s">
        <v>112</v>
      </c>
      <c r="I78" s="44">
        <f>Tabla1[[#This Row],[Descuento]]+Tabla1[[#This Row],[Neto]]</f>
        <v>30</v>
      </c>
      <c r="J78" s="9">
        <v>0</v>
      </c>
      <c r="K78" s="9">
        <v>30</v>
      </c>
      <c r="L78" s="9"/>
      <c r="M78" s="24">
        <f>+Tabla1[[#This Row],[Costo Venta]]/Tabla1[[#This Row],[Cantidad]]</f>
        <v>0</v>
      </c>
      <c r="N78" s="3">
        <v>1</v>
      </c>
      <c r="O78" s="8">
        <f>+Tabla1[[#This Row],[Conversión]]*Tabla1[[#This Row],[Cantidad]]</f>
        <v>1</v>
      </c>
      <c r="P78" s="43">
        <f>Tabla1[[#This Row],[Neto]]-Tabla1[[#This Row],[Costo Venta]]</f>
        <v>30</v>
      </c>
    </row>
    <row r="79" spans="1:16" x14ac:dyDescent="0.25">
      <c r="A79" s="48">
        <v>45068</v>
      </c>
      <c r="B79" s="1" t="s">
        <v>108</v>
      </c>
      <c r="C79" s="1" t="s">
        <v>81</v>
      </c>
      <c r="D79" s="1" t="s">
        <v>188</v>
      </c>
      <c r="E79" s="1" t="s">
        <v>71</v>
      </c>
      <c r="F79" s="1" t="s">
        <v>11</v>
      </c>
      <c r="G79" s="2">
        <v>1</v>
      </c>
      <c r="H79" s="1" t="s">
        <v>112</v>
      </c>
      <c r="I79" s="44">
        <f>Tabla1[[#This Row],[Descuento]]+Tabla1[[#This Row],[Neto]]</f>
        <v>50</v>
      </c>
      <c r="J79" s="9">
        <v>0</v>
      </c>
      <c r="K79" s="9">
        <v>50</v>
      </c>
      <c r="L79" s="9"/>
      <c r="M79" s="24">
        <f>+Tabla1[[#This Row],[Costo Venta]]/Tabla1[[#This Row],[Cantidad]]</f>
        <v>0</v>
      </c>
      <c r="N79" s="3">
        <v>1</v>
      </c>
      <c r="O79" s="8">
        <f>+Tabla1[[#This Row],[Conversión]]*Tabla1[[#This Row],[Cantidad]]</f>
        <v>1</v>
      </c>
      <c r="P79" s="43">
        <f>Tabla1[[#This Row],[Neto]]-Tabla1[[#This Row],[Costo Venta]]</f>
        <v>50</v>
      </c>
    </row>
    <row r="80" spans="1:16" x14ac:dyDescent="0.25">
      <c r="A80" s="48">
        <v>45071</v>
      </c>
      <c r="B80" s="1" t="s">
        <v>108</v>
      </c>
      <c r="C80" s="1" t="s">
        <v>81</v>
      </c>
      <c r="D80" s="1" t="s">
        <v>189</v>
      </c>
      <c r="E80" s="1" t="s">
        <v>132</v>
      </c>
      <c r="F80" s="1" t="s">
        <v>133</v>
      </c>
      <c r="G80" s="2">
        <v>1</v>
      </c>
      <c r="H80" s="1" t="s">
        <v>112</v>
      </c>
      <c r="I80" s="44">
        <f>Tabla1[[#This Row],[Descuento]]+Tabla1[[#This Row],[Neto]]</f>
        <v>210</v>
      </c>
      <c r="J80" s="9">
        <v>0</v>
      </c>
      <c r="K80" s="9">
        <v>210</v>
      </c>
      <c r="L80" s="9"/>
      <c r="M80" s="24">
        <f>+Tabla1[[#This Row],[Costo Venta]]/Tabla1[[#This Row],[Cantidad]]</f>
        <v>0</v>
      </c>
      <c r="N80" s="3">
        <v>1</v>
      </c>
      <c r="O80" s="8">
        <f>+Tabla1[[#This Row],[Conversión]]*Tabla1[[#This Row],[Cantidad]]</f>
        <v>1</v>
      </c>
      <c r="P80" s="43">
        <f>Tabla1[[#This Row],[Neto]]-Tabla1[[#This Row],[Costo Venta]]</f>
        <v>210</v>
      </c>
    </row>
    <row r="81" spans="1:16" x14ac:dyDescent="0.25">
      <c r="A81" s="48">
        <v>45076</v>
      </c>
      <c r="B81" s="1" t="s">
        <v>108</v>
      </c>
      <c r="C81" s="1" t="s">
        <v>81</v>
      </c>
      <c r="D81" s="1" t="s">
        <v>190</v>
      </c>
      <c r="E81" s="1" t="s">
        <v>71</v>
      </c>
      <c r="F81" s="1" t="s">
        <v>191</v>
      </c>
      <c r="G81" s="2">
        <v>1</v>
      </c>
      <c r="H81" s="1" t="s">
        <v>112</v>
      </c>
      <c r="I81" s="44">
        <f>Tabla1[[#This Row],[Descuento]]+Tabla1[[#This Row],[Neto]]</f>
        <v>25</v>
      </c>
      <c r="J81" s="9">
        <v>0</v>
      </c>
      <c r="K81" s="9">
        <v>25</v>
      </c>
      <c r="L81" s="9"/>
      <c r="M81" s="24">
        <f>+Tabla1[[#This Row],[Costo Venta]]/Tabla1[[#This Row],[Cantidad]]</f>
        <v>0</v>
      </c>
      <c r="N81" s="3">
        <v>1</v>
      </c>
      <c r="O81" s="8">
        <f>+Tabla1[[#This Row],[Conversión]]*Tabla1[[#This Row],[Cantidad]]</f>
        <v>1</v>
      </c>
      <c r="P81" s="43">
        <f>Tabla1[[#This Row],[Neto]]-Tabla1[[#This Row],[Costo Venta]]</f>
        <v>25</v>
      </c>
    </row>
    <row r="82" spans="1:16" x14ac:dyDescent="0.25">
      <c r="A82" s="48">
        <v>45077</v>
      </c>
      <c r="B82" s="1" t="s">
        <v>108</v>
      </c>
      <c r="C82" s="1" t="s">
        <v>109</v>
      </c>
      <c r="D82" s="1" t="s">
        <v>192</v>
      </c>
      <c r="E82" s="1" t="s">
        <v>71</v>
      </c>
      <c r="F82" s="1" t="s">
        <v>193</v>
      </c>
      <c r="G82" s="2">
        <v>1</v>
      </c>
      <c r="H82" s="1" t="s">
        <v>112</v>
      </c>
      <c r="I82" s="44">
        <f>Tabla1[[#This Row],[Descuento]]+Tabla1[[#This Row],[Neto]]</f>
        <v>35</v>
      </c>
      <c r="J82" s="9">
        <v>0</v>
      </c>
      <c r="K82" s="9">
        <v>35</v>
      </c>
      <c r="L82" s="9"/>
      <c r="M82" s="24">
        <f>+Tabla1[[#This Row],[Costo Venta]]/Tabla1[[#This Row],[Cantidad]]</f>
        <v>0</v>
      </c>
      <c r="N82" s="3">
        <v>1</v>
      </c>
      <c r="O82" s="8">
        <f>+Tabla1[[#This Row],[Conversión]]*Tabla1[[#This Row],[Cantidad]]</f>
        <v>1</v>
      </c>
      <c r="P82" s="43">
        <f>Tabla1[[#This Row],[Neto]]-Tabla1[[#This Row],[Costo Venta]]</f>
        <v>35</v>
      </c>
    </row>
    <row r="83" spans="1:16" x14ac:dyDescent="0.25">
      <c r="A83" s="48">
        <v>45084</v>
      </c>
      <c r="B83" s="1" t="s">
        <v>108</v>
      </c>
      <c r="C83" s="1" t="s">
        <v>109</v>
      </c>
      <c r="D83" s="1" t="s">
        <v>194</v>
      </c>
      <c r="E83" s="1" t="s">
        <v>71</v>
      </c>
      <c r="F83" s="1" t="s">
        <v>195</v>
      </c>
      <c r="G83" s="2">
        <v>1</v>
      </c>
      <c r="H83" s="1" t="s">
        <v>112</v>
      </c>
      <c r="I83" s="44">
        <f>Tabla1[[#This Row],[Descuento]]+Tabla1[[#This Row],[Neto]]</f>
        <v>200</v>
      </c>
      <c r="J83" s="9">
        <v>0</v>
      </c>
      <c r="K83" s="9">
        <v>200</v>
      </c>
      <c r="L83" s="9"/>
      <c r="M83" s="24">
        <f>+Tabla1[[#This Row],[Costo Venta]]/Tabla1[[#This Row],[Cantidad]]</f>
        <v>0</v>
      </c>
      <c r="N83" s="3">
        <v>1</v>
      </c>
      <c r="O83" s="8">
        <f>+Tabla1[[#This Row],[Conversión]]*Tabla1[[#This Row],[Cantidad]]</f>
        <v>1</v>
      </c>
      <c r="P83" s="43">
        <f>Tabla1[[#This Row],[Neto]]-Tabla1[[#This Row],[Costo Venta]]</f>
        <v>200</v>
      </c>
    </row>
    <row r="84" spans="1:16" x14ac:dyDescent="0.25">
      <c r="A84" s="48">
        <v>45085</v>
      </c>
      <c r="B84" s="1" t="s">
        <v>108</v>
      </c>
      <c r="C84" s="1" t="s">
        <v>109</v>
      </c>
      <c r="D84" s="1" t="s">
        <v>196</v>
      </c>
      <c r="E84" s="1" t="s">
        <v>137</v>
      </c>
      <c r="F84" s="1" t="s">
        <v>183</v>
      </c>
      <c r="G84" s="2">
        <v>1</v>
      </c>
      <c r="H84" s="1" t="s">
        <v>112</v>
      </c>
      <c r="I84" s="44">
        <f>Tabla1[[#This Row],[Descuento]]+Tabla1[[#This Row],[Neto]]</f>
        <v>60</v>
      </c>
      <c r="J84" s="9">
        <v>0</v>
      </c>
      <c r="K84" s="9">
        <v>60</v>
      </c>
      <c r="L84" s="9"/>
      <c r="M84" s="24">
        <f>+Tabla1[[#This Row],[Costo Venta]]/Tabla1[[#This Row],[Cantidad]]</f>
        <v>0</v>
      </c>
      <c r="N84" s="3">
        <v>1</v>
      </c>
      <c r="O84" s="8">
        <f>+Tabla1[[#This Row],[Conversión]]*Tabla1[[#This Row],[Cantidad]]</f>
        <v>1</v>
      </c>
      <c r="P84" s="43">
        <f>Tabla1[[#This Row],[Neto]]-Tabla1[[#This Row],[Costo Venta]]</f>
        <v>60</v>
      </c>
    </row>
    <row r="85" spans="1:16" x14ac:dyDescent="0.25">
      <c r="A85" s="48">
        <v>45093</v>
      </c>
      <c r="B85" s="1" t="s">
        <v>108</v>
      </c>
      <c r="C85" s="1" t="s">
        <v>109</v>
      </c>
      <c r="D85" s="1" t="s">
        <v>197</v>
      </c>
      <c r="E85" s="1" t="s">
        <v>67</v>
      </c>
      <c r="F85" s="1" t="s">
        <v>198</v>
      </c>
      <c r="G85" s="2">
        <v>1</v>
      </c>
      <c r="H85" s="1" t="s">
        <v>112</v>
      </c>
      <c r="I85" s="44">
        <f>Tabla1[[#This Row],[Descuento]]+Tabla1[[#This Row],[Neto]]</f>
        <v>150</v>
      </c>
      <c r="J85" s="9">
        <v>0</v>
      </c>
      <c r="K85" s="9">
        <v>150</v>
      </c>
      <c r="L85" s="9"/>
      <c r="M85" s="24">
        <f>+Tabla1[[#This Row],[Costo Venta]]/Tabla1[[#This Row],[Cantidad]]</f>
        <v>0</v>
      </c>
      <c r="N85" s="3">
        <v>1</v>
      </c>
      <c r="O85" s="8">
        <f>+Tabla1[[#This Row],[Conversión]]*Tabla1[[#This Row],[Cantidad]]</f>
        <v>1</v>
      </c>
      <c r="P85" s="43">
        <f>Tabla1[[#This Row],[Neto]]-Tabla1[[#This Row],[Costo Venta]]</f>
        <v>150</v>
      </c>
    </row>
    <row r="86" spans="1:16" x14ac:dyDescent="0.25">
      <c r="A86" s="48">
        <v>45100</v>
      </c>
      <c r="B86" s="1" t="s">
        <v>108</v>
      </c>
      <c r="C86" s="1" t="s">
        <v>81</v>
      </c>
      <c r="D86" s="1" t="s">
        <v>199</v>
      </c>
      <c r="E86" s="1" t="s">
        <v>71</v>
      </c>
      <c r="F86" s="1" t="s">
        <v>200</v>
      </c>
      <c r="G86" s="2">
        <v>1</v>
      </c>
      <c r="H86" s="1" t="s">
        <v>112</v>
      </c>
      <c r="I86" s="44">
        <f>Tabla1[[#This Row],[Descuento]]+Tabla1[[#This Row],[Neto]]</f>
        <v>25</v>
      </c>
      <c r="J86" s="9">
        <v>0</v>
      </c>
      <c r="K86" s="9">
        <v>25</v>
      </c>
      <c r="L86" s="9"/>
      <c r="M86" s="24">
        <f>+Tabla1[[#This Row],[Costo Venta]]/Tabla1[[#This Row],[Cantidad]]</f>
        <v>0</v>
      </c>
      <c r="N86" s="3">
        <v>1</v>
      </c>
      <c r="O86" s="8">
        <f>+Tabla1[[#This Row],[Conversión]]*Tabla1[[#This Row],[Cantidad]]</f>
        <v>1</v>
      </c>
      <c r="P86" s="43">
        <f>Tabla1[[#This Row],[Neto]]-Tabla1[[#This Row],[Costo Venta]]</f>
        <v>25</v>
      </c>
    </row>
    <row r="87" spans="1:16" x14ac:dyDescent="0.25">
      <c r="A87" s="48">
        <v>45111</v>
      </c>
      <c r="B87" s="1" t="s">
        <v>108</v>
      </c>
      <c r="C87" s="1" t="s">
        <v>81</v>
      </c>
      <c r="D87" s="1" t="s">
        <v>201</v>
      </c>
      <c r="E87" s="1" t="s">
        <v>71</v>
      </c>
      <c r="F87" s="1" t="s">
        <v>159</v>
      </c>
      <c r="G87" s="2">
        <v>1</v>
      </c>
      <c r="H87" s="1" t="s">
        <v>112</v>
      </c>
      <c r="I87" s="44">
        <f>Tabla1[[#This Row],[Descuento]]+Tabla1[[#This Row],[Neto]]</f>
        <v>30</v>
      </c>
      <c r="J87" s="9">
        <v>0</v>
      </c>
      <c r="K87" s="9">
        <v>30</v>
      </c>
      <c r="L87" s="9"/>
      <c r="M87" s="24">
        <f>+Tabla1[[#This Row],[Costo Venta]]/Tabla1[[#This Row],[Cantidad]]</f>
        <v>0</v>
      </c>
      <c r="N87" s="3">
        <v>1</v>
      </c>
      <c r="O87" s="8">
        <f>+Tabla1[[#This Row],[Conversión]]*Tabla1[[#This Row],[Cantidad]]</f>
        <v>1</v>
      </c>
      <c r="P87" s="43">
        <f>Tabla1[[#This Row],[Neto]]-Tabla1[[#This Row],[Costo Venta]]</f>
        <v>30</v>
      </c>
    </row>
    <row r="88" spans="1:16" x14ac:dyDescent="0.25">
      <c r="A88" s="48">
        <v>45111</v>
      </c>
      <c r="B88" s="1" t="s">
        <v>108</v>
      </c>
      <c r="C88" s="1" t="s">
        <v>109</v>
      </c>
      <c r="D88" s="1" t="s">
        <v>202</v>
      </c>
      <c r="E88" s="1" t="s">
        <v>71</v>
      </c>
      <c r="F88" s="1" t="s">
        <v>203</v>
      </c>
      <c r="G88" s="2">
        <v>1</v>
      </c>
      <c r="H88" s="1" t="s">
        <v>112</v>
      </c>
      <c r="I88" s="44">
        <f>Tabla1[[#This Row],[Descuento]]+Tabla1[[#This Row],[Neto]]</f>
        <v>60</v>
      </c>
      <c r="J88" s="9">
        <v>0</v>
      </c>
      <c r="K88" s="9">
        <v>60</v>
      </c>
      <c r="L88" s="9"/>
      <c r="M88" s="24">
        <f>+Tabla1[[#This Row],[Costo Venta]]/Tabla1[[#This Row],[Cantidad]]</f>
        <v>0</v>
      </c>
      <c r="N88" s="3">
        <v>1</v>
      </c>
      <c r="O88" s="8">
        <f>+Tabla1[[#This Row],[Conversión]]*Tabla1[[#This Row],[Cantidad]]</f>
        <v>1</v>
      </c>
      <c r="P88" s="43">
        <f>Tabla1[[#This Row],[Neto]]-Tabla1[[#This Row],[Costo Venta]]</f>
        <v>60</v>
      </c>
    </row>
    <row r="89" spans="1:16" x14ac:dyDescent="0.25">
      <c r="A89" s="48">
        <v>45111</v>
      </c>
      <c r="B89" s="1" t="s">
        <v>108</v>
      </c>
      <c r="C89" s="1" t="s">
        <v>81</v>
      </c>
      <c r="D89" s="1" t="s">
        <v>204</v>
      </c>
      <c r="E89" s="1" t="s">
        <v>71</v>
      </c>
      <c r="F89" s="1" t="s">
        <v>14</v>
      </c>
      <c r="G89" s="2">
        <v>1</v>
      </c>
      <c r="H89" s="1" t="s">
        <v>112</v>
      </c>
      <c r="I89" s="44">
        <f>Tabla1[[#This Row],[Descuento]]+Tabla1[[#This Row],[Neto]]</f>
        <v>40</v>
      </c>
      <c r="J89" s="9">
        <v>0</v>
      </c>
      <c r="K89" s="9">
        <v>40</v>
      </c>
      <c r="L89" s="9"/>
      <c r="M89" s="24">
        <f>+Tabla1[[#This Row],[Costo Venta]]/Tabla1[[#This Row],[Cantidad]]</f>
        <v>0</v>
      </c>
      <c r="N89" s="3">
        <v>1</v>
      </c>
      <c r="O89" s="8">
        <f>+Tabla1[[#This Row],[Conversión]]*Tabla1[[#This Row],[Cantidad]]</f>
        <v>1</v>
      </c>
      <c r="P89" s="43">
        <f>Tabla1[[#This Row],[Neto]]-Tabla1[[#This Row],[Costo Venta]]</f>
        <v>40</v>
      </c>
    </row>
    <row r="90" spans="1:16" x14ac:dyDescent="0.25">
      <c r="A90" s="48">
        <v>45112</v>
      </c>
      <c r="B90" s="1" t="s">
        <v>108</v>
      </c>
      <c r="C90" s="1" t="s">
        <v>81</v>
      </c>
      <c r="D90" s="1" t="s">
        <v>205</v>
      </c>
      <c r="E90" s="1" t="s">
        <v>71</v>
      </c>
      <c r="F90" s="1" t="s">
        <v>206</v>
      </c>
      <c r="G90" s="2">
        <v>1</v>
      </c>
      <c r="H90" s="1" t="s">
        <v>112</v>
      </c>
      <c r="I90" s="44">
        <f>Tabla1[[#This Row],[Descuento]]+Tabla1[[#This Row],[Neto]]</f>
        <v>140</v>
      </c>
      <c r="J90" s="9">
        <v>0</v>
      </c>
      <c r="K90" s="9">
        <v>140</v>
      </c>
      <c r="L90" s="9"/>
      <c r="M90" s="24">
        <f>+Tabla1[[#This Row],[Costo Venta]]/Tabla1[[#This Row],[Cantidad]]</f>
        <v>0</v>
      </c>
      <c r="N90" s="3">
        <v>1</v>
      </c>
      <c r="O90" s="8">
        <f>+Tabla1[[#This Row],[Conversión]]*Tabla1[[#This Row],[Cantidad]]</f>
        <v>1</v>
      </c>
      <c r="P90" s="43">
        <f>Tabla1[[#This Row],[Neto]]-Tabla1[[#This Row],[Costo Venta]]</f>
        <v>140</v>
      </c>
    </row>
    <row r="91" spans="1:16" x14ac:dyDescent="0.25">
      <c r="A91" s="48">
        <v>45117</v>
      </c>
      <c r="B91" s="1" t="s">
        <v>108</v>
      </c>
      <c r="C91" s="1" t="s">
        <v>81</v>
      </c>
      <c r="D91" s="1" t="s">
        <v>207</v>
      </c>
      <c r="E91" s="1" t="s">
        <v>71</v>
      </c>
      <c r="F91" s="1" t="s">
        <v>208</v>
      </c>
      <c r="G91" s="2">
        <v>1</v>
      </c>
      <c r="H91" s="1" t="s">
        <v>112</v>
      </c>
      <c r="I91" s="44">
        <f>Tabla1[[#This Row],[Descuento]]+Tabla1[[#This Row],[Neto]]</f>
        <v>60</v>
      </c>
      <c r="J91" s="9">
        <v>0</v>
      </c>
      <c r="K91" s="9">
        <v>60</v>
      </c>
      <c r="L91" s="9"/>
      <c r="M91" s="24">
        <f>+Tabla1[[#This Row],[Costo Venta]]/Tabla1[[#This Row],[Cantidad]]</f>
        <v>0</v>
      </c>
      <c r="N91" s="3">
        <v>1</v>
      </c>
      <c r="O91" s="8">
        <f>+Tabla1[[#This Row],[Conversión]]*Tabla1[[#This Row],[Cantidad]]</f>
        <v>1</v>
      </c>
      <c r="P91" s="43">
        <f>Tabla1[[#This Row],[Neto]]-Tabla1[[#This Row],[Costo Venta]]</f>
        <v>60</v>
      </c>
    </row>
    <row r="92" spans="1:16" x14ac:dyDescent="0.25">
      <c r="A92" s="48">
        <v>45120</v>
      </c>
      <c r="B92" s="1" t="s">
        <v>108</v>
      </c>
      <c r="C92" s="1" t="s">
        <v>81</v>
      </c>
      <c r="D92" s="1" t="s">
        <v>209</v>
      </c>
      <c r="E92" s="1" t="s">
        <v>71</v>
      </c>
      <c r="F92" s="1" t="s">
        <v>210</v>
      </c>
      <c r="G92" s="2">
        <v>1</v>
      </c>
      <c r="H92" s="1" t="s">
        <v>112</v>
      </c>
      <c r="I92" s="44">
        <f>Tabla1[[#This Row],[Descuento]]+Tabla1[[#This Row],[Neto]]</f>
        <v>25</v>
      </c>
      <c r="J92" s="9">
        <v>0</v>
      </c>
      <c r="K92" s="9">
        <v>25</v>
      </c>
      <c r="L92" s="9"/>
      <c r="M92" s="24">
        <f>+Tabla1[[#This Row],[Costo Venta]]/Tabla1[[#This Row],[Cantidad]]</f>
        <v>0</v>
      </c>
      <c r="N92" s="3">
        <v>1</v>
      </c>
      <c r="O92" s="8">
        <f>+Tabla1[[#This Row],[Conversión]]*Tabla1[[#This Row],[Cantidad]]</f>
        <v>1</v>
      </c>
      <c r="P92" s="43">
        <f>Tabla1[[#This Row],[Neto]]-Tabla1[[#This Row],[Costo Venta]]</f>
        <v>25</v>
      </c>
    </row>
    <row r="93" spans="1:16" x14ac:dyDescent="0.25">
      <c r="A93" s="48">
        <v>45124</v>
      </c>
      <c r="B93" s="1" t="s">
        <v>108</v>
      </c>
      <c r="C93" s="1" t="s">
        <v>109</v>
      </c>
      <c r="D93" s="1" t="s">
        <v>211</v>
      </c>
      <c r="E93" s="1" t="s">
        <v>71</v>
      </c>
      <c r="F93" s="1" t="s">
        <v>210</v>
      </c>
      <c r="G93" s="2">
        <v>1</v>
      </c>
      <c r="H93" s="1" t="s">
        <v>112</v>
      </c>
      <c r="I93" s="44">
        <f>Tabla1[[#This Row],[Descuento]]+Tabla1[[#This Row],[Neto]]</f>
        <v>20</v>
      </c>
      <c r="J93" s="9">
        <v>0</v>
      </c>
      <c r="K93" s="9">
        <v>20</v>
      </c>
      <c r="L93" s="9"/>
      <c r="M93" s="24">
        <f>+Tabla1[[#This Row],[Costo Venta]]/Tabla1[[#This Row],[Cantidad]]</f>
        <v>0</v>
      </c>
      <c r="N93" s="3">
        <v>1</v>
      </c>
      <c r="O93" s="8">
        <f>+Tabla1[[#This Row],[Conversión]]*Tabla1[[#This Row],[Cantidad]]</f>
        <v>1</v>
      </c>
      <c r="P93" s="43">
        <f>Tabla1[[#This Row],[Neto]]-Tabla1[[#This Row],[Costo Venta]]</f>
        <v>20</v>
      </c>
    </row>
    <row r="94" spans="1:16" x14ac:dyDescent="0.25">
      <c r="A94" s="48">
        <v>45124</v>
      </c>
      <c r="B94" s="1" t="s">
        <v>108</v>
      </c>
      <c r="C94" s="1" t="s">
        <v>81</v>
      </c>
      <c r="D94" s="1" t="s">
        <v>212</v>
      </c>
      <c r="E94" s="1" t="s">
        <v>71</v>
      </c>
      <c r="F94" s="1" t="s">
        <v>213</v>
      </c>
      <c r="G94" s="2">
        <v>1</v>
      </c>
      <c r="H94" s="1" t="s">
        <v>112</v>
      </c>
      <c r="I94" s="44">
        <f>Tabla1[[#This Row],[Descuento]]+Tabla1[[#This Row],[Neto]]</f>
        <v>30</v>
      </c>
      <c r="J94" s="9">
        <v>0</v>
      </c>
      <c r="K94" s="9">
        <v>30</v>
      </c>
      <c r="L94" s="9"/>
      <c r="M94" s="24">
        <f>+Tabla1[[#This Row],[Costo Venta]]/Tabla1[[#This Row],[Cantidad]]</f>
        <v>0</v>
      </c>
      <c r="N94" s="3">
        <v>1</v>
      </c>
      <c r="O94" s="8">
        <f>+Tabla1[[#This Row],[Conversión]]*Tabla1[[#This Row],[Cantidad]]</f>
        <v>1</v>
      </c>
      <c r="P94" s="43">
        <f>Tabla1[[#This Row],[Neto]]-Tabla1[[#This Row],[Costo Venta]]</f>
        <v>30</v>
      </c>
    </row>
    <row r="95" spans="1:16" x14ac:dyDescent="0.25">
      <c r="A95" s="48">
        <v>45126</v>
      </c>
      <c r="B95" s="1" t="s">
        <v>108</v>
      </c>
      <c r="C95" s="1" t="s">
        <v>214</v>
      </c>
      <c r="D95" s="1" t="s">
        <v>215</v>
      </c>
      <c r="E95" s="1" t="s">
        <v>71</v>
      </c>
      <c r="F95" s="1" t="s">
        <v>216</v>
      </c>
      <c r="G95" s="2">
        <v>1</v>
      </c>
      <c r="H95" s="1" t="s">
        <v>112</v>
      </c>
      <c r="I95" s="44">
        <f>Tabla1[[#This Row],[Descuento]]+Tabla1[[#This Row],[Neto]]</f>
        <v>40</v>
      </c>
      <c r="J95" s="9">
        <v>0</v>
      </c>
      <c r="K95" s="9">
        <v>40</v>
      </c>
      <c r="L95" s="9"/>
      <c r="M95" s="24">
        <f>+Tabla1[[#This Row],[Costo Venta]]/Tabla1[[#This Row],[Cantidad]]</f>
        <v>0</v>
      </c>
      <c r="N95" s="3">
        <v>1</v>
      </c>
      <c r="O95" s="8">
        <f>+Tabla1[[#This Row],[Conversión]]*Tabla1[[#This Row],[Cantidad]]</f>
        <v>1</v>
      </c>
      <c r="P95" s="43">
        <f>Tabla1[[#This Row],[Neto]]-Tabla1[[#This Row],[Costo Venta]]</f>
        <v>40</v>
      </c>
    </row>
    <row r="96" spans="1:16" x14ac:dyDescent="0.25">
      <c r="A96" s="48">
        <v>45126</v>
      </c>
      <c r="B96" s="1" t="s">
        <v>108</v>
      </c>
      <c r="C96" s="1" t="s">
        <v>81</v>
      </c>
      <c r="D96" s="1" t="s">
        <v>217</v>
      </c>
      <c r="E96" s="1" t="s">
        <v>71</v>
      </c>
      <c r="F96" s="1" t="s">
        <v>210</v>
      </c>
      <c r="G96" s="2">
        <v>1</v>
      </c>
      <c r="H96" s="1" t="s">
        <v>112</v>
      </c>
      <c r="I96" s="44">
        <f>Tabla1[[#This Row],[Descuento]]+Tabla1[[#This Row],[Neto]]</f>
        <v>25</v>
      </c>
      <c r="J96" s="9">
        <v>0</v>
      </c>
      <c r="K96" s="9">
        <v>25</v>
      </c>
      <c r="L96" s="9"/>
      <c r="M96" s="24">
        <f>+Tabla1[[#This Row],[Costo Venta]]/Tabla1[[#This Row],[Cantidad]]</f>
        <v>0</v>
      </c>
      <c r="N96" s="3">
        <v>1</v>
      </c>
      <c r="O96" s="8">
        <f>+Tabla1[[#This Row],[Conversión]]*Tabla1[[#This Row],[Cantidad]]</f>
        <v>1</v>
      </c>
      <c r="P96" s="43">
        <f>Tabla1[[#This Row],[Neto]]-Tabla1[[#This Row],[Costo Venta]]</f>
        <v>25</v>
      </c>
    </row>
    <row r="97" spans="1:16" x14ac:dyDescent="0.25">
      <c r="A97" s="48">
        <v>45128</v>
      </c>
      <c r="B97" s="1" t="s">
        <v>108</v>
      </c>
      <c r="C97" s="1" t="s">
        <v>214</v>
      </c>
      <c r="D97" s="1" t="s">
        <v>218</v>
      </c>
      <c r="E97" s="1" t="s">
        <v>71</v>
      </c>
      <c r="F97" s="1" t="s">
        <v>219</v>
      </c>
      <c r="G97" s="2">
        <v>1</v>
      </c>
      <c r="H97" s="1" t="s">
        <v>112</v>
      </c>
      <c r="I97" s="44">
        <f>Tabla1[[#This Row],[Descuento]]+Tabla1[[#This Row],[Neto]]</f>
        <v>5</v>
      </c>
      <c r="J97" s="9">
        <v>0</v>
      </c>
      <c r="K97" s="9">
        <v>5</v>
      </c>
      <c r="L97" s="9"/>
      <c r="M97" s="24">
        <f>+Tabla1[[#This Row],[Costo Venta]]/Tabla1[[#This Row],[Cantidad]]</f>
        <v>0</v>
      </c>
      <c r="N97" s="3">
        <v>1</v>
      </c>
      <c r="O97" s="8">
        <f>+Tabla1[[#This Row],[Conversión]]*Tabla1[[#This Row],[Cantidad]]</f>
        <v>1</v>
      </c>
      <c r="P97" s="43">
        <f>Tabla1[[#This Row],[Neto]]-Tabla1[[#This Row],[Costo Venta]]</f>
        <v>5</v>
      </c>
    </row>
    <row r="98" spans="1:16" x14ac:dyDescent="0.25">
      <c r="A98" s="48">
        <v>45131</v>
      </c>
      <c r="B98" s="1" t="s">
        <v>108</v>
      </c>
      <c r="C98" s="1" t="s">
        <v>81</v>
      </c>
      <c r="D98" s="1" t="s">
        <v>220</v>
      </c>
      <c r="E98" s="1" t="s">
        <v>67</v>
      </c>
      <c r="F98" s="1" t="s">
        <v>173</v>
      </c>
      <c r="G98" s="2">
        <v>1</v>
      </c>
      <c r="H98" s="1" t="s">
        <v>112</v>
      </c>
      <c r="I98" s="44">
        <f>Tabla1[[#This Row],[Descuento]]+Tabla1[[#This Row],[Neto]]</f>
        <v>30</v>
      </c>
      <c r="J98" s="9">
        <v>0</v>
      </c>
      <c r="K98" s="9">
        <v>30</v>
      </c>
      <c r="L98" s="9"/>
      <c r="M98" s="24">
        <f>+Tabla1[[#This Row],[Costo Venta]]/Tabla1[[#This Row],[Cantidad]]</f>
        <v>0</v>
      </c>
      <c r="N98" s="3">
        <v>1</v>
      </c>
      <c r="O98" s="8">
        <f>+Tabla1[[#This Row],[Conversión]]*Tabla1[[#This Row],[Cantidad]]</f>
        <v>1</v>
      </c>
      <c r="P98" s="43">
        <f>Tabla1[[#This Row],[Neto]]-Tabla1[[#This Row],[Costo Venta]]</f>
        <v>30</v>
      </c>
    </row>
    <row r="99" spans="1:16" x14ac:dyDescent="0.25">
      <c r="A99" s="48">
        <v>45132</v>
      </c>
      <c r="B99" s="1" t="s">
        <v>108</v>
      </c>
      <c r="C99" s="1" t="s">
        <v>81</v>
      </c>
      <c r="D99" s="1" t="s">
        <v>221</v>
      </c>
      <c r="E99" s="1" t="s">
        <v>67</v>
      </c>
      <c r="F99" s="1" t="s">
        <v>173</v>
      </c>
      <c r="G99" s="2">
        <v>1</v>
      </c>
      <c r="H99" s="1" t="s">
        <v>112</v>
      </c>
      <c r="I99" s="44">
        <f>Tabla1[[#This Row],[Descuento]]+Tabla1[[#This Row],[Neto]]</f>
        <v>30</v>
      </c>
      <c r="J99" s="9">
        <v>0</v>
      </c>
      <c r="K99" s="9">
        <v>30</v>
      </c>
      <c r="L99" s="9"/>
      <c r="M99" s="24">
        <f>+Tabla1[[#This Row],[Costo Venta]]/Tabla1[[#This Row],[Cantidad]]</f>
        <v>0</v>
      </c>
      <c r="N99" s="3">
        <v>1</v>
      </c>
      <c r="O99" s="8">
        <f>+Tabla1[[#This Row],[Conversión]]*Tabla1[[#This Row],[Cantidad]]</f>
        <v>1</v>
      </c>
      <c r="P99" s="43">
        <f>Tabla1[[#This Row],[Neto]]-Tabla1[[#This Row],[Costo Venta]]</f>
        <v>30</v>
      </c>
    </row>
    <row r="100" spans="1:16" x14ac:dyDescent="0.25">
      <c r="A100" s="48">
        <v>45140</v>
      </c>
      <c r="B100" s="1" t="s">
        <v>108</v>
      </c>
      <c r="C100" s="1" t="s">
        <v>214</v>
      </c>
      <c r="D100" s="1" t="s">
        <v>222</v>
      </c>
      <c r="E100" s="1" t="s">
        <v>71</v>
      </c>
      <c r="F100" s="1" t="s">
        <v>219</v>
      </c>
      <c r="G100" s="2">
        <v>1</v>
      </c>
      <c r="H100" s="1" t="s">
        <v>112</v>
      </c>
      <c r="I100" s="44">
        <f>Tabla1[[#This Row],[Descuento]]+Tabla1[[#This Row],[Neto]]</f>
        <v>5</v>
      </c>
      <c r="J100" s="9">
        <v>0</v>
      </c>
      <c r="K100" s="9">
        <v>5</v>
      </c>
      <c r="L100" s="9"/>
      <c r="M100" s="24">
        <f>+Tabla1[[#This Row],[Costo Venta]]/Tabla1[[#This Row],[Cantidad]]</f>
        <v>0</v>
      </c>
      <c r="N100" s="3">
        <v>1</v>
      </c>
      <c r="O100" s="8">
        <f>+Tabla1[[#This Row],[Conversión]]*Tabla1[[#This Row],[Cantidad]]</f>
        <v>1</v>
      </c>
      <c r="P100" s="43">
        <f>Tabla1[[#This Row],[Neto]]-Tabla1[[#This Row],[Costo Venta]]</f>
        <v>5</v>
      </c>
    </row>
    <row r="101" spans="1:16" x14ac:dyDescent="0.25">
      <c r="A101" s="48">
        <v>45142</v>
      </c>
      <c r="B101" s="1" t="s">
        <v>108</v>
      </c>
      <c r="C101" s="1" t="s">
        <v>81</v>
      </c>
      <c r="D101" s="1" t="s">
        <v>223</v>
      </c>
      <c r="E101" s="1" t="s">
        <v>71</v>
      </c>
      <c r="F101" s="1" t="s">
        <v>83</v>
      </c>
      <c r="G101" s="2">
        <v>1</v>
      </c>
      <c r="H101" s="1" t="s">
        <v>112</v>
      </c>
      <c r="I101" s="44">
        <f>Tabla1[[#This Row],[Descuento]]+Tabla1[[#This Row],[Neto]]</f>
        <v>80</v>
      </c>
      <c r="J101" s="9">
        <v>0</v>
      </c>
      <c r="K101" s="9">
        <v>80</v>
      </c>
      <c r="L101" s="9"/>
      <c r="M101" s="24">
        <f>+Tabla1[[#This Row],[Costo Venta]]/Tabla1[[#This Row],[Cantidad]]</f>
        <v>0</v>
      </c>
      <c r="N101" s="3">
        <v>1</v>
      </c>
      <c r="O101" s="8">
        <f>+Tabla1[[#This Row],[Conversión]]*Tabla1[[#This Row],[Cantidad]]</f>
        <v>1</v>
      </c>
      <c r="P101" s="43">
        <f>Tabla1[[#This Row],[Neto]]-Tabla1[[#This Row],[Costo Venta]]</f>
        <v>80</v>
      </c>
    </row>
    <row r="102" spans="1:16" x14ac:dyDescent="0.25">
      <c r="A102" s="48">
        <v>45146</v>
      </c>
      <c r="B102" s="1" t="s">
        <v>108</v>
      </c>
      <c r="C102" s="1" t="s">
        <v>81</v>
      </c>
      <c r="D102" s="1" t="s">
        <v>224</v>
      </c>
      <c r="E102" s="1" t="s">
        <v>71</v>
      </c>
      <c r="F102" s="1" t="s">
        <v>225</v>
      </c>
      <c r="G102" s="2">
        <v>1</v>
      </c>
      <c r="H102" s="1" t="s">
        <v>112</v>
      </c>
      <c r="I102" s="44">
        <f>Tabla1[[#This Row],[Descuento]]+Tabla1[[#This Row],[Neto]]</f>
        <v>40</v>
      </c>
      <c r="J102" s="9">
        <v>0</v>
      </c>
      <c r="K102" s="9">
        <v>40</v>
      </c>
      <c r="L102" s="9"/>
      <c r="M102" s="24">
        <f>+Tabla1[[#This Row],[Costo Venta]]/Tabla1[[#This Row],[Cantidad]]</f>
        <v>0</v>
      </c>
      <c r="N102" s="3">
        <v>1</v>
      </c>
      <c r="O102" s="8">
        <f>+Tabla1[[#This Row],[Conversión]]*Tabla1[[#This Row],[Cantidad]]</f>
        <v>1</v>
      </c>
      <c r="P102" s="43">
        <f>Tabla1[[#This Row],[Neto]]-Tabla1[[#This Row],[Costo Venta]]</f>
        <v>40</v>
      </c>
    </row>
    <row r="103" spans="1:16" x14ac:dyDescent="0.25">
      <c r="A103" s="48">
        <v>45163</v>
      </c>
      <c r="B103" s="1" t="s">
        <v>108</v>
      </c>
      <c r="C103" s="1" t="s">
        <v>214</v>
      </c>
      <c r="D103" s="1" t="s">
        <v>226</v>
      </c>
      <c r="E103" s="1" t="s">
        <v>71</v>
      </c>
      <c r="F103" s="1" t="s">
        <v>227</v>
      </c>
      <c r="G103" s="2">
        <v>1</v>
      </c>
      <c r="H103" s="1" t="s">
        <v>112</v>
      </c>
      <c r="I103" s="44">
        <f>Tabla1[[#This Row],[Descuento]]+Tabla1[[#This Row],[Neto]]</f>
        <v>40</v>
      </c>
      <c r="J103" s="9">
        <v>0</v>
      </c>
      <c r="K103" s="9">
        <v>40</v>
      </c>
      <c r="L103" s="9"/>
      <c r="M103" s="24">
        <f>+Tabla1[[#This Row],[Costo Venta]]/Tabla1[[#This Row],[Cantidad]]</f>
        <v>0</v>
      </c>
      <c r="N103" s="3">
        <v>1</v>
      </c>
      <c r="O103" s="8">
        <f>+Tabla1[[#This Row],[Conversión]]*Tabla1[[#This Row],[Cantidad]]</f>
        <v>1</v>
      </c>
      <c r="P103" s="43">
        <f>Tabla1[[#This Row],[Neto]]-Tabla1[[#This Row],[Costo Venta]]</f>
        <v>40</v>
      </c>
    </row>
    <row r="104" spans="1:16" x14ac:dyDescent="0.25">
      <c r="A104" s="48">
        <v>45167</v>
      </c>
      <c r="B104" s="1" t="s">
        <v>108</v>
      </c>
      <c r="C104" s="1" t="s">
        <v>214</v>
      </c>
      <c r="D104" s="1" t="s">
        <v>228</v>
      </c>
      <c r="E104" s="1" t="s">
        <v>71</v>
      </c>
      <c r="F104" s="1" t="s">
        <v>229</v>
      </c>
      <c r="G104" s="2">
        <v>1</v>
      </c>
      <c r="H104" s="1" t="s">
        <v>112</v>
      </c>
      <c r="I104" s="44">
        <f>Tabla1[[#This Row],[Descuento]]+Tabla1[[#This Row],[Neto]]</f>
        <v>40</v>
      </c>
      <c r="J104" s="9">
        <v>0</v>
      </c>
      <c r="K104" s="9">
        <v>40</v>
      </c>
      <c r="L104" s="9"/>
      <c r="M104" s="24">
        <f>+Tabla1[[#This Row],[Costo Venta]]/Tabla1[[#This Row],[Cantidad]]</f>
        <v>0</v>
      </c>
      <c r="N104" s="3">
        <v>1</v>
      </c>
      <c r="O104" s="8">
        <f>+Tabla1[[#This Row],[Conversión]]*Tabla1[[#This Row],[Cantidad]]</f>
        <v>1</v>
      </c>
      <c r="P104" s="43">
        <f>Tabla1[[#This Row],[Neto]]-Tabla1[[#This Row],[Costo Venta]]</f>
        <v>40</v>
      </c>
    </row>
    <row r="105" spans="1:16" x14ac:dyDescent="0.25">
      <c r="A105" s="48">
        <v>45167</v>
      </c>
      <c r="B105" s="1" t="s">
        <v>108</v>
      </c>
      <c r="C105" s="1" t="s">
        <v>214</v>
      </c>
      <c r="D105" s="1" t="s">
        <v>230</v>
      </c>
      <c r="E105" s="1" t="s">
        <v>71</v>
      </c>
      <c r="F105" s="1" t="s">
        <v>219</v>
      </c>
      <c r="G105" s="2">
        <v>1</v>
      </c>
      <c r="H105" s="1" t="s">
        <v>112</v>
      </c>
      <c r="I105" s="44">
        <f>Tabla1[[#This Row],[Descuento]]+Tabla1[[#This Row],[Neto]]</f>
        <v>5</v>
      </c>
      <c r="J105" s="9">
        <v>0</v>
      </c>
      <c r="K105" s="9">
        <v>5</v>
      </c>
      <c r="L105" s="9"/>
      <c r="M105" s="24">
        <f>+Tabla1[[#This Row],[Costo Venta]]/Tabla1[[#This Row],[Cantidad]]</f>
        <v>0</v>
      </c>
      <c r="N105" s="3">
        <v>1</v>
      </c>
      <c r="O105" s="8">
        <f>+Tabla1[[#This Row],[Conversión]]*Tabla1[[#This Row],[Cantidad]]</f>
        <v>1</v>
      </c>
      <c r="P105" s="43">
        <f>Tabla1[[#This Row],[Neto]]-Tabla1[[#This Row],[Costo Venta]]</f>
        <v>5</v>
      </c>
    </row>
    <row r="106" spans="1:16" x14ac:dyDescent="0.25">
      <c r="A106" s="48">
        <v>45168</v>
      </c>
      <c r="B106" s="1" t="s">
        <v>108</v>
      </c>
      <c r="C106" s="1" t="s">
        <v>214</v>
      </c>
      <c r="D106" s="1" t="s">
        <v>231</v>
      </c>
      <c r="E106" s="1" t="s">
        <v>71</v>
      </c>
      <c r="F106" s="1" t="s">
        <v>232</v>
      </c>
      <c r="G106" s="2">
        <v>1</v>
      </c>
      <c r="H106" s="1" t="s">
        <v>112</v>
      </c>
      <c r="I106" s="44">
        <f>Tabla1[[#This Row],[Descuento]]+Tabla1[[#This Row],[Neto]]</f>
        <v>30</v>
      </c>
      <c r="J106" s="9">
        <v>0</v>
      </c>
      <c r="K106" s="9">
        <v>30</v>
      </c>
      <c r="L106" s="9"/>
      <c r="M106" s="24">
        <f>+Tabla1[[#This Row],[Costo Venta]]/Tabla1[[#This Row],[Cantidad]]</f>
        <v>0</v>
      </c>
      <c r="N106" s="3">
        <v>1</v>
      </c>
      <c r="O106" s="8">
        <f>+Tabla1[[#This Row],[Conversión]]*Tabla1[[#This Row],[Cantidad]]</f>
        <v>1</v>
      </c>
      <c r="P106" s="43">
        <f>Tabla1[[#This Row],[Neto]]-Tabla1[[#This Row],[Costo Venta]]</f>
        <v>30</v>
      </c>
    </row>
    <row r="107" spans="1:16" x14ac:dyDescent="0.25">
      <c r="A107" s="48">
        <v>45173</v>
      </c>
      <c r="B107" s="1" t="s">
        <v>108</v>
      </c>
      <c r="C107" s="1" t="s">
        <v>214</v>
      </c>
      <c r="D107" s="1" t="s">
        <v>233</v>
      </c>
      <c r="E107" s="1" t="s">
        <v>71</v>
      </c>
      <c r="F107" s="1" t="s">
        <v>234</v>
      </c>
      <c r="G107" s="2">
        <v>1</v>
      </c>
      <c r="H107" s="1" t="s">
        <v>112</v>
      </c>
      <c r="I107" s="44">
        <f>Tabla1[[#This Row],[Descuento]]+Tabla1[[#This Row],[Neto]]</f>
        <v>30</v>
      </c>
      <c r="J107" s="9">
        <v>0</v>
      </c>
      <c r="K107" s="9">
        <v>30</v>
      </c>
      <c r="L107" s="9"/>
      <c r="M107" s="24">
        <f>+Tabla1[[#This Row],[Costo Venta]]/Tabla1[[#This Row],[Cantidad]]</f>
        <v>0</v>
      </c>
      <c r="N107" s="3">
        <v>1</v>
      </c>
      <c r="O107" s="8">
        <f>+Tabla1[[#This Row],[Conversión]]*Tabla1[[#This Row],[Cantidad]]</f>
        <v>1</v>
      </c>
      <c r="P107" s="43">
        <f>Tabla1[[#This Row],[Neto]]-Tabla1[[#This Row],[Costo Venta]]</f>
        <v>30</v>
      </c>
    </row>
    <row r="108" spans="1:16" x14ac:dyDescent="0.25">
      <c r="A108" s="48">
        <v>45174</v>
      </c>
      <c r="B108" s="1" t="s">
        <v>108</v>
      </c>
      <c r="C108" s="1" t="s">
        <v>214</v>
      </c>
      <c r="D108" s="1" t="s">
        <v>235</v>
      </c>
      <c r="E108" s="1" t="s">
        <v>71</v>
      </c>
      <c r="F108" s="1" t="s">
        <v>236</v>
      </c>
      <c r="G108" s="2">
        <v>1</v>
      </c>
      <c r="H108" s="1" t="s">
        <v>112</v>
      </c>
      <c r="I108" s="44">
        <f>Tabla1[[#This Row],[Descuento]]+Tabla1[[#This Row],[Neto]]</f>
        <v>25</v>
      </c>
      <c r="J108" s="9">
        <v>0</v>
      </c>
      <c r="K108" s="9">
        <v>25</v>
      </c>
      <c r="L108" s="9"/>
      <c r="M108" s="24">
        <f>+Tabla1[[#This Row],[Costo Venta]]/Tabla1[[#This Row],[Cantidad]]</f>
        <v>0</v>
      </c>
      <c r="N108" s="3">
        <v>1</v>
      </c>
      <c r="O108" s="8">
        <f>+Tabla1[[#This Row],[Conversión]]*Tabla1[[#This Row],[Cantidad]]</f>
        <v>1</v>
      </c>
      <c r="P108" s="43">
        <f>Tabla1[[#This Row],[Neto]]-Tabla1[[#This Row],[Costo Venta]]</f>
        <v>25</v>
      </c>
    </row>
    <row r="109" spans="1:16" x14ac:dyDescent="0.25">
      <c r="A109" s="48">
        <v>45175</v>
      </c>
      <c r="B109" s="1" t="s">
        <v>108</v>
      </c>
      <c r="C109" s="1" t="s">
        <v>214</v>
      </c>
      <c r="D109" s="1" t="s">
        <v>237</v>
      </c>
      <c r="E109" s="1" t="s">
        <v>71</v>
      </c>
      <c r="F109" s="1" t="s">
        <v>17</v>
      </c>
      <c r="G109" s="2">
        <v>1</v>
      </c>
      <c r="H109" s="1" t="s">
        <v>112</v>
      </c>
      <c r="I109" s="44">
        <f>Tabla1[[#This Row],[Descuento]]+Tabla1[[#This Row],[Neto]]</f>
        <v>30</v>
      </c>
      <c r="J109" s="9">
        <v>0</v>
      </c>
      <c r="K109" s="9">
        <v>30</v>
      </c>
      <c r="L109" s="9"/>
      <c r="M109" s="24">
        <f>+Tabla1[[#This Row],[Costo Venta]]/Tabla1[[#This Row],[Cantidad]]</f>
        <v>0</v>
      </c>
      <c r="N109" s="3">
        <v>1</v>
      </c>
      <c r="O109" s="8">
        <f>+Tabla1[[#This Row],[Conversión]]*Tabla1[[#This Row],[Cantidad]]</f>
        <v>1</v>
      </c>
      <c r="P109" s="43">
        <f>Tabla1[[#This Row],[Neto]]-Tabla1[[#This Row],[Costo Venta]]</f>
        <v>30</v>
      </c>
    </row>
    <row r="110" spans="1:16" x14ac:dyDescent="0.25">
      <c r="A110" s="48">
        <v>45177</v>
      </c>
      <c r="B110" s="1" t="s">
        <v>108</v>
      </c>
      <c r="C110" s="1" t="s">
        <v>214</v>
      </c>
      <c r="D110" s="1" t="s">
        <v>238</v>
      </c>
      <c r="E110" s="1" t="s">
        <v>71</v>
      </c>
      <c r="F110" s="1" t="s">
        <v>239</v>
      </c>
      <c r="G110" s="2">
        <v>1</v>
      </c>
      <c r="H110" s="1" t="s">
        <v>112</v>
      </c>
      <c r="I110" s="44">
        <f>Tabla1[[#This Row],[Descuento]]+Tabla1[[#This Row],[Neto]]</f>
        <v>350</v>
      </c>
      <c r="J110" s="9">
        <v>0</v>
      </c>
      <c r="K110" s="9">
        <v>350</v>
      </c>
      <c r="L110" s="9"/>
      <c r="M110" s="24">
        <f>+Tabla1[[#This Row],[Costo Venta]]/Tabla1[[#This Row],[Cantidad]]</f>
        <v>0</v>
      </c>
      <c r="N110" s="3">
        <v>1</v>
      </c>
      <c r="O110" s="8">
        <f>+Tabla1[[#This Row],[Conversión]]*Tabla1[[#This Row],[Cantidad]]</f>
        <v>1</v>
      </c>
      <c r="P110" s="43">
        <f>Tabla1[[#This Row],[Neto]]-Tabla1[[#This Row],[Costo Venta]]</f>
        <v>350</v>
      </c>
    </row>
    <row r="111" spans="1:16" x14ac:dyDescent="0.25">
      <c r="A111" s="48">
        <v>45190</v>
      </c>
      <c r="B111" s="1" t="s">
        <v>108</v>
      </c>
      <c r="C111" s="1" t="s">
        <v>214</v>
      </c>
      <c r="D111" s="1" t="s">
        <v>240</v>
      </c>
      <c r="E111" s="1" t="s">
        <v>71</v>
      </c>
      <c r="F111" s="1" t="s">
        <v>241</v>
      </c>
      <c r="G111" s="2">
        <v>1</v>
      </c>
      <c r="H111" s="1" t="s">
        <v>112</v>
      </c>
      <c r="I111" s="44">
        <f>Tabla1[[#This Row],[Descuento]]+Tabla1[[#This Row],[Neto]]</f>
        <v>90</v>
      </c>
      <c r="J111" s="9">
        <v>0</v>
      </c>
      <c r="K111" s="9">
        <v>90</v>
      </c>
      <c r="L111" s="9"/>
      <c r="M111" s="24">
        <f>+Tabla1[[#This Row],[Costo Venta]]/Tabla1[[#This Row],[Cantidad]]</f>
        <v>0</v>
      </c>
      <c r="N111" s="3">
        <v>1</v>
      </c>
      <c r="O111" s="8">
        <f>+Tabla1[[#This Row],[Conversión]]*Tabla1[[#This Row],[Cantidad]]</f>
        <v>1</v>
      </c>
      <c r="P111" s="43">
        <f>Tabla1[[#This Row],[Neto]]-Tabla1[[#This Row],[Costo Venta]]</f>
        <v>90</v>
      </c>
    </row>
    <row r="112" spans="1:16" x14ac:dyDescent="0.25">
      <c r="A112" s="48">
        <v>45201</v>
      </c>
      <c r="B112" s="1" t="s">
        <v>108</v>
      </c>
      <c r="C112" s="1" t="s">
        <v>214</v>
      </c>
      <c r="D112" s="1" t="s">
        <v>242</v>
      </c>
      <c r="E112" s="1" t="s">
        <v>71</v>
      </c>
      <c r="F112" s="1" t="s">
        <v>243</v>
      </c>
      <c r="G112" s="2">
        <v>1</v>
      </c>
      <c r="H112" s="1" t="s">
        <v>112</v>
      </c>
      <c r="I112" s="44">
        <f>Tabla1[[#This Row],[Descuento]]+Tabla1[[#This Row],[Neto]]</f>
        <v>60</v>
      </c>
      <c r="J112" s="9">
        <v>0</v>
      </c>
      <c r="K112" s="9">
        <v>60</v>
      </c>
      <c r="L112" s="9"/>
      <c r="M112" s="24">
        <f>+Tabla1[[#This Row],[Costo Venta]]/Tabla1[[#This Row],[Cantidad]]</f>
        <v>0</v>
      </c>
      <c r="N112" s="3">
        <v>1</v>
      </c>
      <c r="O112" s="8">
        <f>+Tabla1[[#This Row],[Conversión]]*Tabla1[[#This Row],[Cantidad]]</f>
        <v>1</v>
      </c>
      <c r="P112" s="43">
        <f>Tabla1[[#This Row],[Neto]]-Tabla1[[#This Row],[Costo Venta]]</f>
        <v>60</v>
      </c>
    </row>
    <row r="113" spans="1:16" x14ac:dyDescent="0.25">
      <c r="A113" s="48">
        <v>45201</v>
      </c>
      <c r="B113" s="1" t="s">
        <v>108</v>
      </c>
      <c r="C113" s="1" t="s">
        <v>214</v>
      </c>
      <c r="D113" s="1" t="s">
        <v>244</v>
      </c>
      <c r="E113" s="1" t="s">
        <v>71</v>
      </c>
      <c r="F113" s="1" t="s">
        <v>22</v>
      </c>
      <c r="G113" s="2">
        <v>1</v>
      </c>
      <c r="H113" s="1" t="s">
        <v>112</v>
      </c>
      <c r="I113" s="44">
        <f>Tabla1[[#This Row],[Descuento]]+Tabla1[[#This Row],[Neto]]</f>
        <v>45</v>
      </c>
      <c r="J113" s="9">
        <v>0</v>
      </c>
      <c r="K113" s="9">
        <v>45</v>
      </c>
      <c r="L113" s="9"/>
      <c r="M113" s="24">
        <f>+Tabla1[[#This Row],[Costo Venta]]/Tabla1[[#This Row],[Cantidad]]</f>
        <v>0</v>
      </c>
      <c r="N113" s="3">
        <v>1</v>
      </c>
      <c r="O113" s="8">
        <f>+Tabla1[[#This Row],[Conversión]]*Tabla1[[#This Row],[Cantidad]]</f>
        <v>1</v>
      </c>
      <c r="P113" s="43">
        <f>Tabla1[[#This Row],[Neto]]-Tabla1[[#This Row],[Costo Venta]]</f>
        <v>45</v>
      </c>
    </row>
    <row r="114" spans="1:16" x14ac:dyDescent="0.25">
      <c r="A114" s="48">
        <v>45202</v>
      </c>
      <c r="B114" s="1" t="s">
        <v>108</v>
      </c>
      <c r="C114" s="1" t="s">
        <v>29</v>
      </c>
      <c r="D114" s="1" t="s">
        <v>245</v>
      </c>
      <c r="E114" s="1" t="s">
        <v>71</v>
      </c>
      <c r="F114" s="1" t="s">
        <v>246</v>
      </c>
      <c r="G114" s="2">
        <v>1</v>
      </c>
      <c r="H114" s="1" t="s">
        <v>112</v>
      </c>
      <c r="I114" s="44">
        <f>Tabla1[[#This Row],[Descuento]]+Tabla1[[#This Row],[Neto]]</f>
        <v>44.65</v>
      </c>
      <c r="J114" s="9">
        <v>0</v>
      </c>
      <c r="K114" s="9">
        <v>44.65</v>
      </c>
      <c r="L114" s="9"/>
      <c r="M114" s="24">
        <f>+Tabla1[[#This Row],[Costo Venta]]/Tabla1[[#This Row],[Cantidad]]</f>
        <v>0</v>
      </c>
      <c r="N114" s="3">
        <v>1</v>
      </c>
      <c r="O114" s="8">
        <f>+Tabla1[[#This Row],[Conversión]]*Tabla1[[#This Row],[Cantidad]]</f>
        <v>1</v>
      </c>
      <c r="P114" s="43">
        <f>Tabla1[[#This Row],[Neto]]-Tabla1[[#This Row],[Costo Venta]]</f>
        <v>44.65</v>
      </c>
    </row>
    <row r="115" spans="1:16" x14ac:dyDescent="0.25">
      <c r="A115" s="48">
        <v>45204</v>
      </c>
      <c r="B115" s="1" t="s">
        <v>108</v>
      </c>
      <c r="C115" s="1" t="s">
        <v>214</v>
      </c>
      <c r="D115" s="1" t="s">
        <v>247</v>
      </c>
      <c r="E115" s="1" t="s">
        <v>71</v>
      </c>
      <c r="F115" s="1" t="s">
        <v>248</v>
      </c>
      <c r="G115" s="2">
        <v>1</v>
      </c>
      <c r="H115" s="1" t="s">
        <v>112</v>
      </c>
      <c r="I115" s="44">
        <f>Tabla1[[#This Row],[Descuento]]+Tabla1[[#This Row],[Neto]]</f>
        <v>60</v>
      </c>
      <c r="J115" s="9">
        <v>0</v>
      </c>
      <c r="K115" s="9">
        <v>60</v>
      </c>
      <c r="L115" s="9"/>
      <c r="M115" s="24">
        <f>+Tabla1[[#This Row],[Costo Venta]]/Tabla1[[#This Row],[Cantidad]]</f>
        <v>0</v>
      </c>
      <c r="N115" s="3">
        <v>1</v>
      </c>
      <c r="O115" s="8">
        <f>+Tabla1[[#This Row],[Conversión]]*Tabla1[[#This Row],[Cantidad]]</f>
        <v>1</v>
      </c>
      <c r="P115" s="43">
        <f>Tabla1[[#This Row],[Neto]]-Tabla1[[#This Row],[Costo Venta]]</f>
        <v>60</v>
      </c>
    </row>
    <row r="116" spans="1:16" x14ac:dyDescent="0.25">
      <c r="A116" s="48">
        <v>45205</v>
      </c>
      <c r="B116" s="1" t="s">
        <v>108</v>
      </c>
      <c r="C116" s="1" t="s">
        <v>214</v>
      </c>
      <c r="D116" s="1" t="s">
        <v>249</v>
      </c>
      <c r="E116" s="1" t="s">
        <v>132</v>
      </c>
      <c r="F116" s="1" t="s">
        <v>185</v>
      </c>
      <c r="G116" s="2">
        <v>1</v>
      </c>
      <c r="H116" s="1" t="s">
        <v>112</v>
      </c>
      <c r="I116" s="44">
        <f>Tabla1[[#This Row],[Descuento]]+Tabla1[[#This Row],[Neto]]</f>
        <v>30</v>
      </c>
      <c r="J116" s="9">
        <v>0</v>
      </c>
      <c r="K116" s="9">
        <v>30</v>
      </c>
      <c r="L116" s="9"/>
      <c r="M116" s="24">
        <f>+Tabla1[[#This Row],[Costo Venta]]/Tabla1[[#This Row],[Cantidad]]</f>
        <v>0</v>
      </c>
      <c r="N116" s="3">
        <v>1</v>
      </c>
      <c r="O116" s="8">
        <f>+Tabla1[[#This Row],[Conversión]]*Tabla1[[#This Row],[Cantidad]]</f>
        <v>1</v>
      </c>
      <c r="P116" s="43">
        <f>Tabla1[[#This Row],[Neto]]-Tabla1[[#This Row],[Costo Venta]]</f>
        <v>30</v>
      </c>
    </row>
    <row r="117" spans="1:16" x14ac:dyDescent="0.25">
      <c r="A117" s="48">
        <v>45210</v>
      </c>
      <c r="B117" s="1" t="s">
        <v>108</v>
      </c>
      <c r="C117" s="1" t="s">
        <v>214</v>
      </c>
      <c r="D117" s="1" t="s">
        <v>250</v>
      </c>
      <c r="E117" s="1" t="s">
        <v>71</v>
      </c>
      <c r="F117" s="1" t="s">
        <v>251</v>
      </c>
      <c r="G117" s="2">
        <v>1</v>
      </c>
      <c r="H117" s="1" t="s">
        <v>112</v>
      </c>
      <c r="I117" s="44">
        <f>Tabla1[[#This Row],[Descuento]]+Tabla1[[#This Row],[Neto]]</f>
        <v>50</v>
      </c>
      <c r="J117" s="9">
        <v>0</v>
      </c>
      <c r="K117" s="9">
        <v>50</v>
      </c>
      <c r="L117" s="9"/>
      <c r="M117" s="24">
        <f>+Tabla1[[#This Row],[Costo Venta]]/Tabla1[[#This Row],[Cantidad]]</f>
        <v>0</v>
      </c>
      <c r="N117" s="3">
        <v>1</v>
      </c>
      <c r="O117" s="8">
        <f>+Tabla1[[#This Row],[Conversión]]*Tabla1[[#This Row],[Cantidad]]</f>
        <v>1</v>
      </c>
      <c r="P117" s="43">
        <f>Tabla1[[#This Row],[Neto]]-Tabla1[[#This Row],[Costo Venta]]</f>
        <v>50</v>
      </c>
    </row>
    <row r="118" spans="1:16" x14ac:dyDescent="0.25">
      <c r="A118" s="48">
        <v>45210</v>
      </c>
      <c r="B118" s="1" t="s">
        <v>108</v>
      </c>
      <c r="C118" s="1" t="s">
        <v>214</v>
      </c>
      <c r="D118" s="1" t="s">
        <v>252</v>
      </c>
      <c r="E118" s="1" t="s">
        <v>71</v>
      </c>
      <c r="F118" s="1" t="s">
        <v>253</v>
      </c>
      <c r="G118" s="2">
        <v>1</v>
      </c>
      <c r="H118" s="1" t="s">
        <v>112</v>
      </c>
      <c r="I118" s="44">
        <f>Tabla1[[#This Row],[Descuento]]+Tabla1[[#This Row],[Neto]]</f>
        <v>30</v>
      </c>
      <c r="J118" s="9">
        <v>0</v>
      </c>
      <c r="K118" s="9">
        <v>30</v>
      </c>
      <c r="L118" s="9"/>
      <c r="M118" s="24">
        <f>+Tabla1[[#This Row],[Costo Venta]]/Tabla1[[#This Row],[Cantidad]]</f>
        <v>0</v>
      </c>
      <c r="N118" s="3">
        <v>1</v>
      </c>
      <c r="O118" s="8">
        <f>+Tabla1[[#This Row],[Conversión]]*Tabla1[[#This Row],[Cantidad]]</f>
        <v>1</v>
      </c>
      <c r="P118" s="43">
        <f>Tabla1[[#This Row],[Neto]]-Tabla1[[#This Row],[Costo Venta]]</f>
        <v>30</v>
      </c>
    </row>
    <row r="119" spans="1:16" x14ac:dyDescent="0.25">
      <c r="A119" s="48">
        <v>45212</v>
      </c>
      <c r="B119" s="1" t="s">
        <v>108</v>
      </c>
      <c r="C119" s="1" t="s">
        <v>214</v>
      </c>
      <c r="D119" s="1" t="s">
        <v>254</v>
      </c>
      <c r="E119" s="1" t="s">
        <v>71</v>
      </c>
      <c r="F119" s="1" t="s">
        <v>229</v>
      </c>
      <c r="G119" s="2">
        <v>1</v>
      </c>
      <c r="H119" s="1" t="s">
        <v>112</v>
      </c>
      <c r="I119" s="44">
        <f>Tabla1[[#This Row],[Descuento]]+Tabla1[[#This Row],[Neto]]</f>
        <v>30</v>
      </c>
      <c r="J119" s="9">
        <v>0</v>
      </c>
      <c r="K119" s="9">
        <v>30</v>
      </c>
      <c r="L119" s="9"/>
      <c r="M119" s="24">
        <f>+Tabla1[[#This Row],[Costo Venta]]/Tabla1[[#This Row],[Cantidad]]</f>
        <v>0</v>
      </c>
      <c r="N119" s="3">
        <v>1</v>
      </c>
      <c r="O119" s="8">
        <f>+Tabla1[[#This Row],[Conversión]]*Tabla1[[#This Row],[Cantidad]]</f>
        <v>1</v>
      </c>
      <c r="P119" s="43">
        <f>Tabla1[[#This Row],[Neto]]-Tabla1[[#This Row],[Costo Venta]]</f>
        <v>30</v>
      </c>
    </row>
    <row r="120" spans="1:16" x14ac:dyDescent="0.25">
      <c r="A120" s="48">
        <v>45222</v>
      </c>
      <c r="B120" s="1" t="s">
        <v>108</v>
      </c>
      <c r="C120" s="1" t="s">
        <v>214</v>
      </c>
      <c r="D120" s="1" t="s">
        <v>255</v>
      </c>
      <c r="E120" s="1" t="s">
        <v>71</v>
      </c>
      <c r="F120" s="1" t="s">
        <v>256</v>
      </c>
      <c r="G120" s="2">
        <v>1</v>
      </c>
      <c r="H120" s="1" t="s">
        <v>112</v>
      </c>
      <c r="I120" s="44">
        <f>Tabla1[[#This Row],[Descuento]]+Tabla1[[#This Row],[Neto]]</f>
        <v>60</v>
      </c>
      <c r="J120" s="9">
        <v>0</v>
      </c>
      <c r="K120" s="9">
        <v>60</v>
      </c>
      <c r="L120" s="9"/>
      <c r="M120" s="24">
        <f>+Tabla1[[#This Row],[Costo Venta]]/Tabla1[[#This Row],[Cantidad]]</f>
        <v>0</v>
      </c>
      <c r="N120" s="3">
        <v>1</v>
      </c>
      <c r="O120" s="8">
        <f>+Tabla1[[#This Row],[Conversión]]*Tabla1[[#This Row],[Cantidad]]</f>
        <v>1</v>
      </c>
      <c r="P120" s="43">
        <f>Tabla1[[#This Row],[Neto]]-Tabla1[[#This Row],[Costo Venta]]</f>
        <v>60</v>
      </c>
    </row>
    <row r="121" spans="1:16" x14ac:dyDescent="0.25">
      <c r="A121" s="48">
        <v>45225</v>
      </c>
      <c r="B121" s="1" t="s">
        <v>108</v>
      </c>
      <c r="C121" s="1" t="s">
        <v>81</v>
      </c>
      <c r="D121" s="1" t="s">
        <v>257</v>
      </c>
      <c r="E121" s="1" t="s">
        <v>132</v>
      </c>
      <c r="F121" s="1" t="s">
        <v>133</v>
      </c>
      <c r="G121" s="2">
        <v>1</v>
      </c>
      <c r="H121" s="1" t="s">
        <v>112</v>
      </c>
      <c r="I121" s="44">
        <f>Tabla1[[#This Row],[Descuento]]+Tabla1[[#This Row],[Neto]]</f>
        <v>50</v>
      </c>
      <c r="J121" s="9">
        <v>0</v>
      </c>
      <c r="K121" s="9">
        <v>50</v>
      </c>
      <c r="L121" s="9"/>
      <c r="M121" s="24">
        <f>+Tabla1[[#This Row],[Costo Venta]]/Tabla1[[#This Row],[Cantidad]]</f>
        <v>0</v>
      </c>
      <c r="N121" s="3">
        <v>1</v>
      </c>
      <c r="O121" s="8">
        <f>+Tabla1[[#This Row],[Conversión]]*Tabla1[[#This Row],[Cantidad]]</f>
        <v>1</v>
      </c>
      <c r="P121" s="43">
        <f>Tabla1[[#This Row],[Neto]]-Tabla1[[#This Row],[Costo Venta]]</f>
        <v>50</v>
      </c>
    </row>
    <row r="122" spans="1:16" x14ac:dyDescent="0.25">
      <c r="A122" s="48">
        <v>45229</v>
      </c>
      <c r="B122" s="1" t="s">
        <v>108</v>
      </c>
      <c r="C122" s="1" t="s">
        <v>214</v>
      </c>
      <c r="D122" s="1" t="s">
        <v>258</v>
      </c>
      <c r="E122" s="1" t="s">
        <v>71</v>
      </c>
      <c r="F122" s="1" t="s">
        <v>259</v>
      </c>
      <c r="G122" s="2">
        <v>1</v>
      </c>
      <c r="H122" s="1" t="s">
        <v>112</v>
      </c>
      <c r="I122" s="44">
        <f>Tabla1[[#This Row],[Descuento]]+Tabla1[[#This Row],[Neto]]</f>
        <v>40</v>
      </c>
      <c r="J122" s="9">
        <v>0</v>
      </c>
      <c r="K122" s="9">
        <v>40</v>
      </c>
      <c r="L122" s="9"/>
      <c r="M122" s="24">
        <f>+Tabla1[[#This Row],[Costo Venta]]/Tabla1[[#This Row],[Cantidad]]</f>
        <v>0</v>
      </c>
      <c r="N122" s="3">
        <v>1</v>
      </c>
      <c r="O122" s="8">
        <f>+Tabla1[[#This Row],[Conversión]]*Tabla1[[#This Row],[Cantidad]]</f>
        <v>1</v>
      </c>
      <c r="P122" s="43">
        <f>Tabla1[[#This Row],[Neto]]-Tabla1[[#This Row],[Costo Venta]]</f>
        <v>40</v>
      </c>
    </row>
    <row r="123" spans="1:16" x14ac:dyDescent="0.25">
      <c r="A123" s="48">
        <v>45230</v>
      </c>
      <c r="B123" s="1" t="s">
        <v>108</v>
      </c>
      <c r="C123" s="1" t="s">
        <v>214</v>
      </c>
      <c r="D123" s="1" t="s">
        <v>260</v>
      </c>
      <c r="E123" s="1" t="s">
        <v>71</v>
      </c>
      <c r="F123" s="1" t="s">
        <v>261</v>
      </c>
      <c r="G123" s="2">
        <v>1</v>
      </c>
      <c r="H123" s="1" t="s">
        <v>112</v>
      </c>
      <c r="I123" s="44">
        <f>Tabla1[[#This Row],[Descuento]]+Tabla1[[#This Row],[Neto]]</f>
        <v>60</v>
      </c>
      <c r="J123" s="9">
        <v>0</v>
      </c>
      <c r="K123" s="9">
        <v>60</v>
      </c>
      <c r="L123" s="9"/>
      <c r="M123" s="24">
        <f>+Tabla1[[#This Row],[Costo Venta]]/Tabla1[[#This Row],[Cantidad]]</f>
        <v>0</v>
      </c>
      <c r="N123" s="3">
        <v>1</v>
      </c>
      <c r="O123" s="8">
        <f>+Tabla1[[#This Row],[Conversión]]*Tabla1[[#This Row],[Cantidad]]</f>
        <v>1</v>
      </c>
      <c r="P123" s="43">
        <f>Tabla1[[#This Row],[Neto]]-Tabla1[[#This Row],[Costo Venta]]</f>
        <v>60</v>
      </c>
    </row>
    <row r="124" spans="1:16" x14ac:dyDescent="0.25">
      <c r="A124" s="48">
        <v>45246</v>
      </c>
      <c r="B124" s="1" t="s">
        <v>108</v>
      </c>
      <c r="C124" s="1" t="s">
        <v>29</v>
      </c>
      <c r="D124" s="1" t="s">
        <v>262</v>
      </c>
      <c r="E124" s="1" t="s">
        <v>132</v>
      </c>
      <c r="F124" s="1" t="s">
        <v>32</v>
      </c>
      <c r="G124" s="2">
        <v>1</v>
      </c>
      <c r="H124" s="1" t="s">
        <v>112</v>
      </c>
      <c r="I124" s="44">
        <f>Tabla1[[#This Row],[Descuento]]+Tabla1[[#This Row],[Neto]]</f>
        <v>200</v>
      </c>
      <c r="J124" s="9">
        <v>0</v>
      </c>
      <c r="K124" s="9">
        <v>200</v>
      </c>
      <c r="L124" s="9"/>
      <c r="M124" s="24">
        <f>+Tabla1[[#This Row],[Costo Venta]]/Tabla1[[#This Row],[Cantidad]]</f>
        <v>0</v>
      </c>
      <c r="N124" s="3">
        <v>1</v>
      </c>
      <c r="O124" s="8">
        <f>+Tabla1[[#This Row],[Conversión]]*Tabla1[[#This Row],[Cantidad]]</f>
        <v>1</v>
      </c>
      <c r="P124" s="43">
        <f>Tabla1[[#This Row],[Neto]]-Tabla1[[#This Row],[Costo Venta]]</f>
        <v>200</v>
      </c>
    </row>
    <row r="125" spans="1:16" x14ac:dyDescent="0.25">
      <c r="A125" s="48">
        <v>45252</v>
      </c>
      <c r="B125" s="1" t="s">
        <v>108</v>
      </c>
      <c r="C125" s="1" t="s">
        <v>81</v>
      </c>
      <c r="D125" s="1" t="s">
        <v>263</v>
      </c>
      <c r="E125" s="1" t="s">
        <v>71</v>
      </c>
      <c r="F125" s="1" t="s">
        <v>264</v>
      </c>
      <c r="G125" s="2">
        <v>1</v>
      </c>
      <c r="H125" s="1" t="s">
        <v>112</v>
      </c>
      <c r="I125" s="44">
        <f>Tabla1[[#This Row],[Descuento]]+Tabla1[[#This Row],[Neto]]</f>
        <v>40</v>
      </c>
      <c r="J125" s="9">
        <v>0</v>
      </c>
      <c r="K125" s="9">
        <v>40</v>
      </c>
      <c r="L125" s="9"/>
      <c r="M125" s="24">
        <f>+Tabla1[[#This Row],[Costo Venta]]/Tabla1[[#This Row],[Cantidad]]</f>
        <v>0</v>
      </c>
      <c r="N125" s="3">
        <v>1</v>
      </c>
      <c r="O125" s="8">
        <f>+Tabla1[[#This Row],[Conversión]]*Tabla1[[#This Row],[Cantidad]]</f>
        <v>1</v>
      </c>
      <c r="P125" s="43">
        <f>Tabla1[[#This Row],[Neto]]-Tabla1[[#This Row],[Costo Venta]]</f>
        <v>40</v>
      </c>
    </row>
    <row r="126" spans="1:16" x14ac:dyDescent="0.25">
      <c r="A126" s="48">
        <v>45252</v>
      </c>
      <c r="B126" s="1" t="s">
        <v>108</v>
      </c>
      <c r="C126" s="1" t="s">
        <v>214</v>
      </c>
      <c r="D126" s="1" t="s">
        <v>265</v>
      </c>
      <c r="E126" s="1" t="s">
        <v>71</v>
      </c>
      <c r="F126" s="1" t="s">
        <v>253</v>
      </c>
      <c r="G126" s="2">
        <v>1</v>
      </c>
      <c r="H126" s="1" t="s">
        <v>112</v>
      </c>
      <c r="I126" s="44">
        <f>Tabla1[[#This Row],[Descuento]]+Tabla1[[#This Row],[Neto]]</f>
        <v>30</v>
      </c>
      <c r="J126" s="9">
        <v>0</v>
      </c>
      <c r="K126" s="9">
        <v>30</v>
      </c>
      <c r="L126" s="9"/>
      <c r="M126" s="24">
        <f>+Tabla1[[#This Row],[Costo Venta]]/Tabla1[[#This Row],[Cantidad]]</f>
        <v>0</v>
      </c>
      <c r="N126" s="3">
        <v>1</v>
      </c>
      <c r="O126" s="8">
        <f>+Tabla1[[#This Row],[Conversión]]*Tabla1[[#This Row],[Cantidad]]</f>
        <v>1</v>
      </c>
      <c r="P126" s="43">
        <f>Tabla1[[#This Row],[Neto]]-Tabla1[[#This Row],[Costo Venta]]</f>
        <v>30</v>
      </c>
    </row>
    <row r="127" spans="1:16" x14ac:dyDescent="0.25">
      <c r="A127" s="48">
        <v>45252</v>
      </c>
      <c r="B127" s="1" t="s">
        <v>108</v>
      </c>
      <c r="C127" s="1" t="s">
        <v>214</v>
      </c>
      <c r="D127" s="1" t="s">
        <v>266</v>
      </c>
      <c r="E127" s="1" t="s">
        <v>71</v>
      </c>
      <c r="F127" s="1" t="s">
        <v>253</v>
      </c>
      <c r="G127" s="2">
        <v>1</v>
      </c>
      <c r="H127" s="1" t="s">
        <v>112</v>
      </c>
      <c r="I127" s="44">
        <f>Tabla1[[#This Row],[Descuento]]+Tabla1[[#This Row],[Neto]]</f>
        <v>30</v>
      </c>
      <c r="J127" s="9">
        <v>0</v>
      </c>
      <c r="K127" s="9">
        <v>30</v>
      </c>
      <c r="L127" s="9"/>
      <c r="M127" s="24">
        <f>+Tabla1[[#This Row],[Costo Venta]]/Tabla1[[#This Row],[Cantidad]]</f>
        <v>0</v>
      </c>
      <c r="N127" s="3">
        <v>1</v>
      </c>
      <c r="O127" s="8">
        <f>+Tabla1[[#This Row],[Conversión]]*Tabla1[[#This Row],[Cantidad]]</f>
        <v>1</v>
      </c>
      <c r="P127" s="43">
        <f>Tabla1[[#This Row],[Neto]]-Tabla1[[#This Row],[Costo Venta]]</f>
        <v>30</v>
      </c>
    </row>
    <row r="128" spans="1:16" x14ac:dyDescent="0.25">
      <c r="A128" s="48">
        <v>45260</v>
      </c>
      <c r="B128" s="1" t="s">
        <v>108</v>
      </c>
      <c r="C128" s="1" t="s">
        <v>214</v>
      </c>
      <c r="D128" s="1" t="s">
        <v>267</v>
      </c>
      <c r="E128" s="1" t="s">
        <v>71</v>
      </c>
      <c r="F128" s="1" t="s">
        <v>22</v>
      </c>
      <c r="G128" s="2">
        <v>1</v>
      </c>
      <c r="H128" s="1" t="s">
        <v>112</v>
      </c>
      <c r="I128" s="44">
        <f>Tabla1[[#This Row],[Descuento]]+Tabla1[[#This Row],[Neto]]</f>
        <v>90</v>
      </c>
      <c r="J128" s="9">
        <v>0</v>
      </c>
      <c r="K128" s="9">
        <v>90</v>
      </c>
      <c r="L128" s="9"/>
      <c r="M128" s="24">
        <f>+Tabla1[[#This Row],[Costo Venta]]/Tabla1[[#This Row],[Cantidad]]</f>
        <v>0</v>
      </c>
      <c r="N128" s="3">
        <v>1</v>
      </c>
      <c r="O128" s="8">
        <f>+Tabla1[[#This Row],[Conversión]]*Tabla1[[#This Row],[Cantidad]]</f>
        <v>1</v>
      </c>
      <c r="P128" s="43">
        <f>Tabla1[[#This Row],[Neto]]-Tabla1[[#This Row],[Costo Venta]]</f>
        <v>90</v>
      </c>
    </row>
    <row r="129" spans="1:16" x14ac:dyDescent="0.25">
      <c r="A129" s="48">
        <v>45264</v>
      </c>
      <c r="B129" s="1" t="s">
        <v>108</v>
      </c>
      <c r="C129" s="1" t="s">
        <v>214</v>
      </c>
      <c r="D129" s="1" t="s">
        <v>268</v>
      </c>
      <c r="E129" s="1" t="s">
        <v>71</v>
      </c>
      <c r="F129" s="1" t="s">
        <v>269</v>
      </c>
      <c r="G129" s="2">
        <v>1</v>
      </c>
      <c r="H129" s="1" t="s">
        <v>112</v>
      </c>
      <c r="I129" s="44">
        <f>Tabla1[[#This Row],[Descuento]]+Tabla1[[#This Row],[Neto]]</f>
        <v>120</v>
      </c>
      <c r="J129" s="9">
        <v>0</v>
      </c>
      <c r="K129" s="9">
        <v>120</v>
      </c>
      <c r="L129" s="9"/>
      <c r="M129" s="24">
        <f>+Tabla1[[#This Row],[Costo Venta]]/Tabla1[[#This Row],[Cantidad]]</f>
        <v>0</v>
      </c>
      <c r="N129" s="3">
        <v>1</v>
      </c>
      <c r="O129" s="8">
        <f>+Tabla1[[#This Row],[Conversión]]*Tabla1[[#This Row],[Cantidad]]</f>
        <v>1</v>
      </c>
      <c r="P129" s="43">
        <f>Tabla1[[#This Row],[Neto]]-Tabla1[[#This Row],[Costo Venta]]</f>
        <v>120</v>
      </c>
    </row>
    <row r="130" spans="1:16" x14ac:dyDescent="0.25">
      <c r="A130" s="48">
        <v>45267</v>
      </c>
      <c r="B130" s="1" t="s">
        <v>108</v>
      </c>
      <c r="C130" s="1" t="s">
        <v>81</v>
      </c>
      <c r="D130" s="1" t="s">
        <v>270</v>
      </c>
      <c r="E130" s="1" t="s">
        <v>132</v>
      </c>
      <c r="F130" s="1" t="s">
        <v>271</v>
      </c>
      <c r="G130" s="2">
        <v>1</v>
      </c>
      <c r="H130" s="1" t="s">
        <v>112</v>
      </c>
      <c r="I130" s="44">
        <f>Tabla1[[#This Row],[Descuento]]+Tabla1[[#This Row],[Neto]]</f>
        <v>80</v>
      </c>
      <c r="J130" s="9">
        <v>0</v>
      </c>
      <c r="K130" s="9">
        <v>80</v>
      </c>
      <c r="L130" s="9"/>
      <c r="M130" s="24">
        <f>+Tabla1[[#This Row],[Costo Venta]]/Tabla1[[#This Row],[Cantidad]]</f>
        <v>0</v>
      </c>
      <c r="N130" s="3">
        <v>1</v>
      </c>
      <c r="O130" s="8">
        <f>+Tabla1[[#This Row],[Conversión]]*Tabla1[[#This Row],[Cantidad]]</f>
        <v>1</v>
      </c>
      <c r="P130" s="43">
        <f>Tabla1[[#This Row],[Neto]]-Tabla1[[#This Row],[Costo Venta]]</f>
        <v>80</v>
      </c>
    </row>
    <row r="131" spans="1:16" x14ac:dyDescent="0.25">
      <c r="A131" s="48">
        <v>45283</v>
      </c>
      <c r="B131" s="1" t="s">
        <v>108</v>
      </c>
      <c r="C131" s="1" t="s">
        <v>214</v>
      </c>
      <c r="D131" s="1" t="s">
        <v>272</v>
      </c>
      <c r="E131" s="1" t="s">
        <v>71</v>
      </c>
      <c r="F131" s="1" t="s">
        <v>256</v>
      </c>
      <c r="G131" s="2">
        <v>1</v>
      </c>
      <c r="H131" s="1" t="s">
        <v>112</v>
      </c>
      <c r="I131" s="44">
        <f>Tabla1[[#This Row],[Descuento]]+Tabla1[[#This Row],[Neto]]</f>
        <v>40</v>
      </c>
      <c r="J131" s="9">
        <v>0</v>
      </c>
      <c r="K131" s="9">
        <v>40</v>
      </c>
      <c r="L131" s="9"/>
      <c r="M131" s="24">
        <f>+Tabla1[[#This Row],[Costo Venta]]/Tabla1[[#This Row],[Cantidad]]</f>
        <v>0</v>
      </c>
      <c r="N131" s="3">
        <v>1</v>
      </c>
      <c r="O131" s="8">
        <f>+Tabla1[[#This Row],[Conversión]]*Tabla1[[#This Row],[Cantidad]]</f>
        <v>1</v>
      </c>
      <c r="P131" s="43">
        <f>Tabla1[[#This Row],[Neto]]-Tabla1[[#This Row],[Costo Venta]]</f>
        <v>40</v>
      </c>
    </row>
    <row r="132" spans="1:16" x14ac:dyDescent="0.25">
      <c r="A132" s="48">
        <v>45283</v>
      </c>
      <c r="B132" s="1" t="s">
        <v>108</v>
      </c>
      <c r="C132" s="1" t="s">
        <v>29</v>
      </c>
      <c r="D132" s="1" t="s">
        <v>273</v>
      </c>
      <c r="E132" s="1" t="s">
        <v>71</v>
      </c>
      <c r="F132" s="1" t="s">
        <v>274</v>
      </c>
      <c r="G132" s="2">
        <v>1</v>
      </c>
      <c r="H132" s="1" t="s">
        <v>112</v>
      </c>
      <c r="I132" s="44">
        <f>Tabla1[[#This Row],[Descuento]]+Tabla1[[#This Row],[Neto]]</f>
        <v>325</v>
      </c>
      <c r="J132" s="9">
        <v>0</v>
      </c>
      <c r="K132" s="9">
        <v>325</v>
      </c>
      <c r="L132" s="9"/>
      <c r="M132" s="24">
        <f>+Tabla1[[#This Row],[Costo Venta]]/Tabla1[[#This Row],[Cantidad]]</f>
        <v>0</v>
      </c>
      <c r="N132" s="3">
        <v>1</v>
      </c>
      <c r="O132" s="8">
        <f>+Tabla1[[#This Row],[Conversión]]*Tabla1[[#This Row],[Cantidad]]</f>
        <v>1</v>
      </c>
      <c r="P132" s="43">
        <f>Tabla1[[#This Row],[Neto]]-Tabla1[[#This Row],[Costo Venta]]</f>
        <v>325</v>
      </c>
    </row>
    <row r="133" spans="1:16" x14ac:dyDescent="0.25">
      <c r="A133" s="48">
        <v>45293</v>
      </c>
      <c r="B133" s="1" t="s">
        <v>108</v>
      </c>
      <c r="C133" s="1" t="s">
        <v>65</v>
      </c>
      <c r="D133" s="1" t="s">
        <v>275</v>
      </c>
      <c r="E133" s="1" t="s">
        <v>71</v>
      </c>
      <c r="F133" s="1" t="s">
        <v>276</v>
      </c>
      <c r="G133" s="2">
        <v>1</v>
      </c>
      <c r="H133" s="1" t="s">
        <v>112</v>
      </c>
      <c r="I133" s="44">
        <f>Tabla1[[#This Row],[Descuento]]+Tabla1[[#This Row],[Neto]]</f>
        <v>60</v>
      </c>
      <c r="J133" s="9">
        <v>0</v>
      </c>
      <c r="K133" s="9">
        <v>60</v>
      </c>
      <c r="L133" s="9"/>
      <c r="M133" s="24">
        <f>+Tabla1[[#This Row],[Costo Venta]]/Tabla1[[#This Row],[Cantidad]]</f>
        <v>0</v>
      </c>
      <c r="N133" s="3">
        <v>1</v>
      </c>
      <c r="O133" s="8">
        <f>+Tabla1[[#This Row],[Conversión]]*Tabla1[[#This Row],[Cantidad]]</f>
        <v>1</v>
      </c>
      <c r="P133" s="43">
        <f>Tabla1[[#This Row],[Neto]]-Tabla1[[#This Row],[Costo Venta]]</f>
        <v>60</v>
      </c>
    </row>
    <row r="134" spans="1:16" x14ac:dyDescent="0.25">
      <c r="A134" s="48">
        <v>45294</v>
      </c>
      <c r="B134" s="1" t="s">
        <v>108</v>
      </c>
      <c r="C134" s="1" t="s">
        <v>214</v>
      </c>
      <c r="D134" s="1" t="s">
        <v>277</v>
      </c>
      <c r="E134" s="1" t="s">
        <v>71</v>
      </c>
      <c r="F134" s="1" t="s">
        <v>278</v>
      </c>
      <c r="G134" s="2">
        <v>1</v>
      </c>
      <c r="H134" s="1" t="s">
        <v>112</v>
      </c>
      <c r="I134" s="44">
        <f>Tabla1[[#This Row],[Descuento]]+Tabla1[[#This Row],[Neto]]</f>
        <v>40</v>
      </c>
      <c r="J134" s="9">
        <v>0</v>
      </c>
      <c r="K134" s="9">
        <v>40</v>
      </c>
      <c r="L134" s="9"/>
      <c r="M134" s="24">
        <f>+Tabla1[[#This Row],[Costo Venta]]/Tabla1[[#This Row],[Cantidad]]</f>
        <v>0</v>
      </c>
      <c r="N134" s="3">
        <v>1</v>
      </c>
      <c r="O134" s="8">
        <f>+Tabla1[[#This Row],[Conversión]]*Tabla1[[#This Row],[Cantidad]]</f>
        <v>1</v>
      </c>
      <c r="P134" s="43">
        <f>Tabla1[[#This Row],[Neto]]-Tabla1[[#This Row],[Costo Venta]]</f>
        <v>40</v>
      </c>
    </row>
    <row r="135" spans="1:16" x14ac:dyDescent="0.25">
      <c r="A135" s="48">
        <v>45307</v>
      </c>
      <c r="B135" s="1" t="s">
        <v>108</v>
      </c>
      <c r="C135" s="1" t="s">
        <v>214</v>
      </c>
      <c r="D135" s="1" t="s">
        <v>279</v>
      </c>
      <c r="E135" s="1" t="s">
        <v>71</v>
      </c>
      <c r="F135" s="1" t="s">
        <v>280</v>
      </c>
      <c r="G135" s="2">
        <v>1</v>
      </c>
      <c r="H135" s="1" t="s">
        <v>112</v>
      </c>
      <c r="I135" s="44">
        <f>Tabla1[[#This Row],[Descuento]]+Tabla1[[#This Row],[Neto]]</f>
        <v>110</v>
      </c>
      <c r="J135" s="9">
        <v>0</v>
      </c>
      <c r="K135" s="9">
        <v>110</v>
      </c>
      <c r="L135" s="9"/>
      <c r="M135" s="24">
        <f>+Tabla1[[#This Row],[Costo Venta]]/Tabla1[[#This Row],[Cantidad]]</f>
        <v>0</v>
      </c>
      <c r="N135" s="3">
        <v>1</v>
      </c>
      <c r="O135" s="8">
        <f>+Tabla1[[#This Row],[Conversión]]*Tabla1[[#This Row],[Cantidad]]</f>
        <v>1</v>
      </c>
      <c r="P135" s="43">
        <f>Tabla1[[#This Row],[Neto]]-Tabla1[[#This Row],[Costo Venta]]</f>
        <v>110</v>
      </c>
    </row>
    <row r="136" spans="1:16" x14ac:dyDescent="0.25">
      <c r="A136" s="48">
        <v>45316</v>
      </c>
      <c r="B136" s="1" t="s">
        <v>108</v>
      </c>
      <c r="C136" s="1" t="s">
        <v>81</v>
      </c>
      <c r="D136" s="1" t="s">
        <v>281</v>
      </c>
      <c r="E136" s="1" t="s">
        <v>137</v>
      </c>
      <c r="F136" s="1" t="s">
        <v>183</v>
      </c>
      <c r="G136" s="2">
        <v>1</v>
      </c>
      <c r="H136" s="1" t="s">
        <v>112</v>
      </c>
      <c r="I136" s="44">
        <f>Tabla1[[#This Row],[Descuento]]+Tabla1[[#This Row],[Neto]]</f>
        <v>60</v>
      </c>
      <c r="J136" s="9">
        <v>0</v>
      </c>
      <c r="K136" s="9">
        <v>60</v>
      </c>
      <c r="L136" s="9"/>
      <c r="M136" s="24">
        <f>+Tabla1[[#This Row],[Costo Venta]]/Tabla1[[#This Row],[Cantidad]]</f>
        <v>0</v>
      </c>
      <c r="N136" s="3">
        <v>1</v>
      </c>
      <c r="O136" s="8">
        <f>+Tabla1[[#This Row],[Conversión]]*Tabla1[[#This Row],[Cantidad]]</f>
        <v>1</v>
      </c>
      <c r="P136" s="43">
        <f>Tabla1[[#This Row],[Neto]]-Tabla1[[#This Row],[Costo Venta]]</f>
        <v>60</v>
      </c>
    </row>
    <row r="137" spans="1:16" x14ac:dyDescent="0.25">
      <c r="A137" s="48">
        <v>45322</v>
      </c>
      <c r="B137" s="1" t="s">
        <v>108</v>
      </c>
      <c r="C137" s="1" t="s">
        <v>81</v>
      </c>
      <c r="D137" s="1" t="s">
        <v>282</v>
      </c>
      <c r="E137" s="1" t="s">
        <v>71</v>
      </c>
      <c r="F137" s="1" t="s">
        <v>283</v>
      </c>
      <c r="G137" s="2">
        <v>1</v>
      </c>
      <c r="H137" s="1" t="s">
        <v>112</v>
      </c>
      <c r="I137" s="44">
        <f>Tabla1[[#This Row],[Descuento]]+Tabla1[[#This Row],[Neto]]</f>
        <v>40</v>
      </c>
      <c r="J137" s="9">
        <v>0</v>
      </c>
      <c r="K137" s="9">
        <v>40</v>
      </c>
      <c r="L137" s="9"/>
      <c r="M137" s="24">
        <f>+Tabla1[[#This Row],[Costo Venta]]/Tabla1[[#This Row],[Cantidad]]</f>
        <v>0</v>
      </c>
      <c r="N137" s="3">
        <v>1</v>
      </c>
      <c r="O137" s="8">
        <f>+Tabla1[[#This Row],[Conversión]]*Tabla1[[#This Row],[Cantidad]]</f>
        <v>1</v>
      </c>
      <c r="P137" s="43">
        <f>Tabla1[[#This Row],[Neto]]-Tabla1[[#This Row],[Costo Venta]]</f>
        <v>40</v>
      </c>
    </row>
    <row r="138" spans="1:16" x14ac:dyDescent="0.25">
      <c r="A138" s="48">
        <v>45327</v>
      </c>
      <c r="B138" s="1" t="s">
        <v>108</v>
      </c>
      <c r="C138" s="1" t="s">
        <v>81</v>
      </c>
      <c r="D138" s="1" t="s">
        <v>284</v>
      </c>
      <c r="E138" s="1" t="s">
        <v>132</v>
      </c>
      <c r="F138" s="1" t="s">
        <v>133</v>
      </c>
      <c r="G138" s="2">
        <v>1</v>
      </c>
      <c r="H138" s="1" t="s">
        <v>112</v>
      </c>
      <c r="I138" s="44">
        <f>Tabla1[[#This Row],[Descuento]]+Tabla1[[#This Row],[Neto]]</f>
        <v>50</v>
      </c>
      <c r="J138" s="9">
        <v>0</v>
      </c>
      <c r="K138" s="9">
        <v>50</v>
      </c>
      <c r="L138" s="9"/>
      <c r="M138" s="24">
        <f>+Tabla1[[#This Row],[Costo Venta]]/Tabla1[[#This Row],[Cantidad]]</f>
        <v>0</v>
      </c>
      <c r="N138" s="3">
        <v>1</v>
      </c>
      <c r="O138" s="8">
        <f>+Tabla1[[#This Row],[Conversión]]*Tabla1[[#This Row],[Cantidad]]</f>
        <v>1</v>
      </c>
      <c r="P138" s="43">
        <f>Tabla1[[#This Row],[Neto]]-Tabla1[[#This Row],[Costo Venta]]</f>
        <v>50</v>
      </c>
    </row>
    <row r="139" spans="1:16" x14ac:dyDescent="0.25">
      <c r="A139" s="48">
        <v>45327</v>
      </c>
      <c r="B139" s="1" t="s">
        <v>108</v>
      </c>
      <c r="C139" s="1" t="s">
        <v>81</v>
      </c>
      <c r="D139" s="1" t="s">
        <v>285</v>
      </c>
      <c r="E139" s="1" t="s">
        <v>132</v>
      </c>
      <c r="F139" s="1" t="s">
        <v>133</v>
      </c>
      <c r="G139" s="2">
        <v>1</v>
      </c>
      <c r="H139" s="1" t="s">
        <v>112</v>
      </c>
      <c r="I139" s="44">
        <f>Tabla1[[#This Row],[Descuento]]+Tabla1[[#This Row],[Neto]]</f>
        <v>50</v>
      </c>
      <c r="J139" s="9">
        <v>0</v>
      </c>
      <c r="K139" s="9">
        <v>50</v>
      </c>
      <c r="L139" s="9"/>
      <c r="M139" s="24">
        <f>+Tabla1[[#This Row],[Costo Venta]]/Tabla1[[#This Row],[Cantidad]]</f>
        <v>0</v>
      </c>
      <c r="N139" s="3">
        <v>1</v>
      </c>
      <c r="O139" s="8">
        <f>+Tabla1[[#This Row],[Conversión]]*Tabla1[[#This Row],[Cantidad]]</f>
        <v>1</v>
      </c>
      <c r="P139" s="43">
        <f>Tabla1[[#This Row],[Neto]]-Tabla1[[#This Row],[Costo Venta]]</f>
        <v>50</v>
      </c>
    </row>
    <row r="140" spans="1:16" x14ac:dyDescent="0.25">
      <c r="A140" s="48">
        <v>45327</v>
      </c>
      <c r="B140" s="1" t="s">
        <v>108</v>
      </c>
      <c r="C140" s="1" t="s">
        <v>81</v>
      </c>
      <c r="D140" s="1" t="s">
        <v>286</v>
      </c>
      <c r="E140" s="1" t="s">
        <v>71</v>
      </c>
      <c r="F140" s="1" t="s">
        <v>287</v>
      </c>
      <c r="G140" s="2">
        <v>1</v>
      </c>
      <c r="H140" s="1" t="s">
        <v>112</v>
      </c>
      <c r="I140" s="44">
        <f>Tabla1[[#This Row],[Descuento]]+Tabla1[[#This Row],[Neto]]</f>
        <v>50</v>
      </c>
      <c r="J140" s="9">
        <v>0</v>
      </c>
      <c r="K140" s="9">
        <v>50</v>
      </c>
      <c r="L140" s="9"/>
      <c r="M140" s="24">
        <f>+Tabla1[[#This Row],[Costo Venta]]/Tabla1[[#This Row],[Cantidad]]</f>
        <v>0</v>
      </c>
      <c r="N140" s="3">
        <v>1</v>
      </c>
      <c r="O140" s="8">
        <f>+Tabla1[[#This Row],[Conversión]]*Tabla1[[#This Row],[Cantidad]]</f>
        <v>1</v>
      </c>
      <c r="P140" s="43">
        <f>Tabla1[[#This Row],[Neto]]-Tabla1[[#This Row],[Costo Venta]]</f>
        <v>50</v>
      </c>
    </row>
    <row r="141" spans="1:16" x14ac:dyDescent="0.25">
      <c r="A141" s="48">
        <v>45342</v>
      </c>
      <c r="B141" s="1" t="s">
        <v>108</v>
      </c>
      <c r="C141" s="1" t="s">
        <v>81</v>
      </c>
      <c r="D141" s="1" t="s">
        <v>288</v>
      </c>
      <c r="E141" s="1" t="s">
        <v>71</v>
      </c>
      <c r="F141" s="1" t="s">
        <v>289</v>
      </c>
      <c r="G141" s="2">
        <v>1</v>
      </c>
      <c r="H141" s="1" t="s">
        <v>112</v>
      </c>
      <c r="I141" s="44">
        <f>Tabla1[[#This Row],[Descuento]]+Tabla1[[#This Row],[Neto]]</f>
        <v>120</v>
      </c>
      <c r="J141" s="9">
        <v>0</v>
      </c>
      <c r="K141" s="9">
        <v>120</v>
      </c>
      <c r="L141" s="9"/>
      <c r="M141" s="24">
        <f>+Tabla1[[#This Row],[Costo Venta]]/Tabla1[[#This Row],[Cantidad]]</f>
        <v>0</v>
      </c>
      <c r="N141" s="3">
        <v>1</v>
      </c>
      <c r="O141" s="8">
        <f>+Tabla1[[#This Row],[Conversión]]*Tabla1[[#This Row],[Cantidad]]</f>
        <v>1</v>
      </c>
      <c r="P141" s="43">
        <f>Tabla1[[#This Row],[Neto]]-Tabla1[[#This Row],[Costo Venta]]</f>
        <v>120</v>
      </c>
    </row>
    <row r="142" spans="1:16" x14ac:dyDescent="0.25">
      <c r="A142" s="48">
        <v>45342</v>
      </c>
      <c r="B142" s="1" t="s">
        <v>108</v>
      </c>
      <c r="C142" s="1" t="s">
        <v>29</v>
      </c>
      <c r="D142" s="1" t="s">
        <v>290</v>
      </c>
      <c r="E142" s="1" t="s">
        <v>132</v>
      </c>
      <c r="F142" s="1" t="s">
        <v>291</v>
      </c>
      <c r="G142" s="2">
        <v>1</v>
      </c>
      <c r="H142" s="1" t="s">
        <v>112</v>
      </c>
      <c r="I142" s="44">
        <f>Tabla1[[#This Row],[Descuento]]+Tabla1[[#This Row],[Neto]]</f>
        <v>150</v>
      </c>
      <c r="J142" s="9">
        <v>0</v>
      </c>
      <c r="K142" s="9">
        <v>150</v>
      </c>
      <c r="L142" s="9"/>
      <c r="M142" s="24">
        <f>+Tabla1[[#This Row],[Costo Venta]]/Tabla1[[#This Row],[Cantidad]]</f>
        <v>0</v>
      </c>
      <c r="N142" s="3">
        <v>1</v>
      </c>
      <c r="O142" s="8">
        <f>+Tabla1[[#This Row],[Conversión]]*Tabla1[[#This Row],[Cantidad]]</f>
        <v>1</v>
      </c>
      <c r="P142" s="43">
        <f>Tabla1[[#This Row],[Neto]]-Tabla1[[#This Row],[Costo Venta]]</f>
        <v>150</v>
      </c>
    </row>
    <row r="143" spans="1:16" x14ac:dyDescent="0.25">
      <c r="A143" s="48">
        <v>45352</v>
      </c>
      <c r="B143" s="1" t="s">
        <v>108</v>
      </c>
      <c r="C143" s="1" t="s">
        <v>81</v>
      </c>
      <c r="D143" s="1" t="s">
        <v>292</v>
      </c>
      <c r="E143" s="1" t="s">
        <v>71</v>
      </c>
      <c r="F143" s="1" t="s">
        <v>293</v>
      </c>
      <c r="G143" s="2">
        <v>1</v>
      </c>
      <c r="H143" s="1" t="s">
        <v>112</v>
      </c>
      <c r="I143" s="44">
        <f>Tabla1[[#This Row],[Descuento]]+Tabla1[[#This Row],[Neto]]</f>
        <v>50</v>
      </c>
      <c r="J143" s="9">
        <v>0</v>
      </c>
      <c r="K143" s="9">
        <v>50</v>
      </c>
      <c r="L143" s="9"/>
      <c r="M143" s="24">
        <f>+Tabla1[[#This Row],[Costo Venta]]/Tabla1[[#This Row],[Cantidad]]</f>
        <v>0</v>
      </c>
      <c r="N143" s="3">
        <v>1</v>
      </c>
      <c r="O143" s="8">
        <f>+Tabla1[[#This Row],[Conversión]]*Tabla1[[#This Row],[Cantidad]]</f>
        <v>1</v>
      </c>
      <c r="P143" s="43">
        <f>Tabla1[[#This Row],[Neto]]-Tabla1[[#This Row],[Costo Venta]]</f>
        <v>50</v>
      </c>
    </row>
    <row r="144" spans="1:16" x14ac:dyDescent="0.25">
      <c r="A144" s="48">
        <v>45352</v>
      </c>
      <c r="B144" s="1" t="s">
        <v>108</v>
      </c>
      <c r="C144" s="1" t="s">
        <v>81</v>
      </c>
      <c r="D144" s="1" t="s">
        <v>294</v>
      </c>
      <c r="E144" s="1" t="s">
        <v>132</v>
      </c>
      <c r="F144" s="1" t="s">
        <v>295</v>
      </c>
      <c r="G144" s="2">
        <v>1</v>
      </c>
      <c r="H144" s="1" t="s">
        <v>112</v>
      </c>
      <c r="I144" s="44">
        <f>Tabla1[[#This Row],[Descuento]]+Tabla1[[#This Row],[Neto]]</f>
        <v>300</v>
      </c>
      <c r="J144" s="9">
        <v>0</v>
      </c>
      <c r="K144" s="9">
        <v>300</v>
      </c>
      <c r="L144" s="9"/>
      <c r="M144" s="24">
        <f>+Tabla1[[#This Row],[Costo Venta]]/Tabla1[[#This Row],[Cantidad]]</f>
        <v>0</v>
      </c>
      <c r="N144" s="3">
        <v>1</v>
      </c>
      <c r="O144" s="8">
        <f>+Tabla1[[#This Row],[Conversión]]*Tabla1[[#This Row],[Cantidad]]</f>
        <v>1</v>
      </c>
      <c r="P144" s="43">
        <f>Tabla1[[#This Row],[Neto]]-Tabla1[[#This Row],[Costo Venta]]</f>
        <v>300</v>
      </c>
    </row>
    <row r="145" spans="1:16" x14ac:dyDescent="0.25">
      <c r="A145" s="48">
        <v>45357</v>
      </c>
      <c r="B145" s="1" t="s">
        <v>108</v>
      </c>
      <c r="C145" s="1" t="s">
        <v>81</v>
      </c>
      <c r="D145" s="1" t="s">
        <v>296</v>
      </c>
      <c r="E145" s="1" t="s">
        <v>71</v>
      </c>
      <c r="F145" s="1" t="s">
        <v>297</v>
      </c>
      <c r="G145" s="2">
        <v>1</v>
      </c>
      <c r="H145" s="1" t="s">
        <v>112</v>
      </c>
      <c r="I145" s="44">
        <f>Tabla1[[#This Row],[Descuento]]+Tabla1[[#This Row],[Neto]]</f>
        <v>40</v>
      </c>
      <c r="J145" s="9">
        <v>0</v>
      </c>
      <c r="K145" s="9">
        <v>40</v>
      </c>
      <c r="L145" s="9"/>
      <c r="M145" s="24">
        <f>+Tabla1[[#This Row],[Costo Venta]]/Tabla1[[#This Row],[Cantidad]]</f>
        <v>0</v>
      </c>
      <c r="N145" s="3">
        <v>1</v>
      </c>
      <c r="O145" s="8">
        <f>+Tabla1[[#This Row],[Conversión]]*Tabla1[[#This Row],[Cantidad]]</f>
        <v>1</v>
      </c>
      <c r="P145" s="43">
        <f>Tabla1[[#This Row],[Neto]]-Tabla1[[#This Row],[Costo Venta]]</f>
        <v>40</v>
      </c>
    </row>
    <row r="146" spans="1:16" x14ac:dyDescent="0.25">
      <c r="A146" s="48">
        <v>45357</v>
      </c>
      <c r="B146" s="1" t="s">
        <v>108</v>
      </c>
      <c r="C146" s="1" t="s">
        <v>81</v>
      </c>
      <c r="D146" s="1" t="s">
        <v>298</v>
      </c>
      <c r="E146" s="1" t="s">
        <v>71</v>
      </c>
      <c r="F146" s="1" t="s">
        <v>297</v>
      </c>
      <c r="G146" s="2">
        <v>1</v>
      </c>
      <c r="H146" s="1" t="s">
        <v>112</v>
      </c>
      <c r="I146" s="44">
        <f>Tabla1[[#This Row],[Descuento]]+Tabla1[[#This Row],[Neto]]</f>
        <v>10</v>
      </c>
      <c r="J146" s="9">
        <v>0</v>
      </c>
      <c r="K146" s="9">
        <v>10</v>
      </c>
      <c r="L146" s="9"/>
      <c r="M146" s="24">
        <f>+Tabla1[[#This Row],[Costo Venta]]/Tabla1[[#This Row],[Cantidad]]</f>
        <v>0</v>
      </c>
      <c r="N146" s="3">
        <v>1</v>
      </c>
      <c r="O146" s="8">
        <f>+Tabla1[[#This Row],[Conversión]]*Tabla1[[#This Row],[Cantidad]]</f>
        <v>1</v>
      </c>
      <c r="P146" s="43">
        <f>Tabla1[[#This Row],[Neto]]-Tabla1[[#This Row],[Costo Venta]]</f>
        <v>10</v>
      </c>
    </row>
    <row r="147" spans="1:16" x14ac:dyDescent="0.25">
      <c r="A147" s="48">
        <v>45369</v>
      </c>
      <c r="B147" s="1" t="s">
        <v>108</v>
      </c>
      <c r="C147" s="1" t="s">
        <v>65</v>
      </c>
      <c r="D147" s="1" t="s">
        <v>299</v>
      </c>
      <c r="E147" s="1" t="s">
        <v>71</v>
      </c>
      <c r="F147" s="1" t="s">
        <v>300</v>
      </c>
      <c r="G147" s="2">
        <v>1</v>
      </c>
      <c r="H147" s="1" t="s">
        <v>112</v>
      </c>
      <c r="I147" s="44">
        <f>Tabla1[[#This Row],[Descuento]]+Tabla1[[#This Row],[Neto]]</f>
        <v>30</v>
      </c>
      <c r="J147" s="9">
        <v>0</v>
      </c>
      <c r="K147" s="9">
        <v>30</v>
      </c>
      <c r="L147" s="9"/>
      <c r="M147" s="24">
        <f>+Tabla1[[#This Row],[Costo Venta]]/Tabla1[[#This Row],[Cantidad]]</f>
        <v>0</v>
      </c>
      <c r="N147" s="3">
        <v>1</v>
      </c>
      <c r="O147" s="8">
        <f>+Tabla1[[#This Row],[Conversión]]*Tabla1[[#This Row],[Cantidad]]</f>
        <v>1</v>
      </c>
      <c r="P147" s="43">
        <f>Tabla1[[#This Row],[Neto]]-Tabla1[[#This Row],[Costo Venta]]</f>
        <v>30</v>
      </c>
    </row>
    <row r="148" spans="1:16" x14ac:dyDescent="0.25">
      <c r="A148" s="48">
        <v>45376</v>
      </c>
      <c r="B148" s="1" t="s">
        <v>108</v>
      </c>
      <c r="C148" s="1" t="s">
        <v>65</v>
      </c>
      <c r="D148" s="1" t="s">
        <v>301</v>
      </c>
      <c r="E148" s="1" t="s">
        <v>71</v>
      </c>
      <c r="F148" s="1" t="s">
        <v>302</v>
      </c>
      <c r="G148" s="2">
        <v>1</v>
      </c>
      <c r="H148" s="1" t="s">
        <v>112</v>
      </c>
      <c r="I148" s="44">
        <f>Tabla1[[#This Row],[Descuento]]+Tabla1[[#This Row],[Neto]]</f>
        <v>30</v>
      </c>
      <c r="J148" s="9">
        <v>0</v>
      </c>
      <c r="K148" s="9">
        <v>30</v>
      </c>
      <c r="L148" s="9"/>
      <c r="M148" s="24">
        <f>+Tabla1[[#This Row],[Costo Venta]]/Tabla1[[#This Row],[Cantidad]]</f>
        <v>0</v>
      </c>
      <c r="N148" s="3">
        <v>1</v>
      </c>
      <c r="O148" s="8">
        <f>+Tabla1[[#This Row],[Conversión]]*Tabla1[[#This Row],[Cantidad]]</f>
        <v>1</v>
      </c>
      <c r="P148" s="43">
        <f>Tabla1[[#This Row],[Neto]]-Tabla1[[#This Row],[Costo Venta]]</f>
        <v>30</v>
      </c>
    </row>
    <row r="149" spans="1:16" x14ac:dyDescent="0.25">
      <c r="A149" s="48">
        <v>45378</v>
      </c>
      <c r="B149" s="1" t="s">
        <v>108</v>
      </c>
      <c r="C149" s="1" t="s">
        <v>29</v>
      </c>
      <c r="D149" s="1" t="s">
        <v>303</v>
      </c>
      <c r="E149" s="1" t="s">
        <v>67</v>
      </c>
      <c r="F149" s="1" t="s">
        <v>33</v>
      </c>
      <c r="G149" s="2">
        <v>1</v>
      </c>
      <c r="H149" s="1" t="s">
        <v>112</v>
      </c>
      <c r="I149" s="44">
        <f>Tabla1[[#This Row],[Descuento]]+Tabla1[[#This Row],[Neto]]</f>
        <v>130</v>
      </c>
      <c r="J149" s="9">
        <v>0</v>
      </c>
      <c r="K149" s="9">
        <v>130</v>
      </c>
      <c r="L149" s="9"/>
      <c r="M149" s="24">
        <f>+Tabla1[[#This Row],[Costo Venta]]/Tabla1[[#This Row],[Cantidad]]</f>
        <v>0</v>
      </c>
      <c r="N149" s="3">
        <v>1</v>
      </c>
      <c r="O149" s="8">
        <f>+Tabla1[[#This Row],[Conversión]]*Tabla1[[#This Row],[Cantidad]]</f>
        <v>1</v>
      </c>
      <c r="P149" s="43">
        <f>Tabla1[[#This Row],[Neto]]-Tabla1[[#This Row],[Costo Venta]]</f>
        <v>130</v>
      </c>
    </row>
    <row r="150" spans="1:16" x14ac:dyDescent="0.25">
      <c r="A150" s="48">
        <v>45378</v>
      </c>
      <c r="B150" s="1" t="s">
        <v>108</v>
      </c>
      <c r="C150" s="1" t="s">
        <v>81</v>
      </c>
      <c r="D150" s="1" t="s">
        <v>304</v>
      </c>
      <c r="E150" s="1" t="s">
        <v>71</v>
      </c>
      <c r="F150" s="1" t="s">
        <v>305</v>
      </c>
      <c r="G150" s="2">
        <v>1</v>
      </c>
      <c r="H150" s="1" t="s">
        <v>112</v>
      </c>
      <c r="I150" s="44">
        <f>Tabla1[[#This Row],[Descuento]]+Tabla1[[#This Row],[Neto]]</f>
        <v>25</v>
      </c>
      <c r="J150" s="9">
        <v>0</v>
      </c>
      <c r="K150" s="9">
        <v>25</v>
      </c>
      <c r="L150" s="9"/>
      <c r="M150" s="24">
        <f>+Tabla1[[#This Row],[Costo Venta]]/Tabla1[[#This Row],[Cantidad]]</f>
        <v>0</v>
      </c>
      <c r="N150" s="3">
        <v>1</v>
      </c>
      <c r="O150" s="8">
        <f>+Tabla1[[#This Row],[Conversión]]*Tabla1[[#This Row],[Cantidad]]</f>
        <v>1</v>
      </c>
      <c r="P150" s="43">
        <f>Tabla1[[#This Row],[Neto]]-Tabla1[[#This Row],[Costo Venta]]</f>
        <v>25</v>
      </c>
    </row>
    <row r="151" spans="1:16" x14ac:dyDescent="0.25">
      <c r="A151" s="48">
        <v>45382</v>
      </c>
      <c r="B151" s="1" t="s">
        <v>108</v>
      </c>
      <c r="C151" s="1" t="s">
        <v>65</v>
      </c>
      <c r="D151" s="1" t="s">
        <v>306</v>
      </c>
      <c r="E151" s="1" t="s">
        <v>71</v>
      </c>
      <c r="F151" s="1" t="s">
        <v>307</v>
      </c>
      <c r="G151" s="2">
        <v>1</v>
      </c>
      <c r="H151" s="1" t="s">
        <v>112</v>
      </c>
      <c r="I151" s="44">
        <f>Tabla1[[#This Row],[Descuento]]+Tabla1[[#This Row],[Neto]]</f>
        <v>30</v>
      </c>
      <c r="J151" s="9">
        <v>0</v>
      </c>
      <c r="K151" s="9">
        <v>30</v>
      </c>
      <c r="L151" s="9"/>
      <c r="M151" s="24">
        <f>+Tabla1[[#This Row],[Costo Venta]]/Tabla1[[#This Row],[Cantidad]]</f>
        <v>0</v>
      </c>
      <c r="N151" s="3">
        <v>1</v>
      </c>
      <c r="O151" s="8">
        <f>+Tabla1[[#This Row],[Conversión]]*Tabla1[[#This Row],[Cantidad]]</f>
        <v>1</v>
      </c>
      <c r="P151" s="43">
        <f>Tabla1[[#This Row],[Neto]]-Tabla1[[#This Row],[Costo Venta]]</f>
        <v>30</v>
      </c>
    </row>
    <row r="152" spans="1:16" x14ac:dyDescent="0.25">
      <c r="A152" s="48">
        <v>45397</v>
      </c>
      <c r="B152" s="1" t="s">
        <v>108</v>
      </c>
      <c r="C152" s="1" t="s">
        <v>81</v>
      </c>
      <c r="D152" s="1" t="s">
        <v>308</v>
      </c>
      <c r="E152" s="1" t="s">
        <v>132</v>
      </c>
      <c r="F152" s="1" t="s">
        <v>133</v>
      </c>
      <c r="G152" s="2">
        <v>1</v>
      </c>
      <c r="H152" s="1" t="s">
        <v>112</v>
      </c>
      <c r="I152" s="44">
        <f>Tabla1[[#This Row],[Descuento]]+Tabla1[[#This Row],[Neto]]</f>
        <v>60</v>
      </c>
      <c r="J152" s="9">
        <v>0</v>
      </c>
      <c r="K152" s="9">
        <v>60</v>
      </c>
      <c r="L152" s="9"/>
      <c r="M152" s="24">
        <f>+Tabla1[[#This Row],[Costo Venta]]/Tabla1[[#This Row],[Cantidad]]</f>
        <v>0</v>
      </c>
      <c r="N152" s="3">
        <v>1</v>
      </c>
      <c r="O152" s="8">
        <f>+Tabla1[[#This Row],[Conversión]]*Tabla1[[#This Row],[Cantidad]]</f>
        <v>1</v>
      </c>
      <c r="P152" s="43">
        <f>Tabla1[[#This Row],[Neto]]-Tabla1[[#This Row],[Costo Venta]]</f>
        <v>60</v>
      </c>
    </row>
    <row r="153" spans="1:16" x14ac:dyDescent="0.25">
      <c r="A153" s="48">
        <v>45407</v>
      </c>
      <c r="B153" s="1" t="s">
        <v>108</v>
      </c>
      <c r="C153" s="1" t="s">
        <v>81</v>
      </c>
      <c r="D153" s="1" t="s">
        <v>309</v>
      </c>
      <c r="E153" s="1" t="s">
        <v>132</v>
      </c>
      <c r="F153" s="1" t="s">
        <v>133</v>
      </c>
      <c r="G153" s="2">
        <v>1</v>
      </c>
      <c r="H153" s="1" t="s">
        <v>112</v>
      </c>
      <c r="I153" s="44">
        <f>Tabla1[[#This Row],[Descuento]]+Tabla1[[#This Row],[Neto]]</f>
        <v>100</v>
      </c>
      <c r="J153" s="9">
        <v>0</v>
      </c>
      <c r="K153" s="9">
        <v>100</v>
      </c>
      <c r="L153" s="9"/>
      <c r="M153" s="24">
        <f>+Tabla1[[#This Row],[Costo Venta]]/Tabla1[[#This Row],[Cantidad]]</f>
        <v>0</v>
      </c>
      <c r="N153" s="3">
        <v>1</v>
      </c>
      <c r="O153" s="8">
        <f>+Tabla1[[#This Row],[Conversión]]*Tabla1[[#This Row],[Cantidad]]</f>
        <v>1</v>
      </c>
      <c r="P153" s="43">
        <f>Tabla1[[#This Row],[Neto]]-Tabla1[[#This Row],[Costo Venta]]</f>
        <v>100</v>
      </c>
    </row>
    <row r="154" spans="1:16" x14ac:dyDescent="0.25">
      <c r="A154" s="48">
        <v>45419</v>
      </c>
      <c r="B154" s="1" t="s">
        <v>108</v>
      </c>
      <c r="C154" s="1" t="s">
        <v>81</v>
      </c>
      <c r="D154" s="1" t="s">
        <v>310</v>
      </c>
      <c r="E154" s="1" t="s">
        <v>71</v>
      </c>
      <c r="F154" s="1" t="s">
        <v>31</v>
      </c>
      <c r="G154" s="2">
        <v>1</v>
      </c>
      <c r="H154" s="1" t="s">
        <v>112</v>
      </c>
      <c r="I154" s="44">
        <f>Tabla1[[#This Row],[Descuento]]+Tabla1[[#This Row],[Neto]]</f>
        <v>30</v>
      </c>
      <c r="J154" s="9">
        <v>0</v>
      </c>
      <c r="K154" s="9">
        <v>30</v>
      </c>
      <c r="L154" s="9"/>
      <c r="M154" s="24">
        <f>+Tabla1[[#This Row],[Costo Venta]]/Tabla1[[#This Row],[Cantidad]]</f>
        <v>0</v>
      </c>
      <c r="N154" s="3">
        <v>1</v>
      </c>
      <c r="O154" s="8">
        <f>+Tabla1[[#This Row],[Conversión]]*Tabla1[[#This Row],[Cantidad]]</f>
        <v>1</v>
      </c>
      <c r="P154" s="43">
        <f>Tabla1[[#This Row],[Neto]]-Tabla1[[#This Row],[Costo Venta]]</f>
        <v>30</v>
      </c>
    </row>
    <row r="155" spans="1:16" x14ac:dyDescent="0.25">
      <c r="A155" s="48">
        <v>45420</v>
      </c>
      <c r="B155" s="1" t="s">
        <v>108</v>
      </c>
      <c r="C155" s="1" t="s">
        <v>29</v>
      </c>
      <c r="D155" s="1" t="s">
        <v>311</v>
      </c>
      <c r="E155" s="1" t="s">
        <v>132</v>
      </c>
      <c r="F155" s="1" t="s">
        <v>291</v>
      </c>
      <c r="G155" s="2">
        <v>1</v>
      </c>
      <c r="H155" s="1" t="s">
        <v>112</v>
      </c>
      <c r="I155" s="44">
        <f>Tabla1[[#This Row],[Descuento]]+Tabla1[[#This Row],[Neto]]</f>
        <v>150</v>
      </c>
      <c r="J155" s="9">
        <v>0</v>
      </c>
      <c r="K155" s="9">
        <v>150</v>
      </c>
      <c r="L155" s="9"/>
      <c r="M155" s="24">
        <f>+Tabla1[[#This Row],[Costo Venta]]/Tabla1[[#This Row],[Cantidad]]</f>
        <v>0</v>
      </c>
      <c r="N155" s="3">
        <v>1</v>
      </c>
      <c r="O155" s="8">
        <f>+Tabla1[[#This Row],[Conversión]]*Tabla1[[#This Row],[Cantidad]]</f>
        <v>1</v>
      </c>
      <c r="P155" s="43">
        <f>Tabla1[[#This Row],[Neto]]-Tabla1[[#This Row],[Costo Venta]]</f>
        <v>150</v>
      </c>
    </row>
    <row r="156" spans="1:16" x14ac:dyDescent="0.25">
      <c r="A156" s="48">
        <v>45421</v>
      </c>
      <c r="B156" s="1" t="s">
        <v>108</v>
      </c>
      <c r="C156" s="1" t="s">
        <v>81</v>
      </c>
      <c r="D156" s="1" t="s">
        <v>312</v>
      </c>
      <c r="E156" s="1" t="s">
        <v>71</v>
      </c>
      <c r="F156" s="1" t="s">
        <v>313</v>
      </c>
      <c r="G156" s="2">
        <v>1</v>
      </c>
      <c r="H156" s="1" t="s">
        <v>112</v>
      </c>
      <c r="I156" s="44">
        <f>Tabla1[[#This Row],[Descuento]]+Tabla1[[#This Row],[Neto]]</f>
        <v>30</v>
      </c>
      <c r="J156" s="9">
        <v>0</v>
      </c>
      <c r="K156" s="9">
        <v>30</v>
      </c>
      <c r="L156" s="9"/>
      <c r="M156" s="24">
        <f>+Tabla1[[#This Row],[Costo Venta]]/Tabla1[[#This Row],[Cantidad]]</f>
        <v>0</v>
      </c>
      <c r="N156" s="3">
        <v>1</v>
      </c>
      <c r="O156" s="8">
        <f>+Tabla1[[#This Row],[Conversión]]*Tabla1[[#This Row],[Cantidad]]</f>
        <v>1</v>
      </c>
      <c r="P156" s="43">
        <f>Tabla1[[#This Row],[Neto]]-Tabla1[[#This Row],[Costo Venta]]</f>
        <v>30</v>
      </c>
    </row>
    <row r="157" spans="1:16" x14ac:dyDescent="0.25">
      <c r="A157" s="48">
        <v>45432</v>
      </c>
      <c r="B157" s="1" t="s">
        <v>108</v>
      </c>
      <c r="C157" s="1" t="s">
        <v>81</v>
      </c>
      <c r="D157" s="1" t="s">
        <v>314</v>
      </c>
      <c r="E157" s="1" t="s">
        <v>71</v>
      </c>
      <c r="F157" s="1" t="s">
        <v>315</v>
      </c>
      <c r="G157" s="2">
        <v>1</v>
      </c>
      <c r="H157" s="1" t="s">
        <v>112</v>
      </c>
      <c r="I157" s="44">
        <f>Tabla1[[#This Row],[Descuento]]+Tabla1[[#This Row],[Neto]]</f>
        <v>120</v>
      </c>
      <c r="J157" s="9">
        <v>0</v>
      </c>
      <c r="K157" s="9">
        <v>120</v>
      </c>
      <c r="L157" s="9"/>
      <c r="M157" s="24">
        <f>+Tabla1[[#This Row],[Costo Venta]]/Tabla1[[#This Row],[Cantidad]]</f>
        <v>0</v>
      </c>
      <c r="N157" s="3">
        <v>1</v>
      </c>
      <c r="O157" s="8">
        <f>+Tabla1[[#This Row],[Conversión]]*Tabla1[[#This Row],[Cantidad]]</f>
        <v>1</v>
      </c>
      <c r="P157" s="43">
        <f>Tabla1[[#This Row],[Neto]]-Tabla1[[#This Row],[Costo Venta]]</f>
        <v>120</v>
      </c>
    </row>
    <row r="158" spans="1:16" x14ac:dyDescent="0.25">
      <c r="A158" s="48">
        <v>45447</v>
      </c>
      <c r="B158" s="1" t="s">
        <v>108</v>
      </c>
      <c r="C158" s="1" t="s">
        <v>81</v>
      </c>
      <c r="D158" s="1" t="s">
        <v>316</v>
      </c>
      <c r="E158" s="1" t="s">
        <v>132</v>
      </c>
      <c r="F158" s="1" t="s">
        <v>295</v>
      </c>
      <c r="G158" s="2">
        <v>1</v>
      </c>
      <c r="H158" s="1" t="s">
        <v>112</v>
      </c>
      <c r="I158" s="44">
        <f>Tabla1[[#This Row],[Descuento]]+Tabla1[[#This Row],[Neto]]</f>
        <v>210</v>
      </c>
      <c r="J158" s="9">
        <v>0</v>
      </c>
      <c r="K158" s="9">
        <v>210</v>
      </c>
      <c r="L158" s="9"/>
      <c r="M158" s="24">
        <f>+Tabla1[[#This Row],[Costo Venta]]/Tabla1[[#This Row],[Cantidad]]</f>
        <v>0</v>
      </c>
      <c r="N158" s="3">
        <v>1</v>
      </c>
      <c r="O158" s="8">
        <f>+Tabla1[[#This Row],[Conversión]]*Tabla1[[#This Row],[Cantidad]]</f>
        <v>1</v>
      </c>
      <c r="P158" s="43">
        <f>Tabla1[[#This Row],[Neto]]-Tabla1[[#This Row],[Costo Venta]]</f>
        <v>210</v>
      </c>
    </row>
    <row r="159" spans="1:16" x14ac:dyDescent="0.25">
      <c r="A159" s="48">
        <v>45450</v>
      </c>
      <c r="B159" s="1" t="s">
        <v>108</v>
      </c>
      <c r="C159" s="1" t="s">
        <v>81</v>
      </c>
      <c r="D159" s="1" t="s">
        <v>317</v>
      </c>
      <c r="E159" s="1" t="s">
        <v>132</v>
      </c>
      <c r="F159" s="1" t="s">
        <v>133</v>
      </c>
      <c r="G159" s="2">
        <v>1</v>
      </c>
      <c r="H159" s="1" t="s">
        <v>112</v>
      </c>
      <c r="I159" s="44">
        <f>Tabla1[[#This Row],[Descuento]]+Tabla1[[#This Row],[Neto]]</f>
        <v>30</v>
      </c>
      <c r="J159" s="9">
        <v>0</v>
      </c>
      <c r="K159" s="9">
        <v>30</v>
      </c>
      <c r="L159" s="9"/>
      <c r="M159" s="24">
        <f>+Tabla1[[#This Row],[Costo Venta]]/Tabla1[[#This Row],[Cantidad]]</f>
        <v>0</v>
      </c>
      <c r="N159" s="3">
        <v>1</v>
      </c>
      <c r="O159" s="8">
        <f>+Tabla1[[#This Row],[Conversión]]*Tabla1[[#This Row],[Cantidad]]</f>
        <v>1</v>
      </c>
      <c r="P159" s="43">
        <f>Tabla1[[#This Row],[Neto]]-Tabla1[[#This Row],[Costo Venta]]</f>
        <v>30</v>
      </c>
    </row>
    <row r="160" spans="1:16" x14ac:dyDescent="0.25">
      <c r="A160" s="48">
        <v>45461</v>
      </c>
      <c r="B160" s="1" t="s">
        <v>108</v>
      </c>
      <c r="C160" s="1" t="s">
        <v>65</v>
      </c>
      <c r="D160" s="1" t="s">
        <v>318</v>
      </c>
      <c r="E160" s="1" t="s">
        <v>71</v>
      </c>
      <c r="F160" s="1" t="s">
        <v>319</v>
      </c>
      <c r="G160" s="2">
        <v>1</v>
      </c>
      <c r="H160" s="1" t="s">
        <v>112</v>
      </c>
      <c r="I160" s="44">
        <f>Tabla1[[#This Row],[Descuento]]+Tabla1[[#This Row],[Neto]]</f>
        <v>80</v>
      </c>
      <c r="J160" s="9">
        <v>0</v>
      </c>
      <c r="K160" s="9">
        <v>80</v>
      </c>
      <c r="L160" s="9"/>
      <c r="M160" s="24">
        <f>+Tabla1[[#This Row],[Costo Venta]]/Tabla1[[#This Row],[Cantidad]]</f>
        <v>0</v>
      </c>
      <c r="N160" s="3">
        <v>1</v>
      </c>
      <c r="O160" s="8">
        <f>+Tabla1[[#This Row],[Conversión]]*Tabla1[[#This Row],[Cantidad]]</f>
        <v>1</v>
      </c>
      <c r="P160" s="43">
        <f>Tabla1[[#This Row],[Neto]]-Tabla1[[#This Row],[Costo Venta]]</f>
        <v>80</v>
      </c>
    </row>
    <row r="161" spans="1:16" x14ac:dyDescent="0.25">
      <c r="A161" s="48">
        <v>45464</v>
      </c>
      <c r="B161" s="1" t="s">
        <v>108</v>
      </c>
      <c r="C161" s="1" t="s">
        <v>65</v>
      </c>
      <c r="D161" s="1" t="s">
        <v>320</v>
      </c>
      <c r="E161" s="1" t="s">
        <v>71</v>
      </c>
      <c r="F161" s="1" t="s">
        <v>321</v>
      </c>
      <c r="G161" s="2">
        <v>1</v>
      </c>
      <c r="H161" s="1" t="s">
        <v>112</v>
      </c>
      <c r="I161" s="44">
        <f>Tabla1[[#This Row],[Descuento]]+Tabla1[[#This Row],[Neto]]</f>
        <v>100</v>
      </c>
      <c r="J161" s="9">
        <v>0</v>
      </c>
      <c r="K161" s="9">
        <v>100</v>
      </c>
      <c r="L161" s="9"/>
      <c r="M161" s="24">
        <f>+Tabla1[[#This Row],[Costo Venta]]/Tabla1[[#This Row],[Cantidad]]</f>
        <v>0</v>
      </c>
      <c r="N161" s="3">
        <v>1</v>
      </c>
      <c r="O161" s="8">
        <f>+Tabla1[[#This Row],[Conversión]]*Tabla1[[#This Row],[Cantidad]]</f>
        <v>1</v>
      </c>
      <c r="P161" s="43">
        <f>Tabla1[[#This Row],[Neto]]-Tabla1[[#This Row],[Costo Venta]]</f>
        <v>100</v>
      </c>
    </row>
    <row r="162" spans="1:16" x14ac:dyDescent="0.25">
      <c r="A162" s="48">
        <v>45481</v>
      </c>
      <c r="B162" s="1" t="s">
        <v>108</v>
      </c>
      <c r="C162" s="1" t="s">
        <v>65</v>
      </c>
      <c r="D162" s="1" t="s">
        <v>322</v>
      </c>
      <c r="E162" s="1" t="s">
        <v>67</v>
      </c>
      <c r="F162" s="1" t="s">
        <v>34</v>
      </c>
      <c r="G162" s="2">
        <v>1</v>
      </c>
      <c r="H162" s="1" t="s">
        <v>112</v>
      </c>
      <c r="I162" s="44">
        <f>Tabla1[[#This Row],[Descuento]]+Tabla1[[#This Row],[Neto]]</f>
        <v>40</v>
      </c>
      <c r="J162" s="9">
        <v>0</v>
      </c>
      <c r="K162" s="9">
        <v>40</v>
      </c>
      <c r="L162" s="9"/>
      <c r="M162" s="24">
        <f>+Tabla1[[#This Row],[Costo Venta]]/Tabla1[[#This Row],[Cantidad]]</f>
        <v>0</v>
      </c>
      <c r="N162" s="3">
        <v>1</v>
      </c>
      <c r="O162" s="8">
        <f>+Tabla1[[#This Row],[Conversión]]*Tabla1[[#This Row],[Cantidad]]</f>
        <v>1</v>
      </c>
      <c r="P162" s="43">
        <f>Tabla1[[#This Row],[Neto]]-Tabla1[[#This Row],[Costo Venta]]</f>
        <v>40</v>
      </c>
    </row>
    <row r="163" spans="1:16" x14ac:dyDescent="0.25">
      <c r="A163" s="48">
        <v>45496</v>
      </c>
      <c r="B163" s="1" t="s">
        <v>108</v>
      </c>
      <c r="C163" s="1" t="s">
        <v>65</v>
      </c>
      <c r="D163" s="1" t="s">
        <v>323</v>
      </c>
      <c r="E163" s="1" t="s">
        <v>132</v>
      </c>
      <c r="F163" s="1" t="s">
        <v>133</v>
      </c>
      <c r="G163" s="2">
        <v>1</v>
      </c>
      <c r="H163" s="1" t="s">
        <v>112</v>
      </c>
      <c r="I163" s="44">
        <f>Tabla1[[#This Row],[Descuento]]+Tabla1[[#This Row],[Neto]]</f>
        <v>70</v>
      </c>
      <c r="J163" s="9">
        <v>0</v>
      </c>
      <c r="K163" s="9">
        <v>70</v>
      </c>
      <c r="L163" s="9"/>
      <c r="M163" s="24">
        <f>+Tabla1[[#This Row],[Costo Venta]]/Tabla1[[#This Row],[Cantidad]]</f>
        <v>0</v>
      </c>
      <c r="N163" s="3">
        <v>1</v>
      </c>
      <c r="O163" s="8">
        <f>+Tabla1[[#This Row],[Conversión]]*Tabla1[[#This Row],[Cantidad]]</f>
        <v>1</v>
      </c>
      <c r="P163" s="43">
        <f>Tabla1[[#This Row],[Neto]]-Tabla1[[#This Row],[Costo Venta]]</f>
        <v>70</v>
      </c>
    </row>
    <row r="164" spans="1:16" x14ac:dyDescent="0.25">
      <c r="A164" s="48">
        <v>45526</v>
      </c>
      <c r="B164" s="1" t="s">
        <v>108</v>
      </c>
      <c r="C164" s="1" t="s">
        <v>65</v>
      </c>
      <c r="D164" s="1" t="s">
        <v>324</v>
      </c>
      <c r="E164" s="1" t="s">
        <v>67</v>
      </c>
      <c r="F164" s="1" t="s">
        <v>173</v>
      </c>
      <c r="G164" s="2">
        <v>1</v>
      </c>
      <c r="H164" s="1" t="s">
        <v>112</v>
      </c>
      <c r="I164" s="44">
        <f>Tabla1[[#This Row],[Descuento]]+Tabla1[[#This Row],[Neto]]</f>
        <v>30</v>
      </c>
      <c r="J164" s="9">
        <v>0</v>
      </c>
      <c r="K164" s="9">
        <v>30</v>
      </c>
      <c r="L164" s="9"/>
      <c r="M164" s="24">
        <f>+Tabla1[[#This Row],[Costo Venta]]/Tabla1[[#This Row],[Cantidad]]</f>
        <v>0</v>
      </c>
      <c r="N164" s="3">
        <v>1</v>
      </c>
      <c r="O164" s="8">
        <f>+Tabla1[[#This Row],[Conversión]]*Tabla1[[#This Row],[Cantidad]]</f>
        <v>1</v>
      </c>
      <c r="P164" s="43">
        <f>Tabla1[[#This Row],[Neto]]-Tabla1[[#This Row],[Costo Venta]]</f>
        <v>30</v>
      </c>
    </row>
    <row r="165" spans="1:16" x14ac:dyDescent="0.25">
      <c r="A165" s="48">
        <v>45530</v>
      </c>
      <c r="B165" s="1" t="s">
        <v>108</v>
      </c>
      <c r="C165" s="1" t="s">
        <v>65</v>
      </c>
      <c r="D165" s="1" t="s">
        <v>325</v>
      </c>
      <c r="E165" s="1" t="s">
        <v>67</v>
      </c>
      <c r="F165" s="1" t="s">
        <v>34</v>
      </c>
      <c r="G165" s="2">
        <v>1</v>
      </c>
      <c r="H165" s="1" t="s">
        <v>112</v>
      </c>
      <c r="I165" s="44">
        <f>Tabla1[[#This Row],[Descuento]]+Tabla1[[#This Row],[Neto]]</f>
        <v>100</v>
      </c>
      <c r="J165" s="9">
        <v>0</v>
      </c>
      <c r="K165" s="9">
        <v>100</v>
      </c>
      <c r="L165" s="9"/>
      <c r="M165" s="24">
        <f>+Tabla1[[#This Row],[Costo Venta]]/Tabla1[[#This Row],[Cantidad]]</f>
        <v>0</v>
      </c>
      <c r="N165" s="3">
        <v>1</v>
      </c>
      <c r="O165" s="8">
        <f>+Tabla1[[#This Row],[Conversión]]*Tabla1[[#This Row],[Cantidad]]</f>
        <v>1</v>
      </c>
      <c r="P165" s="43">
        <f>Tabla1[[#This Row],[Neto]]-Tabla1[[#This Row],[Costo Venta]]</f>
        <v>100</v>
      </c>
    </row>
    <row r="166" spans="1:16" x14ac:dyDescent="0.25">
      <c r="A166" s="48">
        <v>45533</v>
      </c>
      <c r="B166" s="1" t="s">
        <v>108</v>
      </c>
      <c r="C166" s="1" t="s">
        <v>65</v>
      </c>
      <c r="D166" s="1" t="s">
        <v>326</v>
      </c>
      <c r="E166" s="1" t="s">
        <v>71</v>
      </c>
      <c r="F166" s="1" t="s">
        <v>327</v>
      </c>
      <c r="G166" s="2">
        <v>1</v>
      </c>
      <c r="H166" s="1" t="s">
        <v>112</v>
      </c>
      <c r="I166" s="44">
        <f>Tabla1[[#This Row],[Descuento]]+Tabla1[[#This Row],[Neto]]</f>
        <v>50</v>
      </c>
      <c r="J166" s="9">
        <v>0</v>
      </c>
      <c r="K166" s="9">
        <v>50</v>
      </c>
      <c r="L166" s="9"/>
      <c r="M166" s="24">
        <f>+Tabla1[[#This Row],[Costo Venta]]/Tabla1[[#This Row],[Cantidad]]</f>
        <v>0</v>
      </c>
      <c r="N166" s="3">
        <v>1</v>
      </c>
      <c r="O166" s="8">
        <f>+Tabla1[[#This Row],[Conversión]]*Tabla1[[#This Row],[Cantidad]]</f>
        <v>1</v>
      </c>
      <c r="P166" s="43">
        <f>Tabla1[[#This Row],[Neto]]-Tabla1[[#This Row],[Costo Venta]]</f>
        <v>50</v>
      </c>
    </row>
    <row r="167" spans="1:16" x14ac:dyDescent="0.25">
      <c r="A167" s="48">
        <v>45533</v>
      </c>
      <c r="B167" s="1" t="s">
        <v>108</v>
      </c>
      <c r="C167" s="1" t="s">
        <v>143</v>
      </c>
      <c r="D167" s="1" t="s">
        <v>328</v>
      </c>
      <c r="E167" s="1" t="s">
        <v>71</v>
      </c>
      <c r="F167" s="1" t="s">
        <v>329</v>
      </c>
      <c r="G167" s="2">
        <v>1</v>
      </c>
      <c r="H167" s="1" t="s">
        <v>112</v>
      </c>
      <c r="I167" s="44">
        <f>Tabla1[[#This Row],[Descuento]]+Tabla1[[#This Row],[Neto]]</f>
        <v>30</v>
      </c>
      <c r="J167" s="9">
        <v>0</v>
      </c>
      <c r="K167" s="9">
        <v>30</v>
      </c>
      <c r="L167" s="9"/>
      <c r="M167" s="24">
        <f>+Tabla1[[#This Row],[Costo Venta]]/Tabla1[[#This Row],[Cantidad]]</f>
        <v>0</v>
      </c>
      <c r="N167" s="3">
        <v>1</v>
      </c>
      <c r="O167" s="8">
        <f>+Tabla1[[#This Row],[Conversión]]*Tabla1[[#This Row],[Cantidad]]</f>
        <v>1</v>
      </c>
      <c r="P167" s="43">
        <f>Tabla1[[#This Row],[Neto]]-Tabla1[[#This Row],[Costo Venta]]</f>
        <v>30</v>
      </c>
    </row>
    <row r="168" spans="1:16" x14ac:dyDescent="0.25">
      <c r="A168" s="48">
        <v>45533</v>
      </c>
      <c r="B168" s="1" t="s">
        <v>108</v>
      </c>
      <c r="C168" s="1" t="s">
        <v>65</v>
      </c>
      <c r="D168" s="1" t="s">
        <v>330</v>
      </c>
      <c r="E168" s="1" t="s">
        <v>71</v>
      </c>
      <c r="F168" s="1" t="s">
        <v>37</v>
      </c>
      <c r="G168" s="2">
        <v>1</v>
      </c>
      <c r="H168" s="1" t="s">
        <v>112</v>
      </c>
      <c r="I168" s="44">
        <f>Tabla1[[#This Row],[Descuento]]+Tabla1[[#This Row],[Neto]]</f>
        <v>30</v>
      </c>
      <c r="J168" s="9">
        <v>0</v>
      </c>
      <c r="K168" s="9">
        <v>30</v>
      </c>
      <c r="L168" s="9"/>
      <c r="M168" s="24">
        <f>+Tabla1[[#This Row],[Costo Venta]]/Tabla1[[#This Row],[Cantidad]]</f>
        <v>0</v>
      </c>
      <c r="N168" s="3">
        <v>1</v>
      </c>
      <c r="O168" s="8">
        <f>+Tabla1[[#This Row],[Conversión]]*Tabla1[[#This Row],[Cantidad]]</f>
        <v>1</v>
      </c>
      <c r="P168" s="43">
        <f>Tabla1[[#This Row],[Neto]]-Tabla1[[#This Row],[Costo Venta]]</f>
        <v>30</v>
      </c>
    </row>
    <row r="169" spans="1:16" x14ac:dyDescent="0.25">
      <c r="A169" s="48">
        <v>45537</v>
      </c>
      <c r="B169" s="1" t="s">
        <v>108</v>
      </c>
      <c r="C169" s="1" t="s">
        <v>65</v>
      </c>
      <c r="D169" s="1" t="s">
        <v>331</v>
      </c>
      <c r="E169" s="1" t="s">
        <v>132</v>
      </c>
      <c r="F169" s="1" t="s">
        <v>133</v>
      </c>
      <c r="G169" s="2">
        <v>1</v>
      </c>
      <c r="H169" s="1" t="s">
        <v>112</v>
      </c>
      <c r="I169" s="44">
        <f>Tabla1[[#This Row],[Descuento]]+Tabla1[[#This Row],[Neto]]</f>
        <v>70</v>
      </c>
      <c r="J169" s="9">
        <v>0</v>
      </c>
      <c r="K169" s="9">
        <v>70</v>
      </c>
      <c r="L169" s="9"/>
      <c r="M169" s="24">
        <f>+Tabla1[[#This Row],[Costo Venta]]/Tabla1[[#This Row],[Cantidad]]</f>
        <v>0</v>
      </c>
      <c r="N169" s="3">
        <v>1</v>
      </c>
      <c r="O169" s="8">
        <f>+Tabla1[[#This Row],[Conversión]]*Tabla1[[#This Row],[Cantidad]]</f>
        <v>1</v>
      </c>
      <c r="P169" s="43">
        <f>Tabla1[[#This Row],[Neto]]-Tabla1[[#This Row],[Costo Venta]]</f>
        <v>70</v>
      </c>
    </row>
    <row r="170" spans="1:16" x14ac:dyDescent="0.25">
      <c r="A170" s="48">
        <v>45540</v>
      </c>
      <c r="B170" s="1" t="s">
        <v>108</v>
      </c>
      <c r="C170" s="1" t="s">
        <v>65</v>
      </c>
      <c r="D170" s="1" t="s">
        <v>332</v>
      </c>
      <c r="E170" s="1" t="s">
        <v>132</v>
      </c>
      <c r="F170" s="1" t="s">
        <v>333</v>
      </c>
      <c r="G170" s="2">
        <v>1</v>
      </c>
      <c r="H170" s="1" t="s">
        <v>112</v>
      </c>
      <c r="I170" s="44">
        <f>Tabla1[[#This Row],[Descuento]]+Tabla1[[#This Row],[Neto]]</f>
        <v>300</v>
      </c>
      <c r="J170" s="9">
        <v>0</v>
      </c>
      <c r="K170" s="9">
        <v>300</v>
      </c>
      <c r="L170" s="9"/>
      <c r="M170" s="24">
        <f>+Tabla1[[#This Row],[Costo Venta]]/Tabla1[[#This Row],[Cantidad]]</f>
        <v>0</v>
      </c>
      <c r="N170" s="3">
        <v>1</v>
      </c>
      <c r="O170" s="8">
        <f>+Tabla1[[#This Row],[Conversión]]*Tabla1[[#This Row],[Cantidad]]</f>
        <v>1</v>
      </c>
      <c r="P170" s="43">
        <f>Tabla1[[#This Row],[Neto]]-Tabla1[[#This Row],[Costo Venta]]</f>
        <v>300</v>
      </c>
    </row>
    <row r="171" spans="1:16" x14ac:dyDescent="0.25">
      <c r="A171" s="48">
        <v>45559</v>
      </c>
      <c r="B171" s="1" t="s">
        <v>108</v>
      </c>
      <c r="C171" s="1" t="s">
        <v>65</v>
      </c>
      <c r="D171" s="1" t="s">
        <v>334</v>
      </c>
      <c r="E171" s="1" t="s">
        <v>132</v>
      </c>
      <c r="F171" s="1" t="s">
        <v>133</v>
      </c>
      <c r="G171" s="2">
        <v>1</v>
      </c>
      <c r="H171" s="1" t="s">
        <v>112</v>
      </c>
      <c r="I171" s="44">
        <f>Tabla1[[#This Row],[Descuento]]+Tabla1[[#This Row],[Neto]]</f>
        <v>200</v>
      </c>
      <c r="J171" s="9">
        <v>0</v>
      </c>
      <c r="K171" s="9">
        <v>200</v>
      </c>
      <c r="L171" s="9"/>
      <c r="M171" s="24">
        <f>+Tabla1[[#This Row],[Costo Venta]]/Tabla1[[#This Row],[Cantidad]]</f>
        <v>0</v>
      </c>
      <c r="N171" s="3">
        <v>1</v>
      </c>
      <c r="O171" s="8">
        <f>+Tabla1[[#This Row],[Conversión]]*Tabla1[[#This Row],[Cantidad]]</f>
        <v>1</v>
      </c>
      <c r="P171" s="43">
        <f>Tabla1[[#This Row],[Neto]]-Tabla1[[#This Row],[Costo Venta]]</f>
        <v>200</v>
      </c>
    </row>
    <row r="172" spans="1:16" x14ac:dyDescent="0.25">
      <c r="A172" s="48">
        <v>45560</v>
      </c>
      <c r="B172" s="1" t="s">
        <v>108</v>
      </c>
      <c r="C172" s="1" t="s">
        <v>143</v>
      </c>
      <c r="D172" s="1" t="s">
        <v>335</v>
      </c>
      <c r="E172" s="1" t="s">
        <v>132</v>
      </c>
      <c r="F172" s="1" t="s">
        <v>29</v>
      </c>
      <c r="G172" s="2">
        <v>1</v>
      </c>
      <c r="H172" s="1" t="s">
        <v>112</v>
      </c>
      <c r="I172" s="44">
        <f>Tabla1[[#This Row],[Descuento]]+Tabla1[[#This Row],[Neto]]</f>
        <v>200</v>
      </c>
      <c r="J172" s="9">
        <v>0</v>
      </c>
      <c r="K172" s="9">
        <v>200</v>
      </c>
      <c r="L172" s="9"/>
      <c r="M172" s="24">
        <f>+Tabla1[[#This Row],[Costo Venta]]/Tabla1[[#This Row],[Cantidad]]</f>
        <v>0</v>
      </c>
      <c r="N172" s="3">
        <v>1</v>
      </c>
      <c r="O172" s="8">
        <f>+Tabla1[[#This Row],[Conversión]]*Tabla1[[#This Row],[Cantidad]]</f>
        <v>1</v>
      </c>
      <c r="P172" s="43">
        <f>Tabla1[[#This Row],[Neto]]-Tabla1[[#This Row],[Costo Venta]]</f>
        <v>200</v>
      </c>
    </row>
    <row r="173" spans="1:16" x14ac:dyDescent="0.25">
      <c r="A173" s="48">
        <v>45573</v>
      </c>
      <c r="B173" s="1" t="s">
        <v>108</v>
      </c>
      <c r="C173" s="1" t="s">
        <v>65</v>
      </c>
      <c r="D173" s="1" t="s">
        <v>336</v>
      </c>
      <c r="E173" s="1" t="s">
        <v>67</v>
      </c>
      <c r="F173" s="1" t="s">
        <v>198</v>
      </c>
      <c r="G173" s="2">
        <v>1</v>
      </c>
      <c r="H173" s="1" t="s">
        <v>112</v>
      </c>
      <c r="I173" s="44">
        <f>Tabla1[[#This Row],[Descuento]]+Tabla1[[#This Row],[Neto]]</f>
        <v>40</v>
      </c>
      <c r="J173" s="9">
        <v>0</v>
      </c>
      <c r="K173" s="9">
        <v>40</v>
      </c>
      <c r="L173" s="9"/>
      <c r="M173" s="24">
        <f>+Tabla1[[#This Row],[Costo Venta]]/Tabla1[[#This Row],[Cantidad]]</f>
        <v>0</v>
      </c>
      <c r="N173" s="3">
        <v>1</v>
      </c>
      <c r="O173" s="8">
        <f>+Tabla1[[#This Row],[Conversión]]*Tabla1[[#This Row],[Cantidad]]</f>
        <v>1</v>
      </c>
      <c r="P173" s="43">
        <f>Tabla1[[#This Row],[Neto]]-Tabla1[[#This Row],[Costo Venta]]</f>
        <v>40</v>
      </c>
    </row>
    <row r="174" spans="1:16" x14ac:dyDescent="0.25">
      <c r="A174" s="48">
        <v>45575</v>
      </c>
      <c r="B174" s="1" t="s">
        <v>108</v>
      </c>
      <c r="C174" s="1" t="s">
        <v>143</v>
      </c>
      <c r="D174" s="1" t="s">
        <v>337</v>
      </c>
      <c r="E174" s="1" t="s">
        <v>137</v>
      </c>
      <c r="F174" s="1" t="s">
        <v>38</v>
      </c>
      <c r="G174" s="2">
        <v>1</v>
      </c>
      <c r="H174" s="1" t="s">
        <v>112</v>
      </c>
      <c r="I174" s="44">
        <f>Tabla1[[#This Row],[Descuento]]+Tabla1[[#This Row],[Neto]]</f>
        <v>30</v>
      </c>
      <c r="J174" s="9">
        <v>0</v>
      </c>
      <c r="K174" s="9">
        <v>30</v>
      </c>
      <c r="L174" s="9"/>
      <c r="M174" s="24">
        <f>+Tabla1[[#This Row],[Costo Venta]]/Tabla1[[#This Row],[Cantidad]]</f>
        <v>0</v>
      </c>
      <c r="N174" s="3">
        <v>1</v>
      </c>
      <c r="O174" s="8">
        <f>+Tabla1[[#This Row],[Conversión]]*Tabla1[[#This Row],[Cantidad]]</f>
        <v>1</v>
      </c>
      <c r="P174" s="43">
        <f>Tabla1[[#This Row],[Neto]]-Tabla1[[#This Row],[Costo Venta]]</f>
        <v>30</v>
      </c>
    </row>
    <row r="175" spans="1:16" x14ac:dyDescent="0.25">
      <c r="A175" s="48">
        <v>45579</v>
      </c>
      <c r="B175" s="1" t="s">
        <v>108</v>
      </c>
      <c r="C175" s="1" t="s">
        <v>65</v>
      </c>
      <c r="D175" s="1" t="s">
        <v>338</v>
      </c>
      <c r="E175" s="1" t="s">
        <v>132</v>
      </c>
      <c r="F175" s="1" t="s">
        <v>333</v>
      </c>
      <c r="G175" s="2">
        <v>1</v>
      </c>
      <c r="H175" s="1" t="s">
        <v>112</v>
      </c>
      <c r="I175" s="44">
        <f>Tabla1[[#This Row],[Descuento]]+Tabla1[[#This Row],[Neto]]</f>
        <v>100</v>
      </c>
      <c r="J175" s="9">
        <v>0</v>
      </c>
      <c r="K175" s="9">
        <v>100</v>
      </c>
      <c r="L175" s="9"/>
      <c r="M175" s="24">
        <f>+Tabla1[[#This Row],[Costo Venta]]/Tabla1[[#This Row],[Cantidad]]</f>
        <v>0</v>
      </c>
      <c r="N175" s="3">
        <v>1</v>
      </c>
      <c r="O175" s="8">
        <f>+Tabla1[[#This Row],[Conversión]]*Tabla1[[#This Row],[Cantidad]]</f>
        <v>1</v>
      </c>
      <c r="P175" s="43">
        <f>Tabla1[[#This Row],[Neto]]-Tabla1[[#This Row],[Costo Venta]]</f>
        <v>100</v>
      </c>
    </row>
    <row r="176" spans="1:16" x14ac:dyDescent="0.25">
      <c r="A176" s="48">
        <v>45589</v>
      </c>
      <c r="B176" s="1" t="s">
        <v>108</v>
      </c>
      <c r="C176" s="1" t="s">
        <v>65</v>
      </c>
      <c r="D176" s="1" t="s">
        <v>339</v>
      </c>
      <c r="E176" s="1" t="s">
        <v>71</v>
      </c>
      <c r="F176" s="1" t="s">
        <v>30</v>
      </c>
      <c r="G176" s="2">
        <v>1</v>
      </c>
      <c r="H176" s="1" t="s">
        <v>112</v>
      </c>
      <c r="I176" s="44">
        <f>Tabla1[[#This Row],[Descuento]]+Tabla1[[#This Row],[Neto]]</f>
        <v>150</v>
      </c>
      <c r="J176" s="9">
        <v>0</v>
      </c>
      <c r="K176" s="9">
        <v>150</v>
      </c>
      <c r="L176" s="9"/>
      <c r="M176" s="24">
        <f>+Tabla1[[#This Row],[Costo Venta]]/Tabla1[[#This Row],[Cantidad]]</f>
        <v>0</v>
      </c>
      <c r="N176" s="3">
        <v>1</v>
      </c>
      <c r="O176" s="8">
        <f>+Tabla1[[#This Row],[Conversión]]*Tabla1[[#This Row],[Cantidad]]</f>
        <v>1</v>
      </c>
      <c r="P176" s="43">
        <f>Tabla1[[#This Row],[Neto]]-Tabla1[[#This Row],[Costo Venta]]</f>
        <v>150</v>
      </c>
    </row>
    <row r="177" spans="1:16" x14ac:dyDescent="0.25">
      <c r="A177" s="48">
        <v>45594</v>
      </c>
      <c r="B177" s="1" t="s">
        <v>108</v>
      </c>
      <c r="C177" s="1" t="s">
        <v>65</v>
      </c>
      <c r="D177" s="1" t="s">
        <v>340</v>
      </c>
      <c r="E177" s="1" t="s">
        <v>67</v>
      </c>
      <c r="F177" s="1" t="s">
        <v>34</v>
      </c>
      <c r="G177" s="2">
        <v>1</v>
      </c>
      <c r="H177" s="1" t="s">
        <v>112</v>
      </c>
      <c r="I177" s="44">
        <f>Tabla1[[#This Row],[Descuento]]+Tabla1[[#This Row],[Neto]]</f>
        <v>30</v>
      </c>
      <c r="J177" s="9">
        <v>0</v>
      </c>
      <c r="K177" s="9">
        <v>30</v>
      </c>
      <c r="L177" s="9"/>
      <c r="M177" s="24">
        <f>+Tabla1[[#This Row],[Costo Venta]]/Tabla1[[#This Row],[Cantidad]]</f>
        <v>0</v>
      </c>
      <c r="N177" s="3">
        <v>1</v>
      </c>
      <c r="O177" s="8">
        <f>+Tabla1[[#This Row],[Conversión]]*Tabla1[[#This Row],[Cantidad]]</f>
        <v>1</v>
      </c>
      <c r="P177" s="43">
        <f>Tabla1[[#This Row],[Neto]]-Tabla1[[#This Row],[Costo Venta]]</f>
        <v>30</v>
      </c>
    </row>
    <row r="178" spans="1:16" x14ac:dyDescent="0.25">
      <c r="A178" s="48">
        <v>45604</v>
      </c>
      <c r="B178" s="1" t="s">
        <v>108</v>
      </c>
      <c r="C178" s="1" t="s">
        <v>65</v>
      </c>
      <c r="D178" s="1" t="s">
        <v>341</v>
      </c>
      <c r="E178" s="1" t="s">
        <v>67</v>
      </c>
      <c r="F178" s="1" t="s">
        <v>34</v>
      </c>
      <c r="G178" s="2">
        <v>1</v>
      </c>
      <c r="H178" s="1" t="s">
        <v>112</v>
      </c>
      <c r="I178" s="44">
        <f>Tabla1[[#This Row],[Descuento]]+Tabla1[[#This Row],[Neto]]</f>
        <v>60</v>
      </c>
      <c r="J178" s="9">
        <v>0</v>
      </c>
      <c r="K178" s="9">
        <v>60</v>
      </c>
      <c r="L178" s="9"/>
      <c r="M178" s="24">
        <f>+Tabla1[[#This Row],[Costo Venta]]/Tabla1[[#This Row],[Cantidad]]</f>
        <v>0</v>
      </c>
      <c r="N178" s="3">
        <v>1</v>
      </c>
      <c r="O178" s="8">
        <f>+Tabla1[[#This Row],[Conversión]]*Tabla1[[#This Row],[Cantidad]]</f>
        <v>1</v>
      </c>
      <c r="P178" s="43">
        <f>Tabla1[[#This Row],[Neto]]-Tabla1[[#This Row],[Costo Venta]]</f>
        <v>60</v>
      </c>
    </row>
    <row r="179" spans="1:16" x14ac:dyDescent="0.25">
      <c r="A179" s="48">
        <v>45614</v>
      </c>
      <c r="B179" s="1" t="s">
        <v>108</v>
      </c>
      <c r="C179" s="1" t="s">
        <v>65</v>
      </c>
      <c r="D179" s="1" t="s">
        <v>342</v>
      </c>
      <c r="E179" s="1" t="s">
        <v>67</v>
      </c>
      <c r="F179" s="1" t="s">
        <v>34</v>
      </c>
      <c r="G179" s="2">
        <v>1</v>
      </c>
      <c r="H179" s="1" t="s">
        <v>112</v>
      </c>
      <c r="I179" s="44">
        <f>Tabla1[[#This Row],[Descuento]]+Tabla1[[#This Row],[Neto]]</f>
        <v>50</v>
      </c>
      <c r="J179" s="9">
        <v>0</v>
      </c>
      <c r="K179" s="9">
        <v>50</v>
      </c>
      <c r="L179" s="9"/>
      <c r="M179" s="24">
        <f>+Tabla1[[#This Row],[Costo Venta]]/Tabla1[[#This Row],[Cantidad]]</f>
        <v>0</v>
      </c>
      <c r="N179" s="3">
        <v>1</v>
      </c>
      <c r="O179" s="8">
        <f>+Tabla1[[#This Row],[Conversión]]*Tabla1[[#This Row],[Cantidad]]</f>
        <v>1</v>
      </c>
      <c r="P179" s="43">
        <f>Tabla1[[#This Row],[Neto]]-Tabla1[[#This Row],[Costo Venta]]</f>
        <v>50</v>
      </c>
    </row>
    <row r="180" spans="1:16" x14ac:dyDescent="0.25">
      <c r="A180" s="48">
        <v>45615</v>
      </c>
      <c r="B180" s="1" t="s">
        <v>108</v>
      </c>
      <c r="C180" s="1" t="s">
        <v>65</v>
      </c>
      <c r="D180" s="1" t="s">
        <v>343</v>
      </c>
      <c r="E180" s="1" t="s">
        <v>71</v>
      </c>
      <c r="F180" s="1" t="s">
        <v>344</v>
      </c>
      <c r="G180" s="2">
        <v>1</v>
      </c>
      <c r="H180" s="1" t="s">
        <v>112</v>
      </c>
      <c r="I180" s="44">
        <f>Tabla1[[#This Row],[Descuento]]+Tabla1[[#This Row],[Neto]]</f>
        <v>40</v>
      </c>
      <c r="J180" s="9">
        <v>0</v>
      </c>
      <c r="K180" s="9">
        <v>40</v>
      </c>
      <c r="L180" s="9"/>
      <c r="M180" s="24">
        <f>+Tabla1[[#This Row],[Costo Venta]]/Tabla1[[#This Row],[Cantidad]]</f>
        <v>0</v>
      </c>
      <c r="N180" s="3">
        <v>1</v>
      </c>
      <c r="O180" s="8">
        <f>+Tabla1[[#This Row],[Conversión]]*Tabla1[[#This Row],[Cantidad]]</f>
        <v>1</v>
      </c>
      <c r="P180" s="43">
        <f>Tabla1[[#This Row],[Neto]]-Tabla1[[#This Row],[Costo Venta]]</f>
        <v>40</v>
      </c>
    </row>
    <row r="181" spans="1:16" x14ac:dyDescent="0.25">
      <c r="A181" s="48">
        <v>45625</v>
      </c>
      <c r="B181" s="1" t="s">
        <v>108</v>
      </c>
      <c r="C181" s="1" t="s">
        <v>65</v>
      </c>
      <c r="D181" s="1" t="s">
        <v>345</v>
      </c>
      <c r="E181" s="1" t="s">
        <v>71</v>
      </c>
      <c r="F181" s="1" t="s">
        <v>346</v>
      </c>
      <c r="G181" s="2">
        <v>1</v>
      </c>
      <c r="H181" s="1" t="s">
        <v>112</v>
      </c>
      <c r="I181" s="44">
        <f>Tabla1[[#This Row],[Descuento]]+Tabla1[[#This Row],[Neto]]</f>
        <v>20</v>
      </c>
      <c r="J181" s="9">
        <v>0</v>
      </c>
      <c r="K181" s="9">
        <v>20</v>
      </c>
      <c r="L181" s="9"/>
      <c r="M181" s="24">
        <f>+Tabla1[[#This Row],[Costo Venta]]/Tabla1[[#This Row],[Cantidad]]</f>
        <v>0</v>
      </c>
      <c r="N181" s="3">
        <v>1</v>
      </c>
      <c r="O181" s="8">
        <f>+Tabla1[[#This Row],[Conversión]]*Tabla1[[#This Row],[Cantidad]]</f>
        <v>1</v>
      </c>
      <c r="P181" s="43">
        <f>Tabla1[[#This Row],[Neto]]-Tabla1[[#This Row],[Costo Venta]]</f>
        <v>20</v>
      </c>
    </row>
    <row r="182" spans="1:16" x14ac:dyDescent="0.25">
      <c r="A182" s="48">
        <v>45625</v>
      </c>
      <c r="B182" s="1" t="s">
        <v>108</v>
      </c>
      <c r="C182" s="1" t="s">
        <v>29</v>
      </c>
      <c r="D182" s="1" t="s">
        <v>347</v>
      </c>
      <c r="E182" s="1" t="s">
        <v>132</v>
      </c>
      <c r="F182" s="1" t="s">
        <v>29</v>
      </c>
      <c r="G182" s="2">
        <v>1</v>
      </c>
      <c r="H182" s="1" t="s">
        <v>112</v>
      </c>
      <c r="I182" s="44">
        <f>Tabla1[[#This Row],[Descuento]]+Tabla1[[#This Row],[Neto]]</f>
        <v>300</v>
      </c>
      <c r="J182" s="9">
        <v>0</v>
      </c>
      <c r="K182" s="9">
        <v>300</v>
      </c>
      <c r="L182" s="9"/>
      <c r="M182" s="24">
        <f>+Tabla1[[#This Row],[Costo Venta]]/Tabla1[[#This Row],[Cantidad]]</f>
        <v>0</v>
      </c>
      <c r="N182" s="3">
        <v>1</v>
      </c>
      <c r="O182" s="8">
        <f>+Tabla1[[#This Row],[Conversión]]*Tabla1[[#This Row],[Cantidad]]</f>
        <v>1</v>
      </c>
      <c r="P182" s="43">
        <f>Tabla1[[#This Row],[Neto]]-Tabla1[[#This Row],[Costo Venta]]</f>
        <v>300</v>
      </c>
    </row>
    <row r="183" spans="1:16" x14ac:dyDescent="0.25">
      <c r="A183" s="48">
        <v>45631</v>
      </c>
      <c r="B183" s="1" t="s">
        <v>108</v>
      </c>
      <c r="C183" s="1" t="s">
        <v>65</v>
      </c>
      <c r="D183" s="1" t="s">
        <v>348</v>
      </c>
      <c r="E183" s="1" t="s">
        <v>132</v>
      </c>
      <c r="F183" s="1" t="s">
        <v>349</v>
      </c>
      <c r="G183" s="2">
        <v>1</v>
      </c>
      <c r="H183" s="1" t="s">
        <v>112</v>
      </c>
      <c r="I183" s="44">
        <f>Tabla1[[#This Row],[Descuento]]+Tabla1[[#This Row],[Neto]]</f>
        <v>50</v>
      </c>
      <c r="J183" s="9">
        <v>0</v>
      </c>
      <c r="K183" s="9">
        <v>50</v>
      </c>
      <c r="L183" s="9"/>
      <c r="M183" s="24">
        <f>+Tabla1[[#This Row],[Costo Venta]]/Tabla1[[#This Row],[Cantidad]]</f>
        <v>0</v>
      </c>
      <c r="N183" s="3">
        <v>1</v>
      </c>
      <c r="O183" s="8">
        <f>+Tabla1[[#This Row],[Conversión]]*Tabla1[[#This Row],[Cantidad]]</f>
        <v>1</v>
      </c>
      <c r="P183" s="43">
        <f>Tabla1[[#This Row],[Neto]]-Tabla1[[#This Row],[Costo Venta]]</f>
        <v>50</v>
      </c>
    </row>
    <row r="184" spans="1:16" x14ac:dyDescent="0.25">
      <c r="A184" s="48">
        <v>45637</v>
      </c>
      <c r="B184" s="1" t="s">
        <v>108</v>
      </c>
      <c r="C184" s="1" t="s">
        <v>65</v>
      </c>
      <c r="D184" s="1" t="s">
        <v>350</v>
      </c>
      <c r="E184" s="1" t="s">
        <v>71</v>
      </c>
      <c r="F184" s="1" t="s">
        <v>344</v>
      </c>
      <c r="G184" s="2">
        <v>1</v>
      </c>
      <c r="H184" s="1" t="s">
        <v>112</v>
      </c>
      <c r="I184" s="44">
        <f>Tabla1[[#This Row],[Descuento]]+Tabla1[[#This Row],[Neto]]</f>
        <v>20</v>
      </c>
      <c r="J184" s="9">
        <v>0</v>
      </c>
      <c r="K184" s="9">
        <v>20</v>
      </c>
      <c r="L184" s="9"/>
      <c r="M184" s="24">
        <f>+Tabla1[[#This Row],[Costo Venta]]/Tabla1[[#This Row],[Cantidad]]</f>
        <v>0</v>
      </c>
      <c r="N184" s="3">
        <v>1</v>
      </c>
      <c r="O184" s="8">
        <f>+Tabla1[[#This Row],[Conversión]]*Tabla1[[#This Row],[Cantidad]]</f>
        <v>1</v>
      </c>
      <c r="P184" s="43">
        <f>Tabla1[[#This Row],[Neto]]-Tabla1[[#This Row],[Costo Venta]]</f>
        <v>20</v>
      </c>
    </row>
    <row r="185" spans="1:16" x14ac:dyDescent="0.25">
      <c r="A185" s="48">
        <v>45639</v>
      </c>
      <c r="B185" s="1" t="s">
        <v>108</v>
      </c>
      <c r="C185" s="1" t="s">
        <v>65</v>
      </c>
      <c r="D185" s="1" t="s">
        <v>351</v>
      </c>
      <c r="E185" s="1" t="s">
        <v>71</v>
      </c>
      <c r="F185" s="1" t="s">
        <v>352</v>
      </c>
      <c r="G185" s="2">
        <v>1</v>
      </c>
      <c r="H185" s="1" t="s">
        <v>112</v>
      </c>
      <c r="I185" s="44">
        <f>Tabla1[[#This Row],[Descuento]]+Tabla1[[#This Row],[Neto]]</f>
        <v>25</v>
      </c>
      <c r="J185" s="9">
        <v>0</v>
      </c>
      <c r="K185" s="9">
        <v>25</v>
      </c>
      <c r="L185" s="9"/>
      <c r="M185" s="24">
        <f>+Tabla1[[#This Row],[Costo Venta]]/Tabla1[[#This Row],[Cantidad]]</f>
        <v>0</v>
      </c>
      <c r="N185" s="3">
        <v>1</v>
      </c>
      <c r="O185" s="8">
        <f>+Tabla1[[#This Row],[Conversión]]*Tabla1[[#This Row],[Cantidad]]</f>
        <v>1</v>
      </c>
      <c r="P185" s="43">
        <f>Tabla1[[#This Row],[Neto]]-Tabla1[[#This Row],[Costo Venta]]</f>
        <v>25</v>
      </c>
    </row>
    <row r="186" spans="1:16" x14ac:dyDescent="0.25">
      <c r="A186" s="48">
        <v>45639</v>
      </c>
      <c r="B186" s="1" t="s">
        <v>108</v>
      </c>
      <c r="C186" s="1" t="s">
        <v>143</v>
      </c>
      <c r="D186" s="1" t="s">
        <v>353</v>
      </c>
      <c r="E186" s="1" t="s">
        <v>132</v>
      </c>
      <c r="F186" s="1" t="s">
        <v>29</v>
      </c>
      <c r="G186" s="2">
        <v>1</v>
      </c>
      <c r="H186" s="1" t="s">
        <v>112</v>
      </c>
      <c r="I186" s="44">
        <f>Tabla1[[#This Row],[Descuento]]+Tabla1[[#This Row],[Neto]]</f>
        <v>350</v>
      </c>
      <c r="J186" s="9">
        <v>0</v>
      </c>
      <c r="K186" s="9">
        <v>350</v>
      </c>
      <c r="L186" s="9"/>
      <c r="M186" s="24">
        <f>+Tabla1[[#This Row],[Costo Venta]]/Tabla1[[#This Row],[Cantidad]]</f>
        <v>0</v>
      </c>
      <c r="N186" s="3">
        <v>1</v>
      </c>
      <c r="O186" s="8">
        <f>+Tabla1[[#This Row],[Conversión]]*Tabla1[[#This Row],[Cantidad]]</f>
        <v>1</v>
      </c>
      <c r="P186" s="43">
        <f>Tabla1[[#This Row],[Neto]]-Tabla1[[#This Row],[Costo Venta]]</f>
        <v>350</v>
      </c>
    </row>
    <row r="187" spans="1:16" x14ac:dyDescent="0.25">
      <c r="A187" s="48">
        <v>45642</v>
      </c>
      <c r="B187" s="1" t="s">
        <v>108</v>
      </c>
      <c r="C187" s="1" t="s">
        <v>65</v>
      </c>
      <c r="D187" s="1" t="s">
        <v>354</v>
      </c>
      <c r="E187" s="1" t="s">
        <v>71</v>
      </c>
      <c r="F187" s="1" t="s">
        <v>355</v>
      </c>
      <c r="G187" s="2">
        <v>1</v>
      </c>
      <c r="H187" s="1" t="s">
        <v>112</v>
      </c>
      <c r="I187" s="44">
        <f>Tabla1[[#This Row],[Descuento]]+Tabla1[[#This Row],[Neto]]</f>
        <v>100</v>
      </c>
      <c r="J187" s="9">
        <v>0</v>
      </c>
      <c r="K187" s="9">
        <v>100</v>
      </c>
      <c r="L187" s="9"/>
      <c r="M187" s="24">
        <f>+Tabla1[[#This Row],[Costo Venta]]/Tabla1[[#This Row],[Cantidad]]</f>
        <v>0</v>
      </c>
      <c r="N187" s="3">
        <v>1</v>
      </c>
      <c r="O187" s="8">
        <f>+Tabla1[[#This Row],[Conversión]]*Tabla1[[#This Row],[Cantidad]]</f>
        <v>1</v>
      </c>
      <c r="P187" s="43">
        <f>Tabla1[[#This Row],[Neto]]-Tabla1[[#This Row],[Costo Venta]]</f>
        <v>100</v>
      </c>
    </row>
    <row r="188" spans="1:16" x14ac:dyDescent="0.25">
      <c r="A188" s="48">
        <v>45642</v>
      </c>
      <c r="B188" s="1" t="s">
        <v>108</v>
      </c>
      <c r="C188" s="1" t="s">
        <v>65</v>
      </c>
      <c r="D188" s="1" t="s">
        <v>356</v>
      </c>
      <c r="E188" s="1" t="s">
        <v>71</v>
      </c>
      <c r="F188" s="1" t="s">
        <v>357</v>
      </c>
      <c r="G188" s="2">
        <v>1</v>
      </c>
      <c r="H188" s="1" t="s">
        <v>112</v>
      </c>
      <c r="I188" s="44">
        <f>Tabla1[[#This Row],[Descuento]]+Tabla1[[#This Row],[Neto]]</f>
        <v>25</v>
      </c>
      <c r="J188" s="9">
        <v>0</v>
      </c>
      <c r="K188" s="9">
        <v>25</v>
      </c>
      <c r="L188" s="9"/>
      <c r="M188" s="24">
        <f>+Tabla1[[#This Row],[Costo Venta]]/Tabla1[[#This Row],[Cantidad]]</f>
        <v>0</v>
      </c>
      <c r="N188" s="3">
        <v>1</v>
      </c>
      <c r="O188" s="8">
        <f>+Tabla1[[#This Row],[Conversión]]*Tabla1[[#This Row],[Cantidad]]</f>
        <v>1</v>
      </c>
      <c r="P188" s="43">
        <f>Tabla1[[#This Row],[Neto]]-Tabla1[[#This Row],[Costo Venta]]</f>
        <v>25</v>
      </c>
    </row>
    <row r="189" spans="1:16" x14ac:dyDescent="0.25">
      <c r="A189" s="48">
        <v>45644</v>
      </c>
      <c r="B189" s="1" t="s">
        <v>108</v>
      </c>
      <c r="C189" s="1" t="s">
        <v>65</v>
      </c>
      <c r="D189" s="1" t="s">
        <v>358</v>
      </c>
      <c r="E189" s="1" t="s">
        <v>132</v>
      </c>
      <c r="F189" s="1" t="s">
        <v>133</v>
      </c>
      <c r="G189" s="2">
        <v>1</v>
      </c>
      <c r="H189" s="1" t="s">
        <v>112</v>
      </c>
      <c r="I189" s="44">
        <f>Tabla1[[#This Row],[Descuento]]+Tabla1[[#This Row],[Neto]]</f>
        <v>40</v>
      </c>
      <c r="J189" s="9">
        <v>0</v>
      </c>
      <c r="K189" s="9">
        <v>40</v>
      </c>
      <c r="L189" s="9"/>
      <c r="M189" s="24">
        <f>+Tabla1[[#This Row],[Costo Venta]]/Tabla1[[#This Row],[Cantidad]]</f>
        <v>0</v>
      </c>
      <c r="N189" s="3">
        <v>1</v>
      </c>
      <c r="O189" s="8">
        <f>+Tabla1[[#This Row],[Conversión]]*Tabla1[[#This Row],[Cantidad]]</f>
        <v>1</v>
      </c>
      <c r="P189" s="43">
        <f>Tabla1[[#This Row],[Neto]]-Tabla1[[#This Row],[Costo Venta]]</f>
        <v>40</v>
      </c>
    </row>
    <row r="190" spans="1:16" x14ac:dyDescent="0.25">
      <c r="A190" s="48">
        <v>45666</v>
      </c>
      <c r="B190" s="1" t="s">
        <v>108</v>
      </c>
      <c r="C190" s="1" t="s">
        <v>65</v>
      </c>
      <c r="D190" s="1" t="s">
        <v>359</v>
      </c>
      <c r="E190" s="1" t="s">
        <v>71</v>
      </c>
      <c r="F190" s="1" t="s">
        <v>360</v>
      </c>
      <c r="G190" s="2">
        <v>1</v>
      </c>
      <c r="H190" s="1" t="s">
        <v>112</v>
      </c>
      <c r="I190" s="44">
        <f>Tabla1[[#This Row],[Descuento]]+Tabla1[[#This Row],[Neto]]</f>
        <v>40</v>
      </c>
      <c r="J190" s="9">
        <v>0</v>
      </c>
      <c r="K190" s="9">
        <v>40</v>
      </c>
      <c r="L190" s="9"/>
      <c r="M190" s="24">
        <f>+Tabla1[[#This Row],[Costo Venta]]/Tabla1[[#This Row],[Cantidad]]</f>
        <v>0</v>
      </c>
      <c r="N190" s="3">
        <v>1</v>
      </c>
      <c r="O190" s="8">
        <f>+Tabla1[[#This Row],[Conversión]]*Tabla1[[#This Row],[Cantidad]]</f>
        <v>1</v>
      </c>
      <c r="P190" s="43">
        <f>Tabla1[[#This Row],[Neto]]-Tabla1[[#This Row],[Costo Venta]]</f>
        <v>40</v>
      </c>
    </row>
    <row r="191" spans="1:16" x14ac:dyDescent="0.25">
      <c r="A191" s="48">
        <v>45674</v>
      </c>
      <c r="B191" s="1" t="s">
        <v>108</v>
      </c>
      <c r="C191" s="1" t="s">
        <v>65</v>
      </c>
      <c r="D191" s="1" t="s">
        <v>361</v>
      </c>
      <c r="E191" s="1" t="s">
        <v>137</v>
      </c>
      <c r="F191" s="1" t="s">
        <v>38</v>
      </c>
      <c r="G191" s="2">
        <v>1</v>
      </c>
      <c r="H191" s="1" t="s">
        <v>112</v>
      </c>
      <c r="I191" s="44">
        <f>Tabla1[[#This Row],[Descuento]]+Tabla1[[#This Row],[Neto]]</f>
        <v>50</v>
      </c>
      <c r="J191" s="9">
        <v>0</v>
      </c>
      <c r="K191" s="9">
        <v>50</v>
      </c>
      <c r="L191" s="9"/>
      <c r="M191" s="24">
        <f>+Tabla1[[#This Row],[Costo Venta]]/Tabla1[[#This Row],[Cantidad]]</f>
        <v>0</v>
      </c>
      <c r="N191" s="3">
        <v>1</v>
      </c>
      <c r="O191" s="8">
        <f>+Tabla1[[#This Row],[Conversión]]*Tabla1[[#This Row],[Cantidad]]</f>
        <v>1</v>
      </c>
      <c r="P191" s="43">
        <f>Tabla1[[#This Row],[Neto]]-Tabla1[[#This Row],[Costo Venta]]</f>
        <v>50</v>
      </c>
    </row>
    <row r="192" spans="1:16" x14ac:dyDescent="0.25">
      <c r="A192" s="48">
        <v>45681</v>
      </c>
      <c r="B192" s="1" t="s">
        <v>108</v>
      </c>
      <c r="C192" s="1" t="s">
        <v>65</v>
      </c>
      <c r="D192" s="1" t="s">
        <v>362</v>
      </c>
      <c r="E192" s="1" t="s">
        <v>71</v>
      </c>
      <c r="F192" s="1" t="s">
        <v>363</v>
      </c>
      <c r="G192" s="2">
        <v>1</v>
      </c>
      <c r="H192" s="1" t="s">
        <v>112</v>
      </c>
      <c r="I192" s="44">
        <f>Tabla1[[#This Row],[Descuento]]+Tabla1[[#This Row],[Neto]]</f>
        <v>30</v>
      </c>
      <c r="J192" s="9">
        <v>0</v>
      </c>
      <c r="K192" s="9">
        <v>30</v>
      </c>
      <c r="L192" s="9"/>
      <c r="M192" s="24">
        <f>+Tabla1[[#This Row],[Costo Venta]]/Tabla1[[#This Row],[Cantidad]]</f>
        <v>0</v>
      </c>
      <c r="N192" s="3">
        <v>1</v>
      </c>
      <c r="O192" s="8">
        <f>+Tabla1[[#This Row],[Conversión]]*Tabla1[[#This Row],[Cantidad]]</f>
        <v>1</v>
      </c>
      <c r="P192" s="43">
        <f>Tabla1[[#This Row],[Neto]]-Tabla1[[#This Row],[Costo Venta]]</f>
        <v>30</v>
      </c>
    </row>
    <row r="193" spans="1:16" x14ac:dyDescent="0.25">
      <c r="A193" s="48">
        <v>45681</v>
      </c>
      <c r="B193" s="1" t="s">
        <v>108</v>
      </c>
      <c r="C193" s="1" t="s">
        <v>65</v>
      </c>
      <c r="D193" s="1" t="s">
        <v>364</v>
      </c>
      <c r="E193" s="1" t="s">
        <v>67</v>
      </c>
      <c r="F193" s="1" t="s">
        <v>365</v>
      </c>
      <c r="G193" s="2">
        <v>1</v>
      </c>
      <c r="H193" s="1" t="s">
        <v>112</v>
      </c>
      <c r="I193" s="44">
        <f>Tabla1[[#This Row],[Descuento]]+Tabla1[[#This Row],[Neto]]</f>
        <v>40</v>
      </c>
      <c r="J193" s="9">
        <v>0</v>
      </c>
      <c r="K193" s="9">
        <v>40</v>
      </c>
      <c r="L193" s="9"/>
      <c r="M193" s="24">
        <f>+Tabla1[[#This Row],[Costo Venta]]/Tabla1[[#This Row],[Cantidad]]</f>
        <v>0</v>
      </c>
      <c r="N193" s="3">
        <v>1</v>
      </c>
      <c r="O193" s="8">
        <f>+Tabla1[[#This Row],[Conversión]]*Tabla1[[#This Row],[Cantidad]]</f>
        <v>1</v>
      </c>
      <c r="P193" s="43">
        <f>Tabla1[[#This Row],[Neto]]-Tabla1[[#This Row],[Costo Venta]]</f>
        <v>40</v>
      </c>
    </row>
    <row r="194" spans="1:16" x14ac:dyDescent="0.25">
      <c r="A194" s="48">
        <v>45685</v>
      </c>
      <c r="B194" s="1" t="s">
        <v>108</v>
      </c>
      <c r="C194" s="1" t="s">
        <v>65</v>
      </c>
      <c r="D194" s="1" t="s">
        <v>366</v>
      </c>
      <c r="E194" s="1" t="s">
        <v>67</v>
      </c>
      <c r="F194" s="1" t="s">
        <v>365</v>
      </c>
      <c r="G194" s="2">
        <v>1</v>
      </c>
      <c r="H194" s="1" t="s">
        <v>112</v>
      </c>
      <c r="I194" s="44">
        <f>Tabla1[[#This Row],[Descuento]]+Tabla1[[#This Row],[Neto]]</f>
        <v>160</v>
      </c>
      <c r="J194" s="9">
        <v>0</v>
      </c>
      <c r="K194" s="9">
        <v>160</v>
      </c>
      <c r="L194" s="9"/>
      <c r="M194" s="24">
        <f>+Tabla1[[#This Row],[Costo Venta]]/Tabla1[[#This Row],[Cantidad]]</f>
        <v>0</v>
      </c>
      <c r="N194" s="3">
        <v>1</v>
      </c>
      <c r="O194" s="8">
        <f>+Tabla1[[#This Row],[Conversión]]*Tabla1[[#This Row],[Cantidad]]</f>
        <v>1</v>
      </c>
      <c r="P194" s="43">
        <f>Tabla1[[#This Row],[Neto]]-Tabla1[[#This Row],[Costo Venta]]</f>
        <v>160</v>
      </c>
    </row>
    <row r="195" spans="1:16" x14ac:dyDescent="0.25">
      <c r="A195" s="48">
        <v>45685</v>
      </c>
      <c r="B195" s="1" t="s">
        <v>108</v>
      </c>
      <c r="C195" s="1" t="s">
        <v>65</v>
      </c>
      <c r="D195" s="1" t="s">
        <v>367</v>
      </c>
      <c r="E195" s="1" t="s">
        <v>67</v>
      </c>
      <c r="F195" s="1" t="s">
        <v>43</v>
      </c>
      <c r="G195" s="2">
        <v>1</v>
      </c>
      <c r="H195" s="1" t="s">
        <v>112</v>
      </c>
      <c r="I195" s="44">
        <f>Tabla1[[#This Row],[Descuento]]+Tabla1[[#This Row],[Neto]]</f>
        <v>70</v>
      </c>
      <c r="J195" s="9">
        <v>0</v>
      </c>
      <c r="K195" s="9">
        <v>70</v>
      </c>
      <c r="L195" s="9"/>
      <c r="M195" s="24">
        <f>+Tabla1[[#This Row],[Costo Venta]]/Tabla1[[#This Row],[Cantidad]]</f>
        <v>0</v>
      </c>
      <c r="N195" s="3">
        <v>1</v>
      </c>
      <c r="O195" s="8">
        <f>+Tabla1[[#This Row],[Conversión]]*Tabla1[[#This Row],[Cantidad]]</f>
        <v>1</v>
      </c>
      <c r="P195" s="43">
        <f>Tabla1[[#This Row],[Neto]]-Tabla1[[#This Row],[Costo Venta]]</f>
        <v>70</v>
      </c>
    </row>
    <row r="196" spans="1:16" x14ac:dyDescent="0.25">
      <c r="A196" s="48">
        <v>45713</v>
      </c>
      <c r="B196" s="1" t="s">
        <v>108</v>
      </c>
      <c r="C196" s="1" t="s">
        <v>65</v>
      </c>
      <c r="D196" s="1" t="s">
        <v>368</v>
      </c>
      <c r="E196" s="1" t="s">
        <v>67</v>
      </c>
      <c r="F196" s="1" t="s">
        <v>365</v>
      </c>
      <c r="G196" s="2">
        <v>1</v>
      </c>
      <c r="H196" s="1" t="s">
        <v>112</v>
      </c>
      <c r="I196" s="44">
        <f>Tabla1[[#This Row],[Descuento]]+Tabla1[[#This Row],[Neto]]</f>
        <v>10</v>
      </c>
      <c r="J196" s="9">
        <v>0</v>
      </c>
      <c r="K196" s="9">
        <v>10</v>
      </c>
      <c r="L196" s="9"/>
      <c r="M196" s="24">
        <f>+Tabla1[[#This Row],[Costo Venta]]/Tabla1[[#This Row],[Cantidad]]</f>
        <v>0</v>
      </c>
      <c r="N196" s="3">
        <v>1</v>
      </c>
      <c r="O196" s="8">
        <f>+Tabla1[[#This Row],[Conversión]]*Tabla1[[#This Row],[Cantidad]]</f>
        <v>1</v>
      </c>
      <c r="P196" s="43">
        <f>Tabla1[[#This Row],[Neto]]-Tabla1[[#This Row],[Costo Venta]]</f>
        <v>10</v>
      </c>
    </row>
    <row r="197" spans="1:16" x14ac:dyDescent="0.25">
      <c r="A197" s="48">
        <v>45721</v>
      </c>
      <c r="B197" s="1" t="s">
        <v>108</v>
      </c>
      <c r="C197" s="1" t="s">
        <v>65</v>
      </c>
      <c r="D197" s="1" t="s">
        <v>369</v>
      </c>
      <c r="E197" s="1" t="s">
        <v>67</v>
      </c>
      <c r="F197" s="1" t="s">
        <v>43</v>
      </c>
      <c r="G197" s="2">
        <v>1</v>
      </c>
      <c r="H197" s="1" t="s">
        <v>112</v>
      </c>
      <c r="I197" s="44">
        <f>Tabla1[[#This Row],[Descuento]]+Tabla1[[#This Row],[Neto]]</f>
        <v>100</v>
      </c>
      <c r="J197" s="9">
        <v>0</v>
      </c>
      <c r="K197" s="9">
        <v>100</v>
      </c>
      <c r="L197" s="9"/>
      <c r="M197" s="24">
        <f>+Tabla1[[#This Row],[Costo Venta]]/Tabla1[[#This Row],[Cantidad]]</f>
        <v>0</v>
      </c>
      <c r="N197" s="3">
        <v>1</v>
      </c>
      <c r="O197" s="8">
        <f>+Tabla1[[#This Row],[Conversión]]*Tabla1[[#This Row],[Cantidad]]</f>
        <v>1</v>
      </c>
      <c r="P197" s="43">
        <f>Tabla1[[#This Row],[Neto]]-Tabla1[[#This Row],[Costo Venta]]</f>
        <v>100</v>
      </c>
    </row>
    <row r="198" spans="1:16" x14ac:dyDescent="0.25">
      <c r="A198" s="48">
        <v>45734</v>
      </c>
      <c r="B198" s="1" t="s">
        <v>108</v>
      </c>
      <c r="C198" s="1" t="s">
        <v>65</v>
      </c>
      <c r="D198" s="1" t="s">
        <v>370</v>
      </c>
      <c r="E198" s="1" t="s">
        <v>132</v>
      </c>
      <c r="F198" s="1" t="s">
        <v>133</v>
      </c>
      <c r="G198" s="2">
        <v>1</v>
      </c>
      <c r="H198" s="1" t="s">
        <v>112</v>
      </c>
      <c r="I198" s="44">
        <f>Tabla1[[#This Row],[Descuento]]+Tabla1[[#This Row],[Neto]]</f>
        <v>100</v>
      </c>
      <c r="J198" s="9">
        <v>0</v>
      </c>
      <c r="K198" s="9">
        <v>100</v>
      </c>
      <c r="L198" s="9"/>
      <c r="M198" s="24">
        <f>+Tabla1[[#This Row],[Costo Venta]]/Tabla1[[#This Row],[Cantidad]]</f>
        <v>0</v>
      </c>
      <c r="N198" s="3">
        <v>1</v>
      </c>
      <c r="O198" s="8">
        <f>+Tabla1[[#This Row],[Conversión]]*Tabla1[[#This Row],[Cantidad]]</f>
        <v>1</v>
      </c>
      <c r="P198" s="43">
        <f>Tabla1[[#This Row],[Neto]]-Tabla1[[#This Row],[Costo Venta]]</f>
        <v>100</v>
      </c>
    </row>
    <row r="199" spans="1:16" x14ac:dyDescent="0.25">
      <c r="A199" s="48">
        <v>45762</v>
      </c>
      <c r="B199" s="1" t="s">
        <v>108</v>
      </c>
      <c r="C199" s="1" t="s">
        <v>65</v>
      </c>
      <c r="D199" s="1" t="s">
        <v>371</v>
      </c>
      <c r="E199" s="1" t="s">
        <v>71</v>
      </c>
      <c r="F199" s="1" t="s">
        <v>372</v>
      </c>
      <c r="G199" s="2">
        <v>1</v>
      </c>
      <c r="H199" s="1" t="s">
        <v>112</v>
      </c>
      <c r="I199" s="44">
        <f>Tabla1[[#This Row],[Descuento]]+Tabla1[[#This Row],[Neto]]</f>
        <v>50</v>
      </c>
      <c r="J199" s="9">
        <v>0</v>
      </c>
      <c r="K199" s="9">
        <v>50</v>
      </c>
      <c r="L199" s="9"/>
      <c r="M199" s="24">
        <f>+Tabla1[[#This Row],[Costo Venta]]/Tabla1[[#This Row],[Cantidad]]</f>
        <v>0</v>
      </c>
      <c r="N199" s="3">
        <v>1</v>
      </c>
      <c r="O199" s="8">
        <f>+Tabla1[[#This Row],[Conversión]]*Tabla1[[#This Row],[Cantidad]]</f>
        <v>1</v>
      </c>
      <c r="P199" s="43">
        <f>Tabla1[[#This Row],[Neto]]-Tabla1[[#This Row],[Costo Venta]]</f>
        <v>50</v>
      </c>
    </row>
    <row r="200" spans="1:16" x14ac:dyDescent="0.25">
      <c r="A200" s="48">
        <v>45764</v>
      </c>
      <c r="B200" s="1" t="s">
        <v>108</v>
      </c>
      <c r="C200" s="1" t="s">
        <v>65</v>
      </c>
      <c r="D200" s="1" t="s">
        <v>373</v>
      </c>
      <c r="E200" s="1" t="s">
        <v>71</v>
      </c>
      <c r="F200" s="1" t="s">
        <v>374</v>
      </c>
      <c r="G200" s="2">
        <v>1</v>
      </c>
      <c r="H200" s="1" t="s">
        <v>112</v>
      </c>
      <c r="I200" s="44">
        <f>Tabla1[[#This Row],[Descuento]]+Tabla1[[#This Row],[Neto]]</f>
        <v>60</v>
      </c>
      <c r="J200" s="9">
        <v>0</v>
      </c>
      <c r="K200" s="9">
        <v>60</v>
      </c>
      <c r="L200" s="9"/>
      <c r="M200" s="24">
        <f>+Tabla1[[#This Row],[Costo Venta]]/Tabla1[[#This Row],[Cantidad]]</f>
        <v>0</v>
      </c>
      <c r="N200" s="3">
        <v>1</v>
      </c>
      <c r="O200" s="8">
        <f>+Tabla1[[#This Row],[Conversión]]*Tabla1[[#This Row],[Cantidad]]</f>
        <v>1</v>
      </c>
      <c r="P200" s="43">
        <f>Tabla1[[#This Row],[Neto]]-Tabla1[[#This Row],[Costo Venta]]</f>
        <v>60</v>
      </c>
    </row>
    <row r="201" spans="1:16" x14ac:dyDescent="0.25">
      <c r="A201" s="48">
        <v>45782</v>
      </c>
      <c r="B201" s="1" t="s">
        <v>108</v>
      </c>
      <c r="C201" s="1" t="s">
        <v>65</v>
      </c>
      <c r="D201" s="1" t="s">
        <v>375</v>
      </c>
      <c r="E201" s="1" t="s">
        <v>71</v>
      </c>
      <c r="F201" s="1" t="s">
        <v>376</v>
      </c>
      <c r="G201" s="2">
        <v>1</v>
      </c>
      <c r="H201" s="1" t="s">
        <v>112</v>
      </c>
      <c r="I201" s="44">
        <f>Tabla1[[#This Row],[Descuento]]+Tabla1[[#This Row],[Neto]]</f>
        <v>150</v>
      </c>
      <c r="J201" s="9">
        <v>0</v>
      </c>
      <c r="K201" s="9">
        <v>150</v>
      </c>
      <c r="L201" s="9"/>
      <c r="M201" s="24">
        <f>+Tabla1[[#This Row],[Costo Venta]]/Tabla1[[#This Row],[Cantidad]]</f>
        <v>0</v>
      </c>
      <c r="N201" s="3">
        <v>1</v>
      </c>
      <c r="O201" s="8">
        <f>+Tabla1[[#This Row],[Conversión]]*Tabla1[[#This Row],[Cantidad]]</f>
        <v>1</v>
      </c>
      <c r="P201" s="43">
        <f>Tabla1[[#This Row],[Neto]]-Tabla1[[#This Row],[Costo Venta]]</f>
        <v>150</v>
      </c>
    </row>
    <row r="202" spans="1:16" x14ac:dyDescent="0.25">
      <c r="A202" s="48">
        <v>45784</v>
      </c>
      <c r="B202" s="1" t="s">
        <v>108</v>
      </c>
      <c r="C202" s="1" t="s">
        <v>65</v>
      </c>
      <c r="D202" s="1" t="s">
        <v>377</v>
      </c>
      <c r="E202" s="1" t="s">
        <v>132</v>
      </c>
      <c r="F202" s="1" t="s">
        <v>29</v>
      </c>
      <c r="G202" s="2">
        <v>1</v>
      </c>
      <c r="H202" s="1" t="s">
        <v>112</v>
      </c>
      <c r="I202" s="44">
        <f>Tabla1[[#This Row],[Descuento]]+Tabla1[[#This Row],[Neto]]</f>
        <v>200</v>
      </c>
      <c r="J202" s="9">
        <v>0</v>
      </c>
      <c r="K202" s="9">
        <v>200</v>
      </c>
      <c r="L202" s="9"/>
      <c r="M202" s="24">
        <f>+Tabla1[[#This Row],[Costo Venta]]/Tabla1[[#This Row],[Cantidad]]</f>
        <v>0</v>
      </c>
      <c r="N202" s="3">
        <v>1</v>
      </c>
      <c r="O202" s="8">
        <f>+Tabla1[[#This Row],[Conversión]]*Tabla1[[#This Row],[Cantidad]]</f>
        <v>1</v>
      </c>
      <c r="P202" s="43">
        <f>Tabla1[[#This Row],[Neto]]-Tabla1[[#This Row],[Costo Venta]]</f>
        <v>200</v>
      </c>
    </row>
    <row r="203" spans="1:16" x14ac:dyDescent="0.25">
      <c r="A203" s="48">
        <v>45786</v>
      </c>
      <c r="B203" s="1" t="s">
        <v>108</v>
      </c>
      <c r="C203" s="1" t="s">
        <v>65</v>
      </c>
      <c r="D203" s="1" t="s">
        <v>378</v>
      </c>
      <c r="E203" s="1" t="s">
        <v>132</v>
      </c>
      <c r="F203" s="1" t="s">
        <v>133</v>
      </c>
      <c r="G203" s="2">
        <v>1</v>
      </c>
      <c r="H203" s="1" t="s">
        <v>112</v>
      </c>
      <c r="I203" s="44">
        <f>Tabla1[[#This Row],[Descuento]]+Tabla1[[#This Row],[Neto]]</f>
        <v>60</v>
      </c>
      <c r="J203" s="9">
        <v>0</v>
      </c>
      <c r="K203" s="9">
        <v>60</v>
      </c>
      <c r="L203" s="9"/>
      <c r="M203" s="24">
        <f>+Tabla1[[#This Row],[Costo Venta]]/Tabla1[[#This Row],[Cantidad]]</f>
        <v>0</v>
      </c>
      <c r="N203" s="3">
        <v>1</v>
      </c>
      <c r="O203" s="8">
        <f>+Tabla1[[#This Row],[Conversión]]*Tabla1[[#This Row],[Cantidad]]</f>
        <v>1</v>
      </c>
      <c r="P203" s="43">
        <f>Tabla1[[#This Row],[Neto]]-Tabla1[[#This Row],[Costo Venta]]</f>
        <v>60</v>
      </c>
    </row>
    <row r="204" spans="1:16" x14ac:dyDescent="0.25">
      <c r="A204" s="48">
        <v>45799</v>
      </c>
      <c r="B204" s="1" t="s">
        <v>108</v>
      </c>
      <c r="C204" s="1" t="s">
        <v>65</v>
      </c>
      <c r="D204" s="1" t="s">
        <v>379</v>
      </c>
      <c r="E204" s="1" t="s">
        <v>71</v>
      </c>
      <c r="F204" s="1" t="s">
        <v>45</v>
      </c>
      <c r="G204" s="2">
        <v>1</v>
      </c>
      <c r="H204" s="1" t="s">
        <v>112</v>
      </c>
      <c r="I204" s="44">
        <f>Tabla1[[#This Row],[Descuento]]+Tabla1[[#This Row],[Neto]]</f>
        <v>100</v>
      </c>
      <c r="J204" s="9">
        <v>0</v>
      </c>
      <c r="K204" s="9">
        <v>100</v>
      </c>
      <c r="L204" s="9"/>
      <c r="M204" s="24">
        <f>+Tabla1[[#This Row],[Costo Venta]]/Tabla1[[#This Row],[Cantidad]]</f>
        <v>0</v>
      </c>
      <c r="N204" s="3">
        <v>1</v>
      </c>
      <c r="O204" s="8">
        <f>+Tabla1[[#This Row],[Conversión]]*Tabla1[[#This Row],[Cantidad]]</f>
        <v>1</v>
      </c>
      <c r="P204" s="43">
        <f>Tabla1[[#This Row],[Neto]]-Tabla1[[#This Row],[Costo Venta]]</f>
        <v>100</v>
      </c>
    </row>
    <row r="205" spans="1:16" x14ac:dyDescent="0.25">
      <c r="A205" s="48">
        <v>45810</v>
      </c>
      <c r="B205" s="1" t="s">
        <v>108</v>
      </c>
      <c r="C205" s="1" t="s">
        <v>65</v>
      </c>
      <c r="D205" s="1" t="s">
        <v>380</v>
      </c>
      <c r="E205" s="1" t="s">
        <v>132</v>
      </c>
      <c r="F205" s="1" t="s">
        <v>133</v>
      </c>
      <c r="G205" s="2">
        <v>1</v>
      </c>
      <c r="H205" s="1" t="s">
        <v>112</v>
      </c>
      <c r="I205" s="44">
        <f>Tabla1[[#This Row],[Descuento]]+Tabla1[[#This Row],[Neto]]</f>
        <v>60</v>
      </c>
      <c r="J205" s="9">
        <v>0</v>
      </c>
      <c r="K205" s="9">
        <v>60</v>
      </c>
      <c r="L205" s="9"/>
      <c r="M205" s="24">
        <f>+Tabla1[[#This Row],[Costo Venta]]/Tabla1[[#This Row],[Cantidad]]</f>
        <v>0</v>
      </c>
      <c r="N205" s="3">
        <v>1</v>
      </c>
      <c r="O205" s="8">
        <f>+Tabla1[[#This Row],[Conversión]]*Tabla1[[#This Row],[Cantidad]]</f>
        <v>1</v>
      </c>
      <c r="P205" s="43">
        <f>Tabla1[[#This Row],[Neto]]-Tabla1[[#This Row],[Costo Venta]]</f>
        <v>60</v>
      </c>
    </row>
    <row r="206" spans="1:16" x14ac:dyDescent="0.25">
      <c r="A206" s="48">
        <v>45811</v>
      </c>
      <c r="B206" s="1" t="s">
        <v>108</v>
      </c>
      <c r="C206" s="1" t="s">
        <v>65</v>
      </c>
      <c r="D206" s="1" t="s">
        <v>381</v>
      </c>
      <c r="E206" s="1" t="s">
        <v>137</v>
      </c>
      <c r="F206" s="1" t="s">
        <v>382</v>
      </c>
      <c r="G206" s="2">
        <v>1</v>
      </c>
      <c r="H206" s="1" t="s">
        <v>112</v>
      </c>
      <c r="I206" s="44">
        <f>Tabla1[[#This Row],[Descuento]]+Tabla1[[#This Row],[Neto]]</f>
        <v>200</v>
      </c>
      <c r="J206" s="9">
        <v>0</v>
      </c>
      <c r="K206" s="9">
        <v>200</v>
      </c>
      <c r="L206" s="9"/>
      <c r="M206" s="24">
        <f>+Tabla1[[#This Row],[Costo Venta]]/Tabla1[[#This Row],[Cantidad]]</f>
        <v>0</v>
      </c>
      <c r="N206" s="3">
        <v>1</v>
      </c>
      <c r="O206" s="8">
        <f>+Tabla1[[#This Row],[Conversión]]*Tabla1[[#This Row],[Cantidad]]</f>
        <v>1</v>
      </c>
      <c r="P206" s="43">
        <f>Tabla1[[#This Row],[Neto]]-Tabla1[[#This Row],[Costo Venta]]</f>
        <v>200</v>
      </c>
    </row>
    <row r="207" spans="1:16" x14ac:dyDescent="0.25">
      <c r="A207" s="48">
        <v>45811</v>
      </c>
      <c r="B207" s="1" t="s">
        <v>108</v>
      </c>
      <c r="C207" s="1" t="s">
        <v>65</v>
      </c>
      <c r="D207" s="1" t="s">
        <v>383</v>
      </c>
      <c r="E207" s="1" t="s">
        <v>67</v>
      </c>
      <c r="F207" s="1" t="s">
        <v>198</v>
      </c>
      <c r="G207" s="2">
        <v>1</v>
      </c>
      <c r="H207" s="1" t="s">
        <v>112</v>
      </c>
      <c r="I207" s="44">
        <f>Tabla1[[#This Row],[Descuento]]+Tabla1[[#This Row],[Neto]]</f>
        <v>250</v>
      </c>
      <c r="J207" s="9">
        <v>0</v>
      </c>
      <c r="K207" s="9">
        <v>250</v>
      </c>
      <c r="L207" s="9"/>
      <c r="M207" s="24">
        <f>+Tabla1[[#This Row],[Costo Venta]]/Tabla1[[#This Row],[Cantidad]]</f>
        <v>0</v>
      </c>
      <c r="N207" s="3">
        <v>1</v>
      </c>
      <c r="O207" s="8">
        <f>+Tabla1[[#This Row],[Conversión]]*Tabla1[[#This Row],[Cantidad]]</f>
        <v>1</v>
      </c>
      <c r="P207" s="43">
        <f>Tabla1[[#This Row],[Neto]]-Tabla1[[#This Row],[Costo Venta]]</f>
        <v>250</v>
      </c>
    </row>
    <row r="208" spans="1:16" x14ac:dyDescent="0.25">
      <c r="A208" s="48">
        <v>45831</v>
      </c>
      <c r="B208" s="1" t="s">
        <v>108</v>
      </c>
      <c r="C208" s="1" t="s">
        <v>65</v>
      </c>
      <c r="D208" s="1" t="s">
        <v>384</v>
      </c>
      <c r="E208" s="1" t="s">
        <v>71</v>
      </c>
      <c r="F208" s="1" t="s">
        <v>45</v>
      </c>
      <c r="G208" s="2">
        <v>1</v>
      </c>
      <c r="H208" s="1" t="s">
        <v>112</v>
      </c>
      <c r="I208" s="44">
        <f>Tabla1[[#This Row],[Descuento]]+Tabla1[[#This Row],[Neto]]</f>
        <v>200</v>
      </c>
      <c r="J208" s="9">
        <v>0</v>
      </c>
      <c r="K208" s="9">
        <v>200</v>
      </c>
      <c r="L208" s="9"/>
      <c r="M208" s="24">
        <f>+Tabla1[[#This Row],[Costo Venta]]/Tabla1[[#This Row],[Cantidad]]</f>
        <v>0</v>
      </c>
      <c r="N208" s="3">
        <v>1</v>
      </c>
      <c r="O208" s="8">
        <f>+Tabla1[[#This Row],[Conversión]]*Tabla1[[#This Row],[Cantidad]]</f>
        <v>1</v>
      </c>
      <c r="P208" s="43">
        <f>Tabla1[[#This Row],[Neto]]-Tabla1[[#This Row],[Costo Venta]]</f>
        <v>200</v>
      </c>
    </row>
    <row r="209" spans="1:16" x14ac:dyDescent="0.25">
      <c r="A209" s="48">
        <v>45834</v>
      </c>
      <c r="B209" s="1" t="s">
        <v>108</v>
      </c>
      <c r="C209" s="1" t="s">
        <v>65</v>
      </c>
      <c r="D209" s="1" t="s">
        <v>385</v>
      </c>
      <c r="E209" s="1" t="s">
        <v>67</v>
      </c>
      <c r="F209" s="1" t="s">
        <v>34</v>
      </c>
      <c r="G209" s="2">
        <v>2</v>
      </c>
      <c r="H209" s="1" t="s">
        <v>112</v>
      </c>
      <c r="I209" s="44">
        <f>Tabla1[[#This Row],[Descuento]]+Tabla1[[#This Row],[Neto]]</f>
        <v>1200</v>
      </c>
      <c r="J209" s="9">
        <v>1200</v>
      </c>
      <c r="K209" s="9">
        <v>0</v>
      </c>
      <c r="L209" s="9"/>
      <c r="M209" s="24">
        <f>+Tabla1[[#This Row],[Costo Venta]]/Tabla1[[#This Row],[Cantidad]]</f>
        <v>0</v>
      </c>
      <c r="N209" s="3">
        <v>1</v>
      </c>
      <c r="O209" s="8">
        <f>+Tabla1[[#This Row],[Conversión]]*Tabla1[[#This Row],[Cantidad]]</f>
        <v>2</v>
      </c>
      <c r="P209" s="43">
        <f>Tabla1[[#This Row],[Neto]]-Tabla1[[#This Row],[Costo Venta]]</f>
        <v>0</v>
      </c>
    </row>
    <row r="210" spans="1:16" x14ac:dyDescent="0.25">
      <c r="A210" s="48">
        <v>45855</v>
      </c>
      <c r="B210" s="1" t="s">
        <v>108</v>
      </c>
      <c r="C210" s="1" t="s">
        <v>65</v>
      </c>
      <c r="D210" s="1" t="s">
        <v>386</v>
      </c>
      <c r="E210" s="1" t="s">
        <v>71</v>
      </c>
      <c r="F210" s="1" t="s">
        <v>387</v>
      </c>
      <c r="G210" s="2">
        <v>1</v>
      </c>
      <c r="H210" s="1" t="s">
        <v>112</v>
      </c>
      <c r="I210" s="44">
        <f>Tabla1[[#This Row],[Descuento]]+Tabla1[[#This Row],[Neto]]</f>
        <v>60</v>
      </c>
      <c r="J210" s="9">
        <v>0</v>
      </c>
      <c r="K210" s="9">
        <v>60</v>
      </c>
      <c r="L210" s="9"/>
      <c r="M210" s="24">
        <f>+Tabla1[[#This Row],[Costo Venta]]/Tabla1[[#This Row],[Cantidad]]</f>
        <v>0</v>
      </c>
      <c r="N210" s="3">
        <v>1</v>
      </c>
      <c r="O210" s="8">
        <f>+Tabla1[[#This Row],[Conversión]]*Tabla1[[#This Row],[Cantidad]]</f>
        <v>1</v>
      </c>
      <c r="P210" s="43">
        <f>Tabla1[[#This Row],[Neto]]-Tabla1[[#This Row],[Costo Venta]]</f>
        <v>60</v>
      </c>
    </row>
    <row r="211" spans="1:16" x14ac:dyDescent="0.25">
      <c r="A211" s="48">
        <v>45855</v>
      </c>
      <c r="B211" s="1" t="s">
        <v>108</v>
      </c>
      <c r="C211" s="1" t="s">
        <v>65</v>
      </c>
      <c r="D211" s="1" t="s">
        <v>388</v>
      </c>
      <c r="E211" s="1" t="s">
        <v>67</v>
      </c>
      <c r="F211" s="1" t="s">
        <v>198</v>
      </c>
      <c r="G211" s="2">
        <v>1</v>
      </c>
      <c r="H211" s="1" t="s">
        <v>112</v>
      </c>
      <c r="I211" s="44">
        <f>Tabla1[[#This Row],[Descuento]]+Tabla1[[#This Row],[Neto]]</f>
        <v>60</v>
      </c>
      <c r="J211" s="9">
        <v>0</v>
      </c>
      <c r="K211" s="9">
        <v>60</v>
      </c>
      <c r="L211" s="9"/>
      <c r="M211" s="24">
        <f>+Tabla1[[#This Row],[Costo Venta]]/Tabla1[[#This Row],[Cantidad]]</f>
        <v>0</v>
      </c>
      <c r="N211" s="3">
        <v>1</v>
      </c>
      <c r="O211" s="8">
        <f>+Tabla1[[#This Row],[Conversión]]*Tabla1[[#This Row],[Cantidad]]</f>
        <v>1</v>
      </c>
      <c r="P211" s="43">
        <f>Tabla1[[#This Row],[Neto]]-Tabla1[[#This Row],[Costo Venta]]</f>
        <v>60</v>
      </c>
    </row>
    <row r="212" spans="1:16" x14ac:dyDescent="0.25">
      <c r="A212" s="48">
        <v>45860</v>
      </c>
      <c r="B212" s="1" t="s">
        <v>108</v>
      </c>
      <c r="C212" s="1" t="s">
        <v>65</v>
      </c>
      <c r="D212" s="1" t="s">
        <v>389</v>
      </c>
      <c r="E212" s="1" t="s">
        <v>67</v>
      </c>
      <c r="F212" s="1" t="s">
        <v>42</v>
      </c>
      <c r="G212" s="2">
        <v>1</v>
      </c>
      <c r="H212" s="1" t="s">
        <v>112</v>
      </c>
      <c r="I212" s="44">
        <f>Tabla1[[#This Row],[Descuento]]+Tabla1[[#This Row],[Neto]]</f>
        <v>50</v>
      </c>
      <c r="J212" s="9">
        <v>0</v>
      </c>
      <c r="K212" s="9">
        <v>50</v>
      </c>
      <c r="L212" s="9"/>
      <c r="M212" s="24">
        <f>+Tabla1[[#This Row],[Costo Venta]]/Tabla1[[#This Row],[Cantidad]]</f>
        <v>0</v>
      </c>
      <c r="N212" s="3">
        <v>1</v>
      </c>
      <c r="O212" s="8">
        <f>+Tabla1[[#This Row],[Conversión]]*Tabla1[[#This Row],[Cantidad]]</f>
        <v>1</v>
      </c>
      <c r="P212" s="43">
        <f>Tabla1[[#This Row],[Neto]]-Tabla1[[#This Row],[Costo Venta]]</f>
        <v>50</v>
      </c>
    </row>
    <row r="213" spans="1:16" x14ac:dyDescent="0.25">
      <c r="A213" s="48">
        <v>45863</v>
      </c>
      <c r="B213" s="1" t="s">
        <v>108</v>
      </c>
      <c r="C213" s="1" t="s">
        <v>65</v>
      </c>
      <c r="D213" s="1" t="s">
        <v>390</v>
      </c>
      <c r="E213" s="1" t="s">
        <v>71</v>
      </c>
      <c r="F213" s="1" t="s">
        <v>391</v>
      </c>
      <c r="G213" s="2">
        <v>2</v>
      </c>
      <c r="H213" s="1" t="s">
        <v>112</v>
      </c>
      <c r="I213" s="44">
        <f>Tabla1[[#This Row],[Descuento]]+Tabla1[[#This Row],[Neto]]</f>
        <v>500</v>
      </c>
      <c r="J213" s="9">
        <v>500</v>
      </c>
      <c r="K213" s="9">
        <v>0</v>
      </c>
      <c r="L213" s="9"/>
      <c r="M213" s="24">
        <f>+Tabla1[[#This Row],[Costo Venta]]/Tabla1[[#This Row],[Cantidad]]</f>
        <v>0</v>
      </c>
      <c r="N213" s="3">
        <v>1</v>
      </c>
      <c r="O213" s="8">
        <f>+Tabla1[[#This Row],[Conversión]]*Tabla1[[#This Row],[Cantidad]]</f>
        <v>2</v>
      </c>
      <c r="P213" s="43">
        <f>Tabla1[[#This Row],[Neto]]-Tabla1[[#This Row],[Costo Venta]]</f>
        <v>0</v>
      </c>
    </row>
    <row r="214" spans="1:16" x14ac:dyDescent="0.25">
      <c r="A214" s="48">
        <v>45870</v>
      </c>
      <c r="B214" s="1" t="s">
        <v>108</v>
      </c>
      <c r="C214" s="1" t="s">
        <v>65</v>
      </c>
      <c r="D214" s="1" t="s">
        <v>392</v>
      </c>
      <c r="E214" s="1" t="s">
        <v>71</v>
      </c>
      <c r="F214" s="1" t="s">
        <v>393</v>
      </c>
      <c r="G214" s="2">
        <v>1</v>
      </c>
      <c r="H214" s="1" t="s">
        <v>112</v>
      </c>
      <c r="I214" s="44">
        <f>Tabla1[[#This Row],[Descuento]]+Tabla1[[#This Row],[Neto]]</f>
        <v>200</v>
      </c>
      <c r="J214" s="9">
        <v>200</v>
      </c>
      <c r="K214" s="9">
        <v>0</v>
      </c>
      <c r="L214" s="9"/>
      <c r="M214" s="24">
        <f>+Tabla1[[#This Row],[Costo Venta]]/Tabla1[[#This Row],[Cantidad]]</f>
        <v>0</v>
      </c>
      <c r="N214" s="3">
        <v>1</v>
      </c>
      <c r="O214" s="8">
        <f>+Tabla1[[#This Row],[Conversión]]*Tabla1[[#This Row],[Cantidad]]</f>
        <v>1</v>
      </c>
      <c r="P214" s="43">
        <f>Tabla1[[#This Row],[Neto]]-Tabla1[[#This Row],[Costo Venta]]</f>
        <v>0</v>
      </c>
    </row>
    <row r="215" spans="1:16" x14ac:dyDescent="0.25">
      <c r="A215" s="48">
        <v>45887</v>
      </c>
      <c r="B215" s="1" t="s">
        <v>108</v>
      </c>
      <c r="C215" s="1" t="s">
        <v>65</v>
      </c>
      <c r="D215" s="1" t="s">
        <v>394</v>
      </c>
      <c r="E215" s="1" t="s">
        <v>67</v>
      </c>
      <c r="F215" s="1" t="s">
        <v>40</v>
      </c>
      <c r="G215" s="2">
        <v>1</v>
      </c>
      <c r="H215" s="1" t="s">
        <v>112</v>
      </c>
      <c r="I215" s="44">
        <f>Tabla1[[#This Row],[Descuento]]+Tabla1[[#This Row],[Neto]]</f>
        <v>30</v>
      </c>
      <c r="J215" s="9">
        <v>30</v>
      </c>
      <c r="K215" s="9">
        <v>0</v>
      </c>
      <c r="L215" s="9"/>
      <c r="M215" s="24">
        <f>+Tabla1[[#This Row],[Costo Venta]]/Tabla1[[#This Row],[Cantidad]]</f>
        <v>0</v>
      </c>
      <c r="N215" s="3">
        <v>1</v>
      </c>
      <c r="O215" s="8">
        <f>+Tabla1[[#This Row],[Conversión]]*Tabla1[[#This Row],[Cantidad]]</f>
        <v>1</v>
      </c>
      <c r="P215" s="43">
        <f>Tabla1[[#This Row],[Neto]]-Tabla1[[#This Row],[Costo Venta]]</f>
        <v>0</v>
      </c>
    </row>
    <row r="216" spans="1:16" x14ac:dyDescent="0.25">
      <c r="A216" s="48">
        <v>45895</v>
      </c>
      <c r="B216" s="1" t="s">
        <v>108</v>
      </c>
      <c r="C216" s="1" t="s">
        <v>65</v>
      </c>
      <c r="D216" s="1" t="s">
        <v>395</v>
      </c>
      <c r="E216" s="1" t="s">
        <v>67</v>
      </c>
      <c r="F216" s="1" t="s">
        <v>34</v>
      </c>
      <c r="G216" s="2">
        <v>1</v>
      </c>
      <c r="H216" s="1" t="s">
        <v>112</v>
      </c>
      <c r="I216" s="44">
        <f>Tabla1[[#This Row],[Descuento]]+Tabla1[[#This Row],[Neto]]</f>
        <v>30</v>
      </c>
      <c r="J216" s="9">
        <v>0</v>
      </c>
      <c r="K216" s="9">
        <v>30</v>
      </c>
      <c r="L216" s="9"/>
      <c r="M216" s="24">
        <f>+Tabla1[[#This Row],[Costo Venta]]/Tabla1[[#This Row],[Cantidad]]</f>
        <v>0</v>
      </c>
      <c r="N216" s="3">
        <v>1</v>
      </c>
      <c r="O216" s="8">
        <f>+Tabla1[[#This Row],[Conversión]]*Tabla1[[#This Row],[Cantidad]]</f>
        <v>1</v>
      </c>
      <c r="P216" s="43">
        <f>Tabla1[[#This Row],[Neto]]-Tabla1[[#This Row],[Costo Venta]]</f>
        <v>30</v>
      </c>
    </row>
    <row r="217" spans="1:16" x14ac:dyDescent="0.25">
      <c r="A217" s="48">
        <v>45897</v>
      </c>
      <c r="B217" s="1" t="s">
        <v>108</v>
      </c>
      <c r="C217" s="1" t="s">
        <v>65</v>
      </c>
      <c r="D217" s="1" t="s">
        <v>396</v>
      </c>
      <c r="E217" s="1" t="s">
        <v>71</v>
      </c>
      <c r="F217" s="1" t="s">
        <v>397</v>
      </c>
      <c r="G217" s="2">
        <v>1</v>
      </c>
      <c r="H217" s="1" t="s">
        <v>112</v>
      </c>
      <c r="I217" s="44">
        <f>Tabla1[[#This Row],[Descuento]]+Tabla1[[#This Row],[Neto]]</f>
        <v>80</v>
      </c>
      <c r="J217" s="9">
        <v>0</v>
      </c>
      <c r="K217" s="9">
        <v>80</v>
      </c>
      <c r="L217" s="9"/>
      <c r="M217" s="24">
        <f>+Tabla1[[#This Row],[Costo Venta]]/Tabla1[[#This Row],[Cantidad]]</f>
        <v>0</v>
      </c>
      <c r="N217" s="3">
        <v>1</v>
      </c>
      <c r="O217" s="8">
        <f>+Tabla1[[#This Row],[Conversión]]*Tabla1[[#This Row],[Cantidad]]</f>
        <v>1</v>
      </c>
      <c r="P217" s="43">
        <f>Tabla1[[#This Row],[Neto]]-Tabla1[[#This Row],[Costo Venta]]</f>
        <v>80</v>
      </c>
    </row>
    <row r="218" spans="1:16" x14ac:dyDescent="0.25">
      <c r="A218" s="48">
        <v>45909</v>
      </c>
      <c r="B218" s="1" t="s">
        <v>108</v>
      </c>
      <c r="C218" s="1" t="s">
        <v>65</v>
      </c>
      <c r="D218" s="1" t="s">
        <v>398</v>
      </c>
      <c r="E218" s="1" t="s">
        <v>132</v>
      </c>
      <c r="F218" s="1" t="s">
        <v>133</v>
      </c>
      <c r="G218" s="2">
        <v>1</v>
      </c>
      <c r="H218" s="1" t="s">
        <v>112</v>
      </c>
      <c r="I218" s="44">
        <f>Tabla1[[#This Row],[Descuento]]+Tabla1[[#This Row],[Neto]]</f>
        <v>30</v>
      </c>
      <c r="J218" s="9">
        <v>0</v>
      </c>
      <c r="K218" s="9">
        <v>30</v>
      </c>
      <c r="L218" s="9"/>
      <c r="M218" s="24">
        <f>+Tabla1[[#This Row],[Costo Venta]]/Tabla1[[#This Row],[Cantidad]]</f>
        <v>0</v>
      </c>
      <c r="N218" s="3">
        <v>1</v>
      </c>
      <c r="O218" s="8">
        <f>+Tabla1[[#This Row],[Conversión]]*Tabla1[[#This Row],[Cantidad]]</f>
        <v>1</v>
      </c>
      <c r="P218" s="43">
        <f>Tabla1[[#This Row],[Neto]]-Tabla1[[#This Row],[Costo Venta]]</f>
        <v>30</v>
      </c>
    </row>
    <row r="219" spans="1:16" x14ac:dyDescent="0.25">
      <c r="A219" s="48">
        <v>45919</v>
      </c>
      <c r="B219" s="1" t="s">
        <v>108</v>
      </c>
      <c r="C219" s="1" t="s">
        <v>65</v>
      </c>
      <c r="D219" s="1" t="s">
        <v>399</v>
      </c>
      <c r="E219" s="1" t="s">
        <v>132</v>
      </c>
      <c r="F219" s="1" t="s">
        <v>133</v>
      </c>
      <c r="G219" s="2">
        <v>1</v>
      </c>
      <c r="H219" s="1" t="s">
        <v>112</v>
      </c>
      <c r="I219" s="44">
        <f>Tabla1[[#This Row],[Descuento]]+Tabla1[[#This Row],[Neto]]</f>
        <v>75</v>
      </c>
      <c r="J219" s="9">
        <v>0</v>
      </c>
      <c r="K219" s="9">
        <v>75</v>
      </c>
      <c r="L219" s="9"/>
      <c r="M219" s="24">
        <f>+Tabla1[[#This Row],[Costo Venta]]/Tabla1[[#This Row],[Cantidad]]</f>
        <v>0</v>
      </c>
      <c r="N219" s="3">
        <v>1</v>
      </c>
      <c r="O219" s="8">
        <f>+Tabla1[[#This Row],[Conversión]]*Tabla1[[#This Row],[Cantidad]]</f>
        <v>1</v>
      </c>
      <c r="P219" s="43">
        <f>Tabla1[[#This Row],[Neto]]-Tabla1[[#This Row],[Costo Venta]]</f>
        <v>75</v>
      </c>
    </row>
    <row r="220" spans="1:16" x14ac:dyDescent="0.25">
      <c r="A220" s="48">
        <v>45919</v>
      </c>
      <c r="B220" s="1" t="s">
        <v>108</v>
      </c>
      <c r="C220" s="1" t="s">
        <v>65</v>
      </c>
      <c r="D220" s="1" t="s">
        <v>400</v>
      </c>
      <c r="E220" s="1" t="s">
        <v>132</v>
      </c>
      <c r="F220" s="1" t="s">
        <v>133</v>
      </c>
      <c r="G220" s="2">
        <v>1</v>
      </c>
      <c r="H220" s="1" t="s">
        <v>112</v>
      </c>
      <c r="I220" s="44">
        <f>Tabla1[[#This Row],[Descuento]]+Tabla1[[#This Row],[Neto]]</f>
        <v>75</v>
      </c>
      <c r="J220" s="9">
        <v>0</v>
      </c>
      <c r="K220" s="9">
        <v>75</v>
      </c>
      <c r="L220" s="9"/>
      <c r="M220" s="24">
        <f>+Tabla1[[#This Row],[Costo Venta]]/Tabla1[[#This Row],[Cantidad]]</f>
        <v>0</v>
      </c>
      <c r="N220" s="3">
        <v>1</v>
      </c>
      <c r="O220" s="8">
        <f>+Tabla1[[#This Row],[Conversión]]*Tabla1[[#This Row],[Cantidad]]</f>
        <v>1</v>
      </c>
      <c r="P220" s="43">
        <f>Tabla1[[#This Row],[Neto]]-Tabla1[[#This Row],[Costo Venta]]</f>
        <v>75</v>
      </c>
    </row>
    <row r="221" spans="1:16" x14ac:dyDescent="0.25">
      <c r="A221" s="48">
        <v>45919</v>
      </c>
      <c r="B221" s="1" t="s">
        <v>108</v>
      </c>
      <c r="C221" s="1" t="s">
        <v>65</v>
      </c>
      <c r="D221" s="1" t="s">
        <v>401</v>
      </c>
      <c r="E221" s="1" t="s">
        <v>132</v>
      </c>
      <c r="F221" s="1" t="s">
        <v>402</v>
      </c>
      <c r="G221" s="2">
        <v>1</v>
      </c>
      <c r="H221" s="1" t="s">
        <v>112</v>
      </c>
      <c r="I221" s="44">
        <f>Tabla1[[#This Row],[Descuento]]+Tabla1[[#This Row],[Neto]]</f>
        <v>50</v>
      </c>
      <c r="J221" s="9">
        <v>0</v>
      </c>
      <c r="K221" s="9">
        <v>50</v>
      </c>
      <c r="L221" s="9"/>
      <c r="M221" s="24">
        <f>+Tabla1[[#This Row],[Costo Venta]]/Tabla1[[#This Row],[Cantidad]]</f>
        <v>0</v>
      </c>
      <c r="N221" s="3">
        <v>1</v>
      </c>
      <c r="O221" s="8">
        <f>+Tabla1[[#This Row],[Conversión]]*Tabla1[[#This Row],[Cantidad]]</f>
        <v>1</v>
      </c>
      <c r="P221" s="43">
        <f>Tabla1[[#This Row],[Neto]]-Tabla1[[#This Row],[Costo Venta]]</f>
        <v>50</v>
      </c>
    </row>
    <row r="222" spans="1:16" x14ac:dyDescent="0.25">
      <c r="A222" s="48">
        <v>45922</v>
      </c>
      <c r="B222" s="1" t="s">
        <v>108</v>
      </c>
      <c r="C222" s="1" t="s">
        <v>65</v>
      </c>
      <c r="D222" s="1" t="s">
        <v>403</v>
      </c>
      <c r="E222" s="1" t="s">
        <v>67</v>
      </c>
      <c r="F222" s="1" t="s">
        <v>44</v>
      </c>
      <c r="G222" s="2">
        <v>1</v>
      </c>
      <c r="H222" s="1" t="s">
        <v>112</v>
      </c>
      <c r="I222" s="44">
        <f>Tabla1[[#This Row],[Descuento]]+Tabla1[[#This Row],[Neto]]</f>
        <v>400</v>
      </c>
      <c r="J222" s="9">
        <v>400</v>
      </c>
      <c r="K222" s="9">
        <v>0</v>
      </c>
      <c r="L222" s="9"/>
      <c r="M222" s="24">
        <f>+Tabla1[[#This Row],[Costo Venta]]/Tabla1[[#This Row],[Cantidad]]</f>
        <v>0</v>
      </c>
      <c r="N222" s="3">
        <v>1</v>
      </c>
      <c r="O222" s="8">
        <f>+Tabla1[[#This Row],[Conversión]]*Tabla1[[#This Row],[Cantidad]]</f>
        <v>1</v>
      </c>
      <c r="P222" s="43">
        <f>Tabla1[[#This Row],[Neto]]-Tabla1[[#This Row],[Costo Venta]]</f>
        <v>0</v>
      </c>
    </row>
    <row r="223" spans="1:16" x14ac:dyDescent="0.25">
      <c r="A223" s="48">
        <v>45924</v>
      </c>
      <c r="B223" s="1" t="s">
        <v>108</v>
      </c>
      <c r="C223" s="1" t="s">
        <v>65</v>
      </c>
      <c r="D223" s="1" t="s">
        <v>404</v>
      </c>
      <c r="E223" s="1" t="s">
        <v>67</v>
      </c>
      <c r="F223" s="1" t="s">
        <v>44</v>
      </c>
      <c r="G223" s="2">
        <v>3</v>
      </c>
      <c r="H223" s="1" t="s">
        <v>112</v>
      </c>
      <c r="I223" s="44">
        <f>Tabla1[[#This Row],[Descuento]]+Tabla1[[#This Row],[Neto]]</f>
        <v>450</v>
      </c>
      <c r="J223" s="9">
        <v>450</v>
      </c>
      <c r="K223" s="9">
        <v>0</v>
      </c>
      <c r="L223" s="9"/>
      <c r="M223" s="24">
        <f>+Tabla1[[#This Row],[Costo Venta]]/Tabla1[[#This Row],[Cantidad]]</f>
        <v>0</v>
      </c>
      <c r="N223" s="3">
        <v>1</v>
      </c>
      <c r="O223" s="8">
        <f>+Tabla1[[#This Row],[Conversión]]*Tabla1[[#This Row],[Cantidad]]</f>
        <v>3</v>
      </c>
      <c r="P223" s="43">
        <f>Tabla1[[#This Row],[Neto]]-Tabla1[[#This Row],[Costo Venta]]</f>
        <v>0</v>
      </c>
    </row>
    <row r="224" spans="1:16" x14ac:dyDescent="0.25">
      <c r="A224" s="48">
        <v>45293</v>
      </c>
      <c r="B224" s="1" t="s">
        <v>405</v>
      </c>
      <c r="C224" s="1" t="s">
        <v>65</v>
      </c>
      <c r="D224" s="1" t="s">
        <v>275</v>
      </c>
      <c r="E224" s="1" t="s">
        <v>71</v>
      </c>
      <c r="F224" s="1" t="s">
        <v>276</v>
      </c>
      <c r="G224" s="2">
        <v>22</v>
      </c>
      <c r="H224" s="51" t="s">
        <v>406</v>
      </c>
      <c r="I224" s="44">
        <f>Tabla1[[#This Row],[Descuento]]+Tabla1[[#This Row],[Neto]]</f>
        <v>855.35599999999999</v>
      </c>
      <c r="J224" s="9">
        <v>85.536000000000001</v>
      </c>
      <c r="K224" s="9">
        <v>769.82</v>
      </c>
      <c r="L224" s="9">
        <v>146.841442</v>
      </c>
      <c r="M224" s="24">
        <f>+Tabla1[[#This Row],[Costo Venta]]/Tabla1[[#This Row],[Cantidad]]</f>
        <v>6.6746109999999996</v>
      </c>
      <c r="N224" s="3">
        <v>1</v>
      </c>
      <c r="O224" s="8">
        <f>+Tabla1[[#This Row],[Conversión]]*Tabla1[[#This Row],[Cantidad]]</f>
        <v>22</v>
      </c>
      <c r="P224" s="43">
        <f>Tabla1[[#This Row],[Neto]]-Tabla1[[#This Row],[Costo Venta]]</f>
        <v>622.97855800000002</v>
      </c>
    </row>
    <row r="225" spans="1:16" x14ac:dyDescent="0.25">
      <c r="A225" s="48">
        <v>45378</v>
      </c>
      <c r="B225" s="1" t="s">
        <v>405</v>
      </c>
      <c r="C225" s="1" t="s">
        <v>81</v>
      </c>
      <c r="D225" s="1" t="s">
        <v>304</v>
      </c>
      <c r="E225" s="1" t="s">
        <v>71</v>
      </c>
      <c r="F225" s="1" t="s">
        <v>305</v>
      </c>
      <c r="G225" s="2">
        <v>10</v>
      </c>
      <c r="H225" s="51" t="s">
        <v>406</v>
      </c>
      <c r="I225" s="44">
        <f>Tabla1[[#This Row],[Descuento]]+Tabla1[[#This Row],[Neto]]</f>
        <v>388.79599999999999</v>
      </c>
      <c r="J225" s="9">
        <v>46.655999999999999</v>
      </c>
      <c r="K225" s="9">
        <v>342.14</v>
      </c>
      <c r="L225" s="9">
        <v>53.023350000000001</v>
      </c>
      <c r="M225" s="24">
        <f>+Tabla1[[#This Row],[Costo Venta]]/Tabla1[[#This Row],[Cantidad]]</f>
        <v>5.3023350000000002</v>
      </c>
      <c r="N225" s="3">
        <v>1</v>
      </c>
      <c r="O225" s="8">
        <f>+Tabla1[[#This Row],[Conversión]]*Tabla1[[#This Row],[Cantidad]]</f>
        <v>10</v>
      </c>
      <c r="P225" s="43">
        <f>Tabla1[[#This Row],[Neto]]-Tabla1[[#This Row],[Costo Venta]]</f>
        <v>289.11664999999999</v>
      </c>
    </row>
    <row r="226" spans="1:16" x14ac:dyDescent="0.25">
      <c r="A226" s="48">
        <v>45397</v>
      </c>
      <c r="B226" s="1" t="s">
        <v>405</v>
      </c>
      <c r="C226" s="1" t="s">
        <v>81</v>
      </c>
      <c r="D226" s="1" t="s">
        <v>407</v>
      </c>
      <c r="E226" s="1" t="s">
        <v>71</v>
      </c>
      <c r="F226" s="1" t="s">
        <v>305</v>
      </c>
      <c r="G226" s="2">
        <v>4</v>
      </c>
      <c r="H226" s="51" t="s">
        <v>406</v>
      </c>
      <c r="I226" s="44">
        <f>Tabla1[[#This Row],[Descuento]]+Tabla1[[#This Row],[Neto]]</f>
        <v>155.52000000000001</v>
      </c>
      <c r="J226" s="9">
        <v>0</v>
      </c>
      <c r="K226" s="9">
        <v>155.52000000000001</v>
      </c>
      <c r="L226" s="9">
        <v>20.424151999999999</v>
      </c>
      <c r="M226" s="24">
        <f>+Tabla1[[#This Row],[Costo Venta]]/Tabla1[[#This Row],[Cantidad]]</f>
        <v>5.1060379999999999</v>
      </c>
      <c r="N226" s="3">
        <v>1</v>
      </c>
      <c r="O226" s="8">
        <f>+Tabla1[[#This Row],[Conversión]]*Tabla1[[#This Row],[Cantidad]]</f>
        <v>4</v>
      </c>
      <c r="P226" s="43">
        <f>Tabla1[[#This Row],[Neto]]-Tabla1[[#This Row],[Costo Venta]]</f>
        <v>135.09584800000002</v>
      </c>
    </row>
    <row r="227" spans="1:16" x14ac:dyDescent="0.25">
      <c r="A227" s="48">
        <v>45525</v>
      </c>
      <c r="B227" s="1" t="s">
        <v>405</v>
      </c>
      <c r="C227" s="1" t="s">
        <v>65</v>
      </c>
      <c r="D227" s="1" t="s">
        <v>408</v>
      </c>
      <c r="E227" s="1" t="s">
        <v>67</v>
      </c>
      <c r="F227" s="1" t="s">
        <v>20</v>
      </c>
      <c r="G227" s="2">
        <v>25.92</v>
      </c>
      <c r="H227" s="51" t="s">
        <v>406</v>
      </c>
      <c r="I227" s="44">
        <f>Tabla1[[#This Row],[Descuento]]+Tabla1[[#This Row],[Neto]]</f>
        <v>890.35320000000002</v>
      </c>
      <c r="J227" s="9">
        <v>311.6232</v>
      </c>
      <c r="K227" s="9">
        <v>578.73</v>
      </c>
      <c r="L227" s="9">
        <v>132.57823392</v>
      </c>
      <c r="M227" s="24">
        <f>+Tabla1[[#This Row],[Costo Venta]]/Tabla1[[#This Row],[Cantidad]]</f>
        <v>5.1149009999999997</v>
      </c>
      <c r="N227" s="3">
        <v>1</v>
      </c>
      <c r="O227" s="8">
        <f>+Tabla1[[#This Row],[Conversión]]*Tabla1[[#This Row],[Cantidad]]</f>
        <v>25.92</v>
      </c>
      <c r="P227" s="43">
        <f>Tabla1[[#This Row],[Neto]]-Tabla1[[#This Row],[Costo Venta]]</f>
        <v>446.15176608000002</v>
      </c>
    </row>
    <row r="228" spans="1:16" x14ac:dyDescent="0.25">
      <c r="A228" s="48">
        <v>45456</v>
      </c>
      <c r="B228" s="1" t="s">
        <v>409</v>
      </c>
      <c r="C228" s="1" t="s">
        <v>65</v>
      </c>
      <c r="D228" s="1" t="s">
        <v>410</v>
      </c>
      <c r="E228" s="1" t="s">
        <v>67</v>
      </c>
      <c r="F228" s="1" t="s">
        <v>9</v>
      </c>
      <c r="G228" s="2">
        <v>32</v>
      </c>
      <c r="H228" s="51" t="s">
        <v>411</v>
      </c>
      <c r="I228" s="44">
        <f>Tabla1[[#This Row],[Descuento]]+Tabla1[[#This Row],[Neto]]</f>
        <v>1583.3620000000001</v>
      </c>
      <c r="J228" s="9">
        <v>712.51199999999994</v>
      </c>
      <c r="K228" s="9">
        <v>870.85</v>
      </c>
      <c r="L228" s="9">
        <v>148.32</v>
      </c>
      <c r="M228" s="24">
        <f>+Tabla1[[#This Row],[Costo Venta]]/Tabla1[[#This Row],[Cantidad]]</f>
        <v>4.6349999999999998</v>
      </c>
      <c r="N228" s="3">
        <v>1</v>
      </c>
      <c r="O228" s="8">
        <f>+Tabla1[[#This Row],[Conversión]]*Tabla1[[#This Row],[Cantidad]]</f>
        <v>32</v>
      </c>
      <c r="P228" s="43">
        <f>Tabla1[[#This Row],[Neto]]-Tabla1[[#This Row],[Costo Venta]]</f>
        <v>722.53</v>
      </c>
    </row>
    <row r="229" spans="1:16" x14ac:dyDescent="0.25">
      <c r="A229" s="48">
        <v>45561</v>
      </c>
      <c r="B229" s="1" t="s">
        <v>409</v>
      </c>
      <c r="C229" s="1" t="s">
        <v>65</v>
      </c>
      <c r="D229" s="1" t="s">
        <v>412</v>
      </c>
      <c r="E229" s="1" t="s">
        <v>67</v>
      </c>
      <c r="F229" s="1" t="s">
        <v>20</v>
      </c>
      <c r="G229" s="2">
        <v>28.5</v>
      </c>
      <c r="H229" s="51" t="s">
        <v>411</v>
      </c>
      <c r="I229" s="44">
        <f>Tabla1[[#This Row],[Descuento]]+Tabla1[[#This Row],[Neto]]</f>
        <v>1410.183</v>
      </c>
      <c r="J229" s="9">
        <v>493.56299999999999</v>
      </c>
      <c r="K229" s="9">
        <v>916.62</v>
      </c>
      <c r="L229" s="9">
        <v>136.25998200000001</v>
      </c>
      <c r="M229" s="24">
        <f>+Tabla1[[#This Row],[Costo Venta]]/Tabla1[[#This Row],[Cantidad]]</f>
        <v>4.7810519999999999</v>
      </c>
      <c r="N229" s="3">
        <v>1</v>
      </c>
      <c r="O229" s="8">
        <f>+Tabla1[[#This Row],[Conversión]]*Tabla1[[#This Row],[Cantidad]]</f>
        <v>28.5</v>
      </c>
      <c r="P229" s="43">
        <f>Tabla1[[#This Row],[Neto]]-Tabla1[[#This Row],[Costo Venta]]</f>
        <v>780.36001799999997</v>
      </c>
    </row>
    <row r="230" spans="1:16" x14ac:dyDescent="0.25">
      <c r="A230" s="48">
        <v>45205</v>
      </c>
      <c r="B230" s="1" t="s">
        <v>409</v>
      </c>
      <c r="C230" s="1" t="s">
        <v>214</v>
      </c>
      <c r="D230" s="1" t="s">
        <v>413</v>
      </c>
      <c r="E230" s="1" t="s">
        <v>71</v>
      </c>
      <c r="F230" s="1" t="s">
        <v>229</v>
      </c>
      <c r="G230" s="2">
        <v>12.24</v>
      </c>
      <c r="H230" s="1" t="s">
        <v>414</v>
      </c>
      <c r="I230" s="44">
        <f>Tabla1[[#This Row],[Descuento]]+Tabla1[[#This Row],[Neto]]</f>
        <v>734.39728000000002</v>
      </c>
      <c r="J230" s="9">
        <v>140.41728000000001</v>
      </c>
      <c r="K230" s="9">
        <v>593.98</v>
      </c>
      <c r="L230" s="9">
        <v>63.959752799999997</v>
      </c>
      <c r="M230" s="24">
        <f>+Tabla1[[#This Row],[Costo Venta]]/Tabla1[[#This Row],[Cantidad]]</f>
        <v>5.2254699999999996</v>
      </c>
      <c r="N230" s="3">
        <v>1</v>
      </c>
      <c r="O230" s="8">
        <f>+Tabla1[[#This Row],[Conversión]]*Tabla1[[#This Row],[Cantidad]]</f>
        <v>12.24</v>
      </c>
      <c r="P230" s="43">
        <f>Tabla1[[#This Row],[Neto]]-Tabla1[[#This Row],[Costo Venta]]</f>
        <v>530.02024719999997</v>
      </c>
    </row>
    <row r="231" spans="1:16" x14ac:dyDescent="0.25">
      <c r="A231" s="48">
        <v>45210</v>
      </c>
      <c r="B231" s="1" t="s">
        <v>409</v>
      </c>
      <c r="C231" s="1" t="s">
        <v>214</v>
      </c>
      <c r="D231" s="1" t="s">
        <v>250</v>
      </c>
      <c r="E231" s="1" t="s">
        <v>71</v>
      </c>
      <c r="F231" s="1" t="s">
        <v>251</v>
      </c>
      <c r="G231" s="2">
        <v>6.12</v>
      </c>
      <c r="H231" s="1" t="s">
        <v>414</v>
      </c>
      <c r="I231" s="44">
        <f>Tabla1[[#This Row],[Descuento]]+Tabla1[[#This Row],[Neto]]</f>
        <v>367.20000000000005</v>
      </c>
      <c r="J231" s="9">
        <v>36.72</v>
      </c>
      <c r="K231" s="9">
        <v>330.48</v>
      </c>
      <c r="L231" s="9">
        <v>31.979876399999998</v>
      </c>
      <c r="M231" s="24">
        <f>+Tabla1[[#This Row],[Costo Venta]]/Tabla1[[#This Row],[Cantidad]]</f>
        <v>5.2254699999999996</v>
      </c>
      <c r="N231" s="3">
        <v>1</v>
      </c>
      <c r="O231" s="8">
        <f>+Tabla1[[#This Row],[Conversión]]*Tabla1[[#This Row],[Cantidad]]</f>
        <v>6.12</v>
      </c>
      <c r="P231" s="43">
        <f>Tabla1[[#This Row],[Neto]]-Tabla1[[#This Row],[Costo Venta]]</f>
        <v>298.50012359999999</v>
      </c>
    </row>
    <row r="232" spans="1:16" x14ac:dyDescent="0.25">
      <c r="A232" s="48">
        <v>45222</v>
      </c>
      <c r="B232" s="1" t="s">
        <v>409</v>
      </c>
      <c r="C232" s="1" t="s">
        <v>214</v>
      </c>
      <c r="D232" s="1" t="s">
        <v>415</v>
      </c>
      <c r="E232" s="1" t="s">
        <v>71</v>
      </c>
      <c r="F232" s="1" t="s">
        <v>229</v>
      </c>
      <c r="G232" s="2">
        <v>1.02</v>
      </c>
      <c r="H232" s="1" t="s">
        <v>414</v>
      </c>
      <c r="I232" s="44">
        <f>Tabla1[[#This Row],[Descuento]]+Tabla1[[#This Row],[Neto]]</f>
        <v>61.2</v>
      </c>
      <c r="J232" s="9">
        <v>10.71</v>
      </c>
      <c r="K232" s="9">
        <v>50.49</v>
      </c>
      <c r="L232" s="9">
        <v>5.3313931200000004</v>
      </c>
      <c r="M232" s="24">
        <f>+Tabla1[[#This Row],[Costo Venta]]/Tabla1[[#This Row],[Cantidad]]</f>
        <v>5.2268560000000006</v>
      </c>
      <c r="N232" s="3">
        <v>1</v>
      </c>
      <c r="O232" s="8">
        <f>+Tabla1[[#This Row],[Conversión]]*Tabla1[[#This Row],[Cantidad]]</f>
        <v>1.02</v>
      </c>
      <c r="P232" s="43">
        <f>Tabla1[[#This Row],[Neto]]-Tabla1[[#This Row],[Costo Venta]]</f>
        <v>45.158606880000001</v>
      </c>
    </row>
    <row r="233" spans="1:16" x14ac:dyDescent="0.25">
      <c r="A233" s="48">
        <v>45230</v>
      </c>
      <c r="B233" s="1" t="s">
        <v>409</v>
      </c>
      <c r="C233" s="1" t="s">
        <v>214</v>
      </c>
      <c r="D233" s="1" t="s">
        <v>416</v>
      </c>
      <c r="E233" s="1" t="s">
        <v>132</v>
      </c>
      <c r="F233" s="1" t="s">
        <v>16</v>
      </c>
      <c r="G233" s="2">
        <v>3.06</v>
      </c>
      <c r="H233" s="1" t="s">
        <v>414</v>
      </c>
      <c r="I233" s="44">
        <f>Tabla1[[#This Row],[Descuento]]+Tabla1[[#This Row],[Neto]]</f>
        <v>183.60000000000002</v>
      </c>
      <c r="J233" s="9">
        <v>55.08</v>
      </c>
      <c r="K233" s="9">
        <v>128.52000000000001</v>
      </c>
      <c r="L233" s="9">
        <v>15.997582080000001</v>
      </c>
      <c r="M233" s="24">
        <f>+Tabla1[[#This Row],[Costo Venta]]/Tabla1[[#This Row],[Cantidad]]</f>
        <v>5.2279680000000006</v>
      </c>
      <c r="N233" s="3">
        <v>1</v>
      </c>
      <c r="O233" s="8">
        <f>+Tabla1[[#This Row],[Conversión]]*Tabla1[[#This Row],[Cantidad]]</f>
        <v>3.06</v>
      </c>
      <c r="P233" s="43">
        <f>Tabla1[[#This Row],[Neto]]-Tabla1[[#This Row],[Costo Venta]]</f>
        <v>112.52241792000001</v>
      </c>
    </row>
    <row r="234" spans="1:16" x14ac:dyDescent="0.25">
      <c r="A234" s="48">
        <v>45281</v>
      </c>
      <c r="B234" s="1" t="s">
        <v>409</v>
      </c>
      <c r="C234" s="1" t="s">
        <v>214</v>
      </c>
      <c r="D234" s="1" t="s">
        <v>417</v>
      </c>
      <c r="E234" s="1" t="s">
        <v>132</v>
      </c>
      <c r="F234" s="1" t="s">
        <v>16</v>
      </c>
      <c r="G234" s="2">
        <v>1.02</v>
      </c>
      <c r="H234" s="1" t="s">
        <v>414</v>
      </c>
      <c r="I234" s="44">
        <f>Tabla1[[#This Row],[Descuento]]+Tabla1[[#This Row],[Neto]]</f>
        <v>61.2</v>
      </c>
      <c r="J234" s="9">
        <v>21.42</v>
      </c>
      <c r="K234" s="9">
        <v>39.78</v>
      </c>
      <c r="L234" s="9">
        <v>5.3330944799999997</v>
      </c>
      <c r="M234" s="24">
        <f>+Tabla1[[#This Row],[Costo Venta]]/Tabla1[[#This Row],[Cantidad]]</f>
        <v>5.2285239999999993</v>
      </c>
      <c r="N234" s="3">
        <v>1</v>
      </c>
      <c r="O234" s="8">
        <f>+Tabla1[[#This Row],[Conversión]]*Tabla1[[#This Row],[Cantidad]]</f>
        <v>1.02</v>
      </c>
      <c r="P234" s="43">
        <f>Tabla1[[#This Row],[Neto]]-Tabla1[[#This Row],[Costo Venta]]</f>
        <v>34.446905520000001</v>
      </c>
    </row>
    <row r="235" spans="1:16" x14ac:dyDescent="0.25">
      <c r="A235" s="48">
        <v>44965</v>
      </c>
      <c r="B235" s="1" t="s">
        <v>64</v>
      </c>
      <c r="C235" s="1" t="s">
        <v>65</v>
      </c>
      <c r="D235" s="1" t="s">
        <v>141</v>
      </c>
      <c r="E235" s="1" t="s">
        <v>132</v>
      </c>
      <c r="F235" s="1" t="s">
        <v>142</v>
      </c>
      <c r="G235" s="2">
        <v>13</v>
      </c>
      <c r="H235" s="1" t="s">
        <v>418</v>
      </c>
      <c r="I235" s="44">
        <f>Tabla1[[#This Row],[Descuento]]+Tabla1[[#This Row],[Neto]]</f>
        <v>104</v>
      </c>
      <c r="J235" s="9">
        <v>8.32</v>
      </c>
      <c r="K235" s="9">
        <v>95.68</v>
      </c>
      <c r="L235" s="9"/>
      <c r="M235" s="24">
        <f>+Tabla1[[#This Row],[Costo Venta]]/Tabla1[[#This Row],[Cantidad]]</f>
        <v>0</v>
      </c>
      <c r="N235" s="3">
        <v>1</v>
      </c>
      <c r="O235" s="8">
        <f>+Tabla1[[#This Row],[Conversión]]*Tabla1[[#This Row],[Cantidad]]</f>
        <v>13</v>
      </c>
      <c r="P235" s="43">
        <f>Tabla1[[#This Row],[Neto]]-Tabla1[[#This Row],[Costo Venta]]</f>
        <v>95.68</v>
      </c>
    </row>
    <row r="236" spans="1:16" x14ac:dyDescent="0.25">
      <c r="A236" s="48">
        <v>44942</v>
      </c>
      <c r="B236" s="1" t="s">
        <v>419</v>
      </c>
      <c r="C236" s="1" t="s">
        <v>109</v>
      </c>
      <c r="D236" s="1" t="s">
        <v>420</v>
      </c>
      <c r="E236" s="1" t="s">
        <v>67</v>
      </c>
      <c r="F236" s="1" t="s">
        <v>9</v>
      </c>
      <c r="G236" s="2">
        <v>51.36</v>
      </c>
      <c r="H236" s="1" t="s">
        <v>421</v>
      </c>
      <c r="I236" s="44">
        <f>Tabla1[[#This Row],[Descuento]]+Tabla1[[#This Row],[Neto]]</f>
        <v>1807.8651999999997</v>
      </c>
      <c r="J236" s="9">
        <v>632.75519999999995</v>
      </c>
      <c r="K236" s="9">
        <v>1175.1099999999999</v>
      </c>
      <c r="L236" s="9">
        <v>295.24660655999998</v>
      </c>
      <c r="M236" s="24">
        <f>+Tabla1[[#This Row],[Costo Venta]]/Tabla1[[#This Row],[Cantidad]]</f>
        <v>5.7485709999999992</v>
      </c>
      <c r="N236" s="3">
        <v>1</v>
      </c>
      <c r="O236" s="8">
        <f>+Tabla1[[#This Row],[Conversión]]*Tabla1[[#This Row],[Cantidad]]</f>
        <v>51.36</v>
      </c>
      <c r="P236" s="43">
        <f>Tabla1[[#This Row],[Neto]]-Tabla1[[#This Row],[Costo Venta]]</f>
        <v>879.86339343999998</v>
      </c>
    </row>
    <row r="237" spans="1:16" x14ac:dyDescent="0.25">
      <c r="A237" s="48">
        <v>44949</v>
      </c>
      <c r="B237" s="1" t="s">
        <v>419</v>
      </c>
      <c r="C237" s="1" t="s">
        <v>115</v>
      </c>
      <c r="D237" s="1" t="s">
        <v>422</v>
      </c>
      <c r="E237" s="1" t="s">
        <v>71</v>
      </c>
      <c r="F237" s="1" t="s">
        <v>423</v>
      </c>
      <c r="G237" s="2">
        <v>16.32</v>
      </c>
      <c r="H237" s="1" t="s">
        <v>421</v>
      </c>
      <c r="I237" s="44">
        <f>Tabla1[[#This Row],[Descuento]]+Tabla1[[#This Row],[Neto]]</f>
        <v>574.45712000000003</v>
      </c>
      <c r="J237" s="9">
        <v>45.957120000000003</v>
      </c>
      <c r="K237" s="9">
        <v>528.5</v>
      </c>
      <c r="L237" s="9">
        <v>96.729145919999993</v>
      </c>
      <c r="M237" s="24">
        <f>+Tabla1[[#This Row],[Costo Venta]]/Tabla1[[#This Row],[Cantidad]]</f>
        <v>5.9270309999999995</v>
      </c>
      <c r="N237" s="3">
        <v>1</v>
      </c>
      <c r="O237" s="8">
        <f>+Tabla1[[#This Row],[Conversión]]*Tabla1[[#This Row],[Cantidad]]</f>
        <v>16.32</v>
      </c>
      <c r="P237" s="43">
        <f>Tabla1[[#This Row],[Neto]]-Tabla1[[#This Row],[Costo Venta]]</f>
        <v>431.77085407999999</v>
      </c>
    </row>
    <row r="238" spans="1:16" x14ac:dyDescent="0.25">
      <c r="A238" s="48">
        <v>45009</v>
      </c>
      <c r="B238" s="1" t="s">
        <v>419</v>
      </c>
      <c r="C238" s="1" t="s">
        <v>109</v>
      </c>
      <c r="D238" s="1" t="s">
        <v>424</v>
      </c>
      <c r="E238" s="1" t="s">
        <v>67</v>
      </c>
      <c r="F238" s="1" t="s">
        <v>20</v>
      </c>
      <c r="G238" s="2">
        <v>40.32</v>
      </c>
      <c r="H238" s="1" t="s">
        <v>421</v>
      </c>
      <c r="I238" s="44">
        <f>Tabla1[[#This Row],[Descuento]]+Tabla1[[#This Row],[Neto]]</f>
        <v>1419.2624000000001</v>
      </c>
      <c r="J238" s="9">
        <v>496.74239999999998</v>
      </c>
      <c r="K238" s="9">
        <v>922.52</v>
      </c>
      <c r="L238" s="9">
        <v>235.72842048000001</v>
      </c>
      <c r="M238" s="24">
        <f>+Tabla1[[#This Row],[Costo Venta]]/Tabla1[[#This Row],[Cantidad]]</f>
        <v>5.8464390000000002</v>
      </c>
      <c r="N238" s="3">
        <v>1</v>
      </c>
      <c r="O238" s="8">
        <f>+Tabla1[[#This Row],[Conversión]]*Tabla1[[#This Row],[Cantidad]]</f>
        <v>40.32</v>
      </c>
      <c r="P238" s="43">
        <f>Tabla1[[#This Row],[Neto]]-Tabla1[[#This Row],[Costo Venta]]</f>
        <v>686.79157951999991</v>
      </c>
    </row>
    <row r="239" spans="1:16" x14ac:dyDescent="0.25">
      <c r="A239" s="48">
        <v>45012</v>
      </c>
      <c r="B239" s="1" t="s">
        <v>419</v>
      </c>
      <c r="C239" s="1" t="s">
        <v>109</v>
      </c>
      <c r="D239" s="1" t="s">
        <v>425</v>
      </c>
      <c r="E239" s="1" t="s">
        <v>67</v>
      </c>
      <c r="F239" s="1" t="s">
        <v>20</v>
      </c>
      <c r="G239" s="2">
        <v>33.6</v>
      </c>
      <c r="H239" s="1" t="s">
        <v>421</v>
      </c>
      <c r="I239" s="44">
        <f>Tabla1[[#This Row],[Descuento]]+Tabla1[[#This Row],[Neto]]</f>
        <v>1182.722</v>
      </c>
      <c r="J239" s="9">
        <v>413.952</v>
      </c>
      <c r="K239" s="9">
        <v>768.77</v>
      </c>
      <c r="L239" s="9">
        <v>196.4403504</v>
      </c>
      <c r="M239" s="24">
        <f>+Tabla1[[#This Row],[Costo Venta]]/Tabla1[[#This Row],[Cantidad]]</f>
        <v>5.8464390000000002</v>
      </c>
      <c r="N239" s="3">
        <v>1</v>
      </c>
      <c r="O239" s="8">
        <f>+Tabla1[[#This Row],[Conversión]]*Tabla1[[#This Row],[Cantidad]]</f>
        <v>33.6</v>
      </c>
      <c r="P239" s="43">
        <f>Tabla1[[#This Row],[Neto]]-Tabla1[[#This Row],[Costo Venta]]</f>
        <v>572.32964960000004</v>
      </c>
    </row>
    <row r="240" spans="1:16" x14ac:dyDescent="0.25">
      <c r="A240" s="48">
        <v>45020</v>
      </c>
      <c r="B240" s="1" t="s">
        <v>419</v>
      </c>
      <c r="C240" s="1" t="s">
        <v>109</v>
      </c>
      <c r="D240" s="1" t="s">
        <v>426</v>
      </c>
      <c r="E240" s="1" t="s">
        <v>67</v>
      </c>
      <c r="F240" s="1" t="s">
        <v>20</v>
      </c>
      <c r="G240" s="2">
        <v>6.38</v>
      </c>
      <c r="H240" s="1" t="s">
        <v>421</v>
      </c>
      <c r="I240" s="44">
        <f>Tabla1[[#This Row],[Descuento]]+Tabla1[[#This Row],[Neto]]</f>
        <v>224.58159999999998</v>
      </c>
      <c r="J240" s="9">
        <v>78.601600000000005</v>
      </c>
      <c r="K240" s="9">
        <v>145.97999999999999</v>
      </c>
      <c r="L240" s="9">
        <v>37.300280819999998</v>
      </c>
      <c r="M240" s="24">
        <f>+Tabla1[[#This Row],[Costo Venta]]/Tabla1[[#This Row],[Cantidad]]</f>
        <v>5.8464389999999993</v>
      </c>
      <c r="N240" s="3">
        <v>1</v>
      </c>
      <c r="O240" s="8">
        <f>+Tabla1[[#This Row],[Conversión]]*Tabla1[[#This Row],[Cantidad]]</f>
        <v>6.38</v>
      </c>
      <c r="P240" s="43">
        <f>Tabla1[[#This Row],[Neto]]-Tabla1[[#This Row],[Costo Venta]]</f>
        <v>108.67971917999999</v>
      </c>
    </row>
    <row r="241" spans="1:16" x14ac:dyDescent="0.25">
      <c r="A241" s="48">
        <v>45034</v>
      </c>
      <c r="B241" s="1" t="s">
        <v>419</v>
      </c>
      <c r="C241" s="1" t="s">
        <v>109</v>
      </c>
      <c r="D241" s="1" t="s">
        <v>427</v>
      </c>
      <c r="E241" s="1" t="s">
        <v>67</v>
      </c>
      <c r="F241" s="1" t="s">
        <v>9</v>
      </c>
      <c r="G241" s="2">
        <v>9.6</v>
      </c>
      <c r="H241" s="1" t="s">
        <v>421</v>
      </c>
      <c r="I241" s="44">
        <f>Tabla1[[#This Row],[Descuento]]+Tabla1[[#This Row],[Neto]]</f>
        <v>326.39999999999998</v>
      </c>
      <c r="J241" s="9">
        <v>114.24</v>
      </c>
      <c r="K241" s="9">
        <v>212.16</v>
      </c>
      <c r="L241" s="9">
        <v>57.48</v>
      </c>
      <c r="M241" s="24">
        <f>+Tabla1[[#This Row],[Costo Venta]]/Tabla1[[#This Row],[Cantidad]]</f>
        <v>5.9874999999999998</v>
      </c>
      <c r="N241" s="3">
        <v>1</v>
      </c>
      <c r="O241" s="8">
        <f>+Tabla1[[#This Row],[Conversión]]*Tabla1[[#This Row],[Cantidad]]</f>
        <v>9.6</v>
      </c>
      <c r="P241" s="43">
        <f>Tabla1[[#This Row],[Neto]]-Tabla1[[#This Row],[Costo Venta]]</f>
        <v>154.68</v>
      </c>
    </row>
    <row r="242" spans="1:16" x14ac:dyDescent="0.25">
      <c r="A242" s="48">
        <v>45216</v>
      </c>
      <c r="B242" s="1" t="s">
        <v>419</v>
      </c>
      <c r="C242" s="1" t="s">
        <v>81</v>
      </c>
      <c r="D242" s="1" t="s">
        <v>428</v>
      </c>
      <c r="E242" s="1" t="s">
        <v>67</v>
      </c>
      <c r="F242" s="1" t="s">
        <v>9</v>
      </c>
      <c r="G242" s="2">
        <v>10.08</v>
      </c>
      <c r="H242" s="1" t="s">
        <v>421</v>
      </c>
      <c r="I242" s="44">
        <f>Tabla1[[#This Row],[Descuento]]+Tabla1[[#This Row],[Neto]]</f>
        <v>346.2516</v>
      </c>
      <c r="J242" s="9">
        <v>155.8116</v>
      </c>
      <c r="K242" s="9">
        <v>190.44</v>
      </c>
      <c r="L242" s="9">
        <v>58.638686399999997</v>
      </c>
      <c r="M242" s="24">
        <f>+Tabla1[[#This Row],[Costo Venta]]/Tabla1[[#This Row],[Cantidad]]</f>
        <v>5.8173300000000001</v>
      </c>
      <c r="N242" s="3">
        <v>1</v>
      </c>
      <c r="O242" s="8">
        <f>+Tabla1[[#This Row],[Conversión]]*Tabla1[[#This Row],[Cantidad]]</f>
        <v>10.08</v>
      </c>
      <c r="P242" s="43">
        <f>Tabla1[[#This Row],[Neto]]-Tabla1[[#This Row],[Costo Venta]]</f>
        <v>131.80131360000001</v>
      </c>
    </row>
    <row r="243" spans="1:16" x14ac:dyDescent="0.25">
      <c r="A243" s="48">
        <v>45712</v>
      </c>
      <c r="B243" s="1" t="s">
        <v>419</v>
      </c>
      <c r="C243" s="1" t="s">
        <v>65</v>
      </c>
      <c r="D243" s="1" t="s">
        <v>429</v>
      </c>
      <c r="E243" s="1" t="s">
        <v>67</v>
      </c>
      <c r="F243" s="1" t="s">
        <v>9</v>
      </c>
      <c r="G243" s="2">
        <v>0.96</v>
      </c>
      <c r="H243" s="25" t="s">
        <v>421</v>
      </c>
      <c r="I243" s="45">
        <f>Tabla1[[#This Row],[Descuento]]+Tabla1[[#This Row],[Neto]]</f>
        <v>32.979199999999999</v>
      </c>
      <c r="J243" s="9">
        <v>14.8392</v>
      </c>
      <c r="K243" s="9">
        <v>18.14</v>
      </c>
      <c r="L243" s="9">
        <v>4.6716105600000004</v>
      </c>
      <c r="M243" s="24">
        <f>+Tabla1[[#This Row],[Costo Venta]]/Tabla1[[#This Row],[Cantidad]]</f>
        <v>4.8662610000000006</v>
      </c>
      <c r="N243" s="3">
        <v>1</v>
      </c>
      <c r="O243" s="8">
        <f>+Tabla1[[#This Row],[Conversión]]*Tabla1[[#This Row],[Cantidad]]</f>
        <v>0.96</v>
      </c>
      <c r="P243" s="43">
        <f>Tabla1[[#This Row],[Neto]]-Tabla1[[#This Row],[Costo Venta]]</f>
        <v>13.468389439999999</v>
      </c>
    </row>
    <row r="244" spans="1:16" x14ac:dyDescent="0.25">
      <c r="A244" s="48">
        <v>45085</v>
      </c>
      <c r="B244" s="1" t="s">
        <v>430</v>
      </c>
      <c r="C244" s="1" t="s">
        <v>109</v>
      </c>
      <c r="D244" s="1" t="s">
        <v>196</v>
      </c>
      <c r="E244" s="1" t="s">
        <v>137</v>
      </c>
      <c r="F244" s="1" t="s">
        <v>183</v>
      </c>
      <c r="G244" s="2">
        <v>17.28</v>
      </c>
      <c r="H244" s="51" t="s">
        <v>431</v>
      </c>
      <c r="I244" s="44">
        <f>Tabla1[[#This Row],[Descuento]]+Tabla1[[#This Row],[Neto]]</f>
        <v>725.76</v>
      </c>
      <c r="J244" s="9">
        <v>181.44</v>
      </c>
      <c r="K244" s="9">
        <v>544.32000000000005</v>
      </c>
      <c r="L244" s="9">
        <v>55.949823360000003</v>
      </c>
      <c r="M244" s="24">
        <f>+Tabla1[[#This Row],[Costo Venta]]/Tabla1[[#This Row],[Cantidad]]</f>
        <v>3.2378369999999999</v>
      </c>
      <c r="N244" s="3">
        <v>1</v>
      </c>
      <c r="O244" s="8">
        <f>+Tabla1[[#This Row],[Conversión]]*Tabla1[[#This Row],[Cantidad]]</f>
        <v>17.28</v>
      </c>
      <c r="P244" s="43">
        <f>Tabla1[[#This Row],[Neto]]-Tabla1[[#This Row],[Costo Venta]]</f>
        <v>488.37017664000007</v>
      </c>
    </row>
    <row r="245" spans="1:16" x14ac:dyDescent="0.25">
      <c r="A245" s="48">
        <v>45147</v>
      </c>
      <c r="B245" s="1" t="s">
        <v>430</v>
      </c>
      <c r="C245" s="1" t="s">
        <v>81</v>
      </c>
      <c r="D245" s="1" t="s">
        <v>432</v>
      </c>
      <c r="E245" s="1" t="s">
        <v>137</v>
      </c>
      <c r="F245" s="1" t="s">
        <v>433</v>
      </c>
      <c r="G245" s="2">
        <v>8.64</v>
      </c>
      <c r="H245" s="51" t="s">
        <v>431</v>
      </c>
      <c r="I245" s="44">
        <f>Tabla1[[#This Row],[Descuento]]+Tabla1[[#This Row],[Neto]]</f>
        <v>366.68039999999996</v>
      </c>
      <c r="J245" s="9">
        <v>91.670400000000001</v>
      </c>
      <c r="K245" s="9">
        <v>275.01</v>
      </c>
      <c r="L245" s="9">
        <v>27.76337856</v>
      </c>
      <c r="M245" s="24">
        <f>+Tabla1[[#This Row],[Costo Venta]]/Tabla1[[#This Row],[Cantidad]]</f>
        <v>3.2133539999999998</v>
      </c>
      <c r="N245" s="3">
        <v>1</v>
      </c>
      <c r="O245" s="8">
        <f>+Tabla1[[#This Row],[Conversión]]*Tabla1[[#This Row],[Cantidad]]</f>
        <v>8.64</v>
      </c>
      <c r="P245" s="43">
        <f>Tabla1[[#This Row],[Neto]]-Tabla1[[#This Row],[Costo Venta]]</f>
        <v>247.24662143999998</v>
      </c>
    </row>
    <row r="246" spans="1:16" x14ac:dyDescent="0.25">
      <c r="A246" s="48">
        <v>45063</v>
      </c>
      <c r="B246" s="1" t="s">
        <v>430</v>
      </c>
      <c r="C246" s="1" t="s">
        <v>109</v>
      </c>
      <c r="D246" s="1" t="s">
        <v>182</v>
      </c>
      <c r="E246" s="1" t="s">
        <v>137</v>
      </c>
      <c r="F246" s="1" t="s">
        <v>183</v>
      </c>
      <c r="G246" s="2">
        <v>27.79</v>
      </c>
      <c r="H246" s="51" t="s">
        <v>431</v>
      </c>
      <c r="I246" s="44">
        <f>Tabla1[[#This Row],[Descuento]]+Tabla1[[#This Row],[Neto]]</f>
        <v>1167.175</v>
      </c>
      <c r="J246" s="9">
        <v>291.79500000000002</v>
      </c>
      <c r="K246" s="9">
        <v>875.38</v>
      </c>
      <c r="L246" s="9">
        <v>97.661702250000005</v>
      </c>
      <c r="M246" s="24">
        <f>+Tabla1[[#This Row],[Costo Venta]]/Tabla1[[#This Row],[Cantidad]]</f>
        <v>3.5142750000000005</v>
      </c>
      <c r="N246" s="3">
        <v>1</v>
      </c>
      <c r="O246" s="8">
        <f>+Tabla1[[#This Row],[Conversión]]*Tabla1[[#This Row],[Cantidad]]</f>
        <v>27.79</v>
      </c>
      <c r="P246" s="43">
        <f>Tabla1[[#This Row],[Neto]]-Tabla1[[#This Row],[Costo Venta]]</f>
        <v>777.71829775000003</v>
      </c>
    </row>
    <row r="247" spans="1:16" x14ac:dyDescent="0.25">
      <c r="A247" s="48">
        <v>45085</v>
      </c>
      <c r="B247" s="1" t="s">
        <v>430</v>
      </c>
      <c r="C247" s="1" t="s">
        <v>109</v>
      </c>
      <c r="D247" s="1" t="s">
        <v>196</v>
      </c>
      <c r="E247" s="1" t="s">
        <v>137</v>
      </c>
      <c r="F247" s="1" t="s">
        <v>183</v>
      </c>
      <c r="G247" s="2">
        <v>64.8</v>
      </c>
      <c r="H247" s="51" t="s">
        <v>431</v>
      </c>
      <c r="I247" s="44">
        <f>Tabla1[[#This Row],[Descuento]]+Tabla1[[#This Row],[Neto]]</f>
        <v>2721.6</v>
      </c>
      <c r="J247" s="9">
        <v>680.4</v>
      </c>
      <c r="K247" s="9">
        <v>2041.2</v>
      </c>
      <c r="L247" s="9">
        <v>209.5773264</v>
      </c>
      <c r="M247" s="24">
        <f>+Tabla1[[#This Row],[Costo Venta]]/Tabla1[[#This Row],[Cantidad]]</f>
        <v>3.2342180000000003</v>
      </c>
      <c r="N247" s="3">
        <v>1</v>
      </c>
      <c r="O247" s="8">
        <f>+Tabla1[[#This Row],[Conversión]]*Tabla1[[#This Row],[Cantidad]]</f>
        <v>64.8</v>
      </c>
      <c r="P247" s="43">
        <f>Tabla1[[#This Row],[Neto]]-Tabla1[[#This Row],[Costo Venta]]</f>
        <v>1831.6226736000001</v>
      </c>
    </row>
    <row r="248" spans="1:16" x14ac:dyDescent="0.25">
      <c r="A248" s="48">
        <v>45147</v>
      </c>
      <c r="B248" s="1" t="s">
        <v>430</v>
      </c>
      <c r="C248" s="1" t="s">
        <v>81</v>
      </c>
      <c r="D248" s="1" t="s">
        <v>432</v>
      </c>
      <c r="E248" s="1" t="s">
        <v>137</v>
      </c>
      <c r="F248" s="1" t="s">
        <v>433</v>
      </c>
      <c r="G248" s="2">
        <v>24.19</v>
      </c>
      <c r="H248" s="51" t="s">
        <v>431</v>
      </c>
      <c r="I248" s="44">
        <f>Tabla1[[#This Row],[Descuento]]+Tabla1[[#This Row],[Neto]]</f>
        <v>1026.6159</v>
      </c>
      <c r="J248" s="9">
        <v>256.65589999999997</v>
      </c>
      <c r="K248" s="9">
        <v>769.96</v>
      </c>
      <c r="L248" s="9">
        <v>77.819133239999999</v>
      </c>
      <c r="M248" s="24">
        <f>+Tabla1[[#This Row],[Costo Venta]]/Tabla1[[#This Row],[Cantidad]]</f>
        <v>3.216996</v>
      </c>
      <c r="N248" s="3">
        <v>1</v>
      </c>
      <c r="O248" s="8">
        <f>+Tabla1[[#This Row],[Conversión]]*Tabla1[[#This Row],[Cantidad]]</f>
        <v>24.19</v>
      </c>
      <c r="P248" s="43">
        <f>Tabla1[[#This Row],[Neto]]-Tabla1[[#This Row],[Costo Venta]]</f>
        <v>692.14086675999999</v>
      </c>
    </row>
    <row r="249" spans="1:16" x14ac:dyDescent="0.25">
      <c r="A249" s="48">
        <v>45243</v>
      </c>
      <c r="B249" s="1" t="s">
        <v>430</v>
      </c>
      <c r="C249" s="1" t="s">
        <v>81</v>
      </c>
      <c r="D249" s="1" t="s">
        <v>434</v>
      </c>
      <c r="E249" s="1" t="s">
        <v>67</v>
      </c>
      <c r="F249" s="1" t="s">
        <v>20</v>
      </c>
      <c r="G249" s="2">
        <v>1.3</v>
      </c>
      <c r="H249" s="51" t="s">
        <v>431</v>
      </c>
      <c r="I249" s="44">
        <f>Tabla1[[#This Row],[Descuento]]+Tabla1[[#This Row],[Neto]]</f>
        <v>55.170199999999994</v>
      </c>
      <c r="J249" s="9">
        <v>19.310199999999998</v>
      </c>
      <c r="K249" s="9">
        <v>35.86</v>
      </c>
      <c r="L249" s="9">
        <v>4.1182479000000001</v>
      </c>
      <c r="M249" s="24">
        <f>+Tabla1[[#This Row],[Costo Venta]]/Tabla1[[#This Row],[Cantidad]]</f>
        <v>3.1678829999999998</v>
      </c>
      <c r="N249" s="3">
        <v>1</v>
      </c>
      <c r="O249" s="8">
        <f>+Tabla1[[#This Row],[Conversión]]*Tabla1[[#This Row],[Cantidad]]</f>
        <v>1.3</v>
      </c>
      <c r="P249" s="43">
        <f>Tabla1[[#This Row],[Neto]]-Tabla1[[#This Row],[Costo Venta]]</f>
        <v>31.741752099999999</v>
      </c>
    </row>
    <row r="250" spans="1:16" x14ac:dyDescent="0.25">
      <c r="A250" s="48">
        <v>45243</v>
      </c>
      <c r="B250" s="1" t="s">
        <v>430</v>
      </c>
      <c r="C250" s="1" t="s">
        <v>81</v>
      </c>
      <c r="D250" s="1" t="s">
        <v>434</v>
      </c>
      <c r="E250" s="1" t="s">
        <v>67</v>
      </c>
      <c r="F250" s="1" t="s">
        <v>20</v>
      </c>
      <c r="G250" s="2">
        <v>1.3</v>
      </c>
      <c r="H250" s="51" t="s">
        <v>431</v>
      </c>
      <c r="I250" s="44">
        <f>Tabla1[[#This Row],[Descuento]]+Tabla1[[#This Row],[Neto]]</f>
        <v>55.170199999999994</v>
      </c>
      <c r="J250" s="9">
        <v>19.310199999999998</v>
      </c>
      <c r="K250" s="9">
        <v>35.86</v>
      </c>
      <c r="L250" s="9">
        <v>4.1182479000000001</v>
      </c>
      <c r="M250" s="24">
        <f>+Tabla1[[#This Row],[Costo Venta]]/Tabla1[[#This Row],[Cantidad]]</f>
        <v>3.1678829999999998</v>
      </c>
      <c r="N250" s="3">
        <v>1</v>
      </c>
      <c r="O250" s="8">
        <f>+Tabla1[[#This Row],[Conversión]]*Tabla1[[#This Row],[Cantidad]]</f>
        <v>1.3</v>
      </c>
      <c r="P250" s="43">
        <f>Tabla1[[#This Row],[Neto]]-Tabla1[[#This Row],[Costo Venta]]</f>
        <v>31.741752099999999</v>
      </c>
    </row>
    <row r="251" spans="1:16" x14ac:dyDescent="0.25">
      <c r="A251" s="48">
        <v>45258</v>
      </c>
      <c r="B251" s="1" t="s">
        <v>430</v>
      </c>
      <c r="C251" s="1" t="s">
        <v>81</v>
      </c>
      <c r="D251" s="1" t="s">
        <v>435</v>
      </c>
      <c r="E251" s="1" t="s">
        <v>67</v>
      </c>
      <c r="F251" s="1" t="s">
        <v>20</v>
      </c>
      <c r="G251" s="2">
        <v>1.02</v>
      </c>
      <c r="H251" s="51" t="s">
        <v>431</v>
      </c>
      <c r="I251" s="44">
        <f>Tabla1[[#This Row],[Descuento]]+Tabla1[[#This Row],[Neto]]</f>
        <v>43.291080000000001</v>
      </c>
      <c r="J251" s="9">
        <v>15.15108</v>
      </c>
      <c r="K251" s="9">
        <v>28.14</v>
      </c>
      <c r="L251" s="9">
        <v>3.2312406600000001</v>
      </c>
      <c r="M251" s="24">
        <f>+Tabla1[[#This Row],[Costo Venta]]/Tabla1[[#This Row],[Cantidad]]</f>
        <v>3.1678830000000002</v>
      </c>
      <c r="N251" s="3">
        <v>1</v>
      </c>
      <c r="O251" s="8">
        <f>+Tabla1[[#This Row],[Conversión]]*Tabla1[[#This Row],[Cantidad]]</f>
        <v>1.02</v>
      </c>
      <c r="P251" s="43">
        <f>Tabla1[[#This Row],[Neto]]-Tabla1[[#This Row],[Costo Venta]]</f>
        <v>24.90875934</v>
      </c>
    </row>
    <row r="252" spans="1:16" x14ac:dyDescent="0.25">
      <c r="A252" s="48">
        <v>45258</v>
      </c>
      <c r="B252" s="1" t="s">
        <v>430</v>
      </c>
      <c r="C252" s="1" t="s">
        <v>81</v>
      </c>
      <c r="D252" s="1" t="s">
        <v>435</v>
      </c>
      <c r="E252" s="1" t="s">
        <v>67</v>
      </c>
      <c r="F252" s="1" t="s">
        <v>20</v>
      </c>
      <c r="G252" s="2">
        <v>1.1599999999999999</v>
      </c>
      <c r="H252" s="51" t="s">
        <v>431</v>
      </c>
      <c r="I252" s="44">
        <f>Tabla1[[#This Row],[Descuento]]+Tabla1[[#This Row],[Neto]]</f>
        <v>49.230640000000001</v>
      </c>
      <c r="J252" s="9">
        <v>17.230640000000001</v>
      </c>
      <c r="K252" s="9">
        <v>32</v>
      </c>
      <c r="L252" s="9">
        <v>3.6747442800000001</v>
      </c>
      <c r="M252" s="24">
        <f>+Tabla1[[#This Row],[Costo Venta]]/Tabla1[[#This Row],[Cantidad]]</f>
        <v>3.1678830000000002</v>
      </c>
      <c r="N252" s="3">
        <v>1</v>
      </c>
      <c r="O252" s="8">
        <f>+Tabla1[[#This Row],[Conversión]]*Tabla1[[#This Row],[Cantidad]]</f>
        <v>1.1599999999999999</v>
      </c>
      <c r="P252" s="43">
        <f>Tabla1[[#This Row],[Neto]]-Tabla1[[#This Row],[Costo Venta]]</f>
        <v>28.325255720000001</v>
      </c>
    </row>
    <row r="253" spans="1:16" x14ac:dyDescent="0.25">
      <c r="A253" s="48">
        <v>45316</v>
      </c>
      <c r="B253" s="1" t="s">
        <v>430</v>
      </c>
      <c r="C253" s="1" t="s">
        <v>81</v>
      </c>
      <c r="D253" s="1" t="s">
        <v>281</v>
      </c>
      <c r="E253" s="1" t="s">
        <v>137</v>
      </c>
      <c r="F253" s="1" t="s">
        <v>183</v>
      </c>
      <c r="G253" s="2">
        <v>19.54</v>
      </c>
      <c r="H253" s="51" t="s">
        <v>431</v>
      </c>
      <c r="I253" s="44">
        <f>Tabla1[[#This Row],[Descuento]]+Tabla1[[#This Row],[Neto]]</f>
        <v>829.27940000000001</v>
      </c>
      <c r="J253" s="9">
        <v>207.3194</v>
      </c>
      <c r="K253" s="9">
        <v>621.96</v>
      </c>
      <c r="L253" s="9">
        <v>56.18768034</v>
      </c>
      <c r="M253" s="24">
        <f>+Tabla1[[#This Row],[Costo Venta]]/Tabla1[[#This Row],[Cantidad]]</f>
        <v>2.875521</v>
      </c>
      <c r="N253" s="3">
        <v>1</v>
      </c>
      <c r="O253" s="8">
        <f>+Tabla1[[#This Row],[Conversión]]*Tabla1[[#This Row],[Cantidad]]</f>
        <v>19.54</v>
      </c>
      <c r="P253" s="43">
        <f>Tabla1[[#This Row],[Neto]]-Tabla1[[#This Row],[Costo Venta]]</f>
        <v>565.77231965999999</v>
      </c>
    </row>
    <row r="254" spans="1:16" x14ac:dyDescent="0.25">
      <c r="A254" s="48">
        <v>45408</v>
      </c>
      <c r="B254" s="1" t="s">
        <v>430</v>
      </c>
      <c r="C254" s="1" t="s">
        <v>81</v>
      </c>
      <c r="D254" s="1" t="s">
        <v>436</v>
      </c>
      <c r="E254" s="1" t="s">
        <v>137</v>
      </c>
      <c r="F254" s="1" t="s">
        <v>183</v>
      </c>
      <c r="G254" s="2">
        <v>5.18</v>
      </c>
      <c r="H254" s="51" t="s">
        <v>431</v>
      </c>
      <c r="I254" s="44">
        <f>Tabla1[[#This Row],[Descuento]]+Tabla1[[#This Row],[Neto]]</f>
        <v>201.39967999999999</v>
      </c>
      <c r="J254" s="9">
        <v>40.279679999999999</v>
      </c>
      <c r="K254" s="9">
        <v>161.12</v>
      </c>
      <c r="L254" s="9">
        <v>15.186998539999999</v>
      </c>
      <c r="M254" s="24">
        <f>+Tabla1[[#This Row],[Costo Venta]]/Tabla1[[#This Row],[Cantidad]]</f>
        <v>2.9318529999999998</v>
      </c>
      <c r="N254" s="3">
        <v>1</v>
      </c>
      <c r="O254" s="8">
        <f>+Tabla1[[#This Row],[Conversión]]*Tabla1[[#This Row],[Cantidad]]</f>
        <v>5.18</v>
      </c>
      <c r="P254" s="43">
        <f>Tabla1[[#This Row],[Neto]]-Tabla1[[#This Row],[Costo Venta]]</f>
        <v>145.93300146000001</v>
      </c>
    </row>
    <row r="255" spans="1:16" x14ac:dyDescent="0.25">
      <c r="A255" s="48">
        <v>45665</v>
      </c>
      <c r="B255" s="1" t="s">
        <v>430</v>
      </c>
      <c r="C255" s="1" t="s">
        <v>65</v>
      </c>
      <c r="D255" s="1" t="s">
        <v>437</v>
      </c>
      <c r="E255" s="1" t="s">
        <v>71</v>
      </c>
      <c r="F255" s="1" t="s">
        <v>438</v>
      </c>
      <c r="G255" s="2">
        <v>0.57999999999999996</v>
      </c>
      <c r="H255" s="51" t="s">
        <v>431</v>
      </c>
      <c r="I255" s="44">
        <f>Tabla1[[#This Row],[Descuento]]+Tabla1[[#This Row],[Neto]]</f>
        <v>22.55</v>
      </c>
      <c r="J255" s="9">
        <v>0</v>
      </c>
      <c r="K255" s="9">
        <v>22.55</v>
      </c>
      <c r="L255" s="9">
        <v>1.6274394000000001</v>
      </c>
      <c r="M255" s="24">
        <f>+Tabla1[[#This Row],[Costo Venta]]/Tabla1[[#This Row],[Cantidad]]</f>
        <v>2.8059300000000005</v>
      </c>
      <c r="N255" s="3">
        <v>1</v>
      </c>
      <c r="O255" s="8">
        <f>+Tabla1[[#This Row],[Conversión]]*Tabla1[[#This Row],[Cantidad]]</f>
        <v>0.57999999999999996</v>
      </c>
      <c r="P255" s="43">
        <f>Tabla1[[#This Row],[Neto]]-Tabla1[[#This Row],[Costo Venta]]</f>
        <v>20.922560600000001</v>
      </c>
    </row>
    <row r="256" spans="1:16" x14ac:dyDescent="0.25">
      <c r="A256" s="48">
        <v>45723</v>
      </c>
      <c r="B256" s="1" t="s">
        <v>430</v>
      </c>
      <c r="C256" s="1" t="s">
        <v>65</v>
      </c>
      <c r="D256" s="1" t="s">
        <v>439</v>
      </c>
      <c r="E256" s="1" t="s">
        <v>67</v>
      </c>
      <c r="F256" s="1" t="s">
        <v>20</v>
      </c>
      <c r="G256" s="2">
        <v>25.06</v>
      </c>
      <c r="H256" s="51" t="s">
        <v>431</v>
      </c>
      <c r="I256" s="44">
        <f>Tabla1[[#This Row],[Descuento]]+Tabla1[[#This Row],[Neto]]</f>
        <v>974.32983999999999</v>
      </c>
      <c r="J256" s="9">
        <v>292.29984000000002</v>
      </c>
      <c r="K256" s="9">
        <v>682.03</v>
      </c>
      <c r="L256" s="9">
        <v>51.677554180000001</v>
      </c>
      <c r="M256" s="24">
        <f>+Tabla1[[#This Row],[Costo Venta]]/Tabla1[[#This Row],[Cantidad]]</f>
        <v>2.0621530000000003</v>
      </c>
      <c r="N256" s="3">
        <v>1</v>
      </c>
      <c r="O256" s="8">
        <f>+Tabla1[[#This Row],[Conversión]]*Tabla1[[#This Row],[Cantidad]]</f>
        <v>25.06</v>
      </c>
      <c r="P256" s="43">
        <f>Tabla1[[#This Row],[Neto]]-Tabla1[[#This Row],[Costo Venta]]</f>
        <v>630.35244581999996</v>
      </c>
    </row>
    <row r="257" spans="1:16" x14ac:dyDescent="0.25">
      <c r="A257" s="48">
        <v>45772</v>
      </c>
      <c r="B257" s="1" t="s">
        <v>430</v>
      </c>
      <c r="C257" s="1" t="s">
        <v>65</v>
      </c>
      <c r="D257" s="1" t="s">
        <v>440</v>
      </c>
      <c r="E257" s="1" t="s">
        <v>67</v>
      </c>
      <c r="F257" s="1" t="s">
        <v>20</v>
      </c>
      <c r="G257" s="2">
        <v>1.01</v>
      </c>
      <c r="H257" s="51" t="s">
        <v>431</v>
      </c>
      <c r="I257" s="44">
        <f>Tabla1[[#This Row],[Descuento]]+Tabla1[[#This Row],[Neto]]</f>
        <v>39.27064</v>
      </c>
      <c r="J257" s="9">
        <v>11.78064</v>
      </c>
      <c r="K257" s="9">
        <v>27.49</v>
      </c>
      <c r="L257" s="9">
        <v>2.08277453</v>
      </c>
      <c r="M257" s="24">
        <f>+Tabla1[[#This Row],[Costo Venta]]/Tabla1[[#This Row],[Cantidad]]</f>
        <v>2.0621529999999999</v>
      </c>
      <c r="N257" s="3">
        <v>1</v>
      </c>
      <c r="O257" s="8">
        <f>+Tabla1[[#This Row],[Conversión]]*Tabla1[[#This Row],[Cantidad]]</f>
        <v>1.01</v>
      </c>
      <c r="P257" s="43">
        <f>Tabla1[[#This Row],[Neto]]-Tabla1[[#This Row],[Costo Venta]]</f>
        <v>25.40722547</v>
      </c>
    </row>
    <row r="258" spans="1:16" x14ac:dyDescent="0.25">
      <c r="A258" s="48">
        <v>45772</v>
      </c>
      <c r="B258" s="1" t="s">
        <v>430</v>
      </c>
      <c r="C258" s="1" t="s">
        <v>65</v>
      </c>
      <c r="D258" s="1" t="s">
        <v>440</v>
      </c>
      <c r="E258" s="1" t="s">
        <v>67</v>
      </c>
      <c r="F258" s="1" t="s">
        <v>20</v>
      </c>
      <c r="G258" s="2">
        <v>3.02</v>
      </c>
      <c r="H258" s="51" t="s">
        <v>431</v>
      </c>
      <c r="I258" s="44">
        <f>Tabla1[[#This Row],[Descuento]]+Tabla1[[#This Row],[Neto]]</f>
        <v>117.41528</v>
      </c>
      <c r="J258" s="9">
        <v>35.225279999999998</v>
      </c>
      <c r="K258" s="9">
        <v>82.19</v>
      </c>
      <c r="L258" s="9">
        <v>6.2277020600000004</v>
      </c>
      <c r="M258" s="24">
        <f>+Tabla1[[#This Row],[Costo Venta]]/Tabla1[[#This Row],[Cantidad]]</f>
        <v>2.0621529999999999</v>
      </c>
      <c r="N258" s="3">
        <v>1</v>
      </c>
      <c r="O258" s="8">
        <f>+Tabla1[[#This Row],[Conversión]]*Tabla1[[#This Row],[Cantidad]]</f>
        <v>3.02</v>
      </c>
      <c r="P258" s="43">
        <f>Tabla1[[#This Row],[Neto]]-Tabla1[[#This Row],[Costo Venta]]</f>
        <v>75.962297939999999</v>
      </c>
    </row>
    <row r="259" spans="1:16" x14ac:dyDescent="0.25">
      <c r="A259" s="48">
        <v>45243</v>
      </c>
      <c r="B259" s="1" t="s">
        <v>430</v>
      </c>
      <c r="C259" s="1" t="s">
        <v>81</v>
      </c>
      <c r="D259" s="1" t="s">
        <v>434</v>
      </c>
      <c r="E259" s="1" t="s">
        <v>67</v>
      </c>
      <c r="F259" s="1" t="s">
        <v>20</v>
      </c>
      <c r="G259" s="2">
        <v>1.44</v>
      </c>
      <c r="H259" s="51" t="s">
        <v>431</v>
      </c>
      <c r="I259" s="44">
        <f>Tabla1[[#This Row],[Descuento]]+Tabla1[[#This Row],[Neto]]</f>
        <v>61.109759999999994</v>
      </c>
      <c r="J259" s="9">
        <v>21.389759999999999</v>
      </c>
      <c r="K259" s="9">
        <v>39.72</v>
      </c>
      <c r="L259" s="9">
        <v>4.41065664</v>
      </c>
      <c r="M259" s="24">
        <f>+Tabla1[[#This Row],[Costo Venta]]/Tabla1[[#This Row],[Cantidad]]</f>
        <v>3.0629560000000002</v>
      </c>
      <c r="N259" s="3">
        <v>1</v>
      </c>
      <c r="O259" s="8">
        <f>+Tabla1[[#This Row],[Conversión]]*Tabla1[[#This Row],[Cantidad]]</f>
        <v>1.44</v>
      </c>
      <c r="P259" s="43">
        <f>Tabla1[[#This Row],[Neto]]-Tabla1[[#This Row],[Costo Venta]]</f>
        <v>35.30934336</v>
      </c>
    </row>
    <row r="260" spans="1:16" x14ac:dyDescent="0.25">
      <c r="A260" s="48">
        <v>45258</v>
      </c>
      <c r="B260" s="1" t="s">
        <v>430</v>
      </c>
      <c r="C260" s="1" t="s">
        <v>81</v>
      </c>
      <c r="D260" s="1" t="s">
        <v>435</v>
      </c>
      <c r="E260" s="1" t="s">
        <v>67</v>
      </c>
      <c r="F260" s="1" t="s">
        <v>20</v>
      </c>
      <c r="G260" s="2">
        <v>1.44</v>
      </c>
      <c r="H260" s="51" t="s">
        <v>431</v>
      </c>
      <c r="I260" s="44">
        <f>Tabla1[[#This Row],[Descuento]]+Tabla1[[#This Row],[Neto]]</f>
        <v>61.109759999999994</v>
      </c>
      <c r="J260" s="9">
        <v>21.389759999999999</v>
      </c>
      <c r="K260" s="9">
        <v>39.72</v>
      </c>
      <c r="L260" s="9">
        <v>4.41065664</v>
      </c>
      <c r="M260" s="24">
        <f>+Tabla1[[#This Row],[Costo Venta]]/Tabla1[[#This Row],[Cantidad]]</f>
        <v>3.0629560000000002</v>
      </c>
      <c r="N260" s="3">
        <v>1</v>
      </c>
      <c r="O260" s="8">
        <f>+Tabla1[[#This Row],[Conversión]]*Tabla1[[#This Row],[Cantidad]]</f>
        <v>1.44</v>
      </c>
      <c r="P260" s="43">
        <f>Tabla1[[#This Row],[Neto]]-Tabla1[[#This Row],[Costo Venta]]</f>
        <v>35.30934336</v>
      </c>
    </row>
    <row r="261" spans="1:16" x14ac:dyDescent="0.25">
      <c r="A261" s="48">
        <v>44952</v>
      </c>
      <c r="B261" s="1" t="s">
        <v>430</v>
      </c>
      <c r="C261" s="1" t="s">
        <v>65</v>
      </c>
      <c r="D261" s="1" t="s">
        <v>131</v>
      </c>
      <c r="E261" s="1" t="s">
        <v>132</v>
      </c>
      <c r="F261" s="1" t="s">
        <v>133</v>
      </c>
      <c r="G261" s="2">
        <v>28</v>
      </c>
      <c r="H261" s="51" t="s">
        <v>441</v>
      </c>
      <c r="I261" s="44">
        <f>Tabla1[[#This Row],[Descuento]]+Tabla1[[#This Row],[Neto]]</f>
        <v>1176</v>
      </c>
      <c r="J261" s="9">
        <v>94.08</v>
      </c>
      <c r="K261" s="9">
        <v>1081.92</v>
      </c>
      <c r="L261" s="9">
        <v>97.16</v>
      </c>
      <c r="M261" s="24">
        <f>+Tabla1[[#This Row],[Costo Venta]]/Tabla1[[#This Row],[Cantidad]]</f>
        <v>3.4699999999999998</v>
      </c>
      <c r="N261" s="3">
        <v>1</v>
      </c>
      <c r="O261" s="8">
        <f>+Tabla1[[#This Row],[Conversión]]*Tabla1[[#This Row],[Cantidad]]</f>
        <v>28</v>
      </c>
      <c r="P261" s="43">
        <f>Tabla1[[#This Row],[Neto]]-Tabla1[[#This Row],[Costo Venta]]</f>
        <v>984.7600000000001</v>
      </c>
    </row>
    <row r="262" spans="1:16" x14ac:dyDescent="0.25">
      <c r="A262" s="48">
        <v>45054</v>
      </c>
      <c r="B262" s="1" t="s">
        <v>430</v>
      </c>
      <c r="C262" s="1" t="s">
        <v>81</v>
      </c>
      <c r="D262" s="1" t="s">
        <v>178</v>
      </c>
      <c r="E262" s="1" t="s">
        <v>71</v>
      </c>
      <c r="F262" s="1" t="s">
        <v>179</v>
      </c>
      <c r="G262" s="2">
        <v>11.5</v>
      </c>
      <c r="H262" s="51" t="s">
        <v>441</v>
      </c>
      <c r="I262" s="44">
        <f>Tabla1[[#This Row],[Descuento]]+Tabla1[[#This Row],[Neto]]</f>
        <v>483</v>
      </c>
      <c r="J262" s="9">
        <v>33.81</v>
      </c>
      <c r="K262" s="9">
        <v>449.19</v>
      </c>
      <c r="L262" s="9">
        <v>31.638708000000001</v>
      </c>
      <c r="M262" s="24">
        <f>+Tabla1[[#This Row],[Costo Venta]]/Tabla1[[#This Row],[Cantidad]]</f>
        <v>2.7511920000000001</v>
      </c>
      <c r="N262" s="3">
        <v>1</v>
      </c>
      <c r="O262" s="8">
        <f>+Tabla1[[#This Row],[Conversión]]*Tabla1[[#This Row],[Cantidad]]</f>
        <v>11.5</v>
      </c>
      <c r="P262" s="43">
        <f>Tabla1[[#This Row],[Neto]]-Tabla1[[#This Row],[Costo Venta]]</f>
        <v>417.55129199999999</v>
      </c>
    </row>
    <row r="263" spans="1:16" x14ac:dyDescent="0.25">
      <c r="A263" s="48">
        <v>45071</v>
      </c>
      <c r="B263" s="1" t="s">
        <v>430</v>
      </c>
      <c r="C263" s="1" t="s">
        <v>81</v>
      </c>
      <c r="D263" s="1" t="s">
        <v>189</v>
      </c>
      <c r="E263" s="1" t="s">
        <v>132</v>
      </c>
      <c r="F263" s="1" t="s">
        <v>133</v>
      </c>
      <c r="G263" s="2">
        <v>40</v>
      </c>
      <c r="H263" s="51" t="s">
        <v>441</v>
      </c>
      <c r="I263" s="44">
        <f>Tabla1[[#This Row],[Descuento]]+Tabla1[[#This Row],[Neto]]</f>
        <v>1680</v>
      </c>
      <c r="J263" s="9">
        <v>252</v>
      </c>
      <c r="K263" s="9">
        <v>1428</v>
      </c>
      <c r="L263" s="9">
        <v>110.04768</v>
      </c>
      <c r="M263" s="24">
        <f>+Tabla1[[#This Row],[Costo Venta]]/Tabla1[[#This Row],[Cantidad]]</f>
        <v>2.7511920000000001</v>
      </c>
      <c r="N263" s="3">
        <v>1</v>
      </c>
      <c r="O263" s="8">
        <f>+Tabla1[[#This Row],[Conversión]]*Tabla1[[#This Row],[Cantidad]]</f>
        <v>40</v>
      </c>
      <c r="P263" s="43">
        <f>Tabla1[[#This Row],[Neto]]-Tabla1[[#This Row],[Costo Venta]]</f>
        <v>1317.9523200000001</v>
      </c>
    </row>
    <row r="264" spans="1:16" x14ac:dyDescent="0.25">
      <c r="A264" s="48">
        <v>45154</v>
      </c>
      <c r="B264" s="1" t="s">
        <v>430</v>
      </c>
      <c r="C264" s="1" t="s">
        <v>81</v>
      </c>
      <c r="D264" s="1" t="s">
        <v>442</v>
      </c>
      <c r="E264" s="1" t="s">
        <v>67</v>
      </c>
      <c r="F264" s="1" t="s">
        <v>9</v>
      </c>
      <c r="G264" s="2">
        <v>60</v>
      </c>
      <c r="H264" s="51" t="s">
        <v>441</v>
      </c>
      <c r="I264" s="44">
        <f>Tabla1[[#This Row],[Descuento]]+Tabla1[[#This Row],[Neto]]</f>
        <v>2520</v>
      </c>
      <c r="J264" s="9">
        <v>882</v>
      </c>
      <c r="K264" s="9">
        <v>1638</v>
      </c>
      <c r="L264" s="9">
        <v>167.46786</v>
      </c>
      <c r="M264" s="24">
        <f>+Tabla1[[#This Row],[Costo Venta]]/Tabla1[[#This Row],[Cantidad]]</f>
        <v>2.791131</v>
      </c>
      <c r="N264" s="3">
        <v>1</v>
      </c>
      <c r="O264" s="8">
        <f>+Tabla1[[#This Row],[Conversión]]*Tabla1[[#This Row],[Cantidad]]</f>
        <v>60</v>
      </c>
      <c r="P264" s="43">
        <f>Tabla1[[#This Row],[Neto]]-Tabla1[[#This Row],[Costo Venta]]</f>
        <v>1470.53214</v>
      </c>
    </row>
    <row r="265" spans="1:16" x14ac:dyDescent="0.25">
      <c r="A265" s="48">
        <v>45210</v>
      </c>
      <c r="B265" s="1" t="s">
        <v>430</v>
      </c>
      <c r="C265" s="1" t="s">
        <v>214</v>
      </c>
      <c r="D265" s="1" t="s">
        <v>252</v>
      </c>
      <c r="E265" s="1" t="s">
        <v>71</v>
      </c>
      <c r="F265" s="1" t="s">
        <v>253</v>
      </c>
      <c r="G265" s="2">
        <v>7.5</v>
      </c>
      <c r="H265" s="51" t="s">
        <v>441</v>
      </c>
      <c r="I265" s="44">
        <f>Tabla1[[#This Row],[Descuento]]+Tabla1[[#This Row],[Neto]]</f>
        <v>318.29500000000002</v>
      </c>
      <c r="J265" s="9">
        <v>15.914999999999999</v>
      </c>
      <c r="K265" s="9">
        <v>302.38</v>
      </c>
      <c r="L265" s="9">
        <v>21.019545000000001</v>
      </c>
      <c r="M265" s="24">
        <f>+Tabla1[[#This Row],[Costo Venta]]/Tabla1[[#This Row],[Cantidad]]</f>
        <v>2.8026059999999999</v>
      </c>
      <c r="N265" s="3">
        <v>1</v>
      </c>
      <c r="O265" s="8">
        <f>+Tabla1[[#This Row],[Conversión]]*Tabla1[[#This Row],[Cantidad]]</f>
        <v>7.5</v>
      </c>
      <c r="P265" s="43">
        <f>Tabla1[[#This Row],[Neto]]-Tabla1[[#This Row],[Costo Venta]]</f>
        <v>281.360455</v>
      </c>
    </row>
    <row r="266" spans="1:16" x14ac:dyDescent="0.25">
      <c r="A266" s="48">
        <v>45225</v>
      </c>
      <c r="B266" s="1" t="s">
        <v>430</v>
      </c>
      <c r="C266" s="1" t="s">
        <v>81</v>
      </c>
      <c r="D266" s="1" t="s">
        <v>257</v>
      </c>
      <c r="E266" s="1" t="s">
        <v>132</v>
      </c>
      <c r="F266" s="1" t="s">
        <v>133</v>
      </c>
      <c r="G266" s="2">
        <v>6</v>
      </c>
      <c r="H266" s="51" t="s">
        <v>441</v>
      </c>
      <c r="I266" s="44">
        <f>Tabla1[[#This Row],[Descuento]]+Tabla1[[#This Row],[Neto]]</f>
        <v>254.64400000000001</v>
      </c>
      <c r="J266" s="9">
        <v>25.463999999999999</v>
      </c>
      <c r="K266" s="9">
        <v>229.18</v>
      </c>
      <c r="L266" s="9">
        <v>16.930782000000001</v>
      </c>
      <c r="M266" s="24">
        <f>+Tabla1[[#This Row],[Costo Venta]]/Tabla1[[#This Row],[Cantidad]]</f>
        <v>2.8217970000000001</v>
      </c>
      <c r="N266" s="3">
        <v>1</v>
      </c>
      <c r="O266" s="8">
        <f>+Tabla1[[#This Row],[Conversión]]*Tabla1[[#This Row],[Cantidad]]</f>
        <v>6</v>
      </c>
      <c r="P266" s="43">
        <f>Tabla1[[#This Row],[Neto]]-Tabla1[[#This Row],[Costo Venta]]</f>
        <v>212.24921800000001</v>
      </c>
    </row>
    <row r="267" spans="1:16" x14ac:dyDescent="0.25">
      <c r="A267" s="48">
        <v>45226</v>
      </c>
      <c r="B267" s="1" t="s">
        <v>430</v>
      </c>
      <c r="C267" s="1" t="s">
        <v>81</v>
      </c>
      <c r="D267" s="1" t="s">
        <v>443</v>
      </c>
      <c r="E267" s="1" t="s">
        <v>67</v>
      </c>
      <c r="F267" s="1" t="s">
        <v>9</v>
      </c>
      <c r="G267" s="2">
        <v>5</v>
      </c>
      <c r="H267" s="51" t="s">
        <v>441</v>
      </c>
      <c r="I267" s="44">
        <f>Tabla1[[#This Row],[Descuento]]+Tabla1[[#This Row],[Neto]]</f>
        <v>212.2</v>
      </c>
      <c r="J267" s="9">
        <v>74.27</v>
      </c>
      <c r="K267" s="9">
        <v>137.93</v>
      </c>
      <c r="L267" s="9">
        <v>14.10802</v>
      </c>
      <c r="M267" s="24">
        <f>+Tabla1[[#This Row],[Costo Venta]]/Tabla1[[#This Row],[Cantidad]]</f>
        <v>2.8216039999999998</v>
      </c>
      <c r="N267" s="3">
        <v>1</v>
      </c>
      <c r="O267" s="8">
        <f>+Tabla1[[#This Row],[Conversión]]*Tabla1[[#This Row],[Cantidad]]</f>
        <v>5</v>
      </c>
      <c r="P267" s="43">
        <f>Tabla1[[#This Row],[Neto]]-Tabla1[[#This Row],[Costo Venta]]</f>
        <v>123.82198000000001</v>
      </c>
    </row>
    <row r="268" spans="1:16" x14ac:dyDescent="0.25">
      <c r="A268" s="48">
        <v>45252</v>
      </c>
      <c r="B268" s="1" t="s">
        <v>430</v>
      </c>
      <c r="C268" s="1" t="s">
        <v>214</v>
      </c>
      <c r="D268" s="1" t="s">
        <v>265</v>
      </c>
      <c r="E268" s="1" t="s">
        <v>71</v>
      </c>
      <c r="F268" s="1" t="s">
        <v>253</v>
      </c>
      <c r="G268" s="2">
        <v>9</v>
      </c>
      <c r="H268" s="51" t="s">
        <v>441</v>
      </c>
      <c r="I268" s="44">
        <f>Tabla1[[#This Row],[Descuento]]+Tabla1[[#This Row],[Neto]]</f>
        <v>381.95800000000003</v>
      </c>
      <c r="J268" s="9">
        <v>19.097999999999999</v>
      </c>
      <c r="K268" s="9">
        <v>362.86</v>
      </c>
      <c r="L268" s="9">
        <v>24.940736999999999</v>
      </c>
      <c r="M268" s="24">
        <f>+Tabla1[[#This Row],[Costo Venta]]/Tabla1[[#This Row],[Cantidad]]</f>
        <v>2.7711929999999998</v>
      </c>
      <c r="N268" s="3">
        <v>1</v>
      </c>
      <c r="O268" s="8">
        <f>+Tabla1[[#This Row],[Conversión]]*Tabla1[[#This Row],[Cantidad]]</f>
        <v>9</v>
      </c>
      <c r="P268" s="43">
        <f>Tabla1[[#This Row],[Neto]]-Tabla1[[#This Row],[Costo Venta]]</f>
        <v>337.919263</v>
      </c>
    </row>
    <row r="269" spans="1:16" x14ac:dyDescent="0.25">
      <c r="A269" s="48">
        <v>45252</v>
      </c>
      <c r="B269" s="1" t="s">
        <v>430</v>
      </c>
      <c r="C269" s="1" t="s">
        <v>214</v>
      </c>
      <c r="D269" s="1" t="s">
        <v>266</v>
      </c>
      <c r="E269" s="1" t="s">
        <v>71</v>
      </c>
      <c r="F269" s="1" t="s">
        <v>253</v>
      </c>
      <c r="G269" s="2">
        <v>5</v>
      </c>
      <c r="H269" s="51" t="s">
        <v>441</v>
      </c>
      <c r="I269" s="44">
        <f>Tabla1[[#This Row],[Descuento]]+Tabla1[[#This Row],[Neto]]</f>
        <v>212.2</v>
      </c>
      <c r="J269" s="9">
        <v>10.61</v>
      </c>
      <c r="K269" s="9">
        <v>201.59</v>
      </c>
      <c r="L269" s="9">
        <v>13.855964999999999</v>
      </c>
      <c r="M269" s="24">
        <f>+Tabla1[[#This Row],[Costo Venta]]/Tabla1[[#This Row],[Cantidad]]</f>
        <v>2.7711929999999998</v>
      </c>
      <c r="N269" s="3">
        <v>1</v>
      </c>
      <c r="O269" s="8">
        <f>+Tabla1[[#This Row],[Conversión]]*Tabla1[[#This Row],[Cantidad]]</f>
        <v>5</v>
      </c>
      <c r="P269" s="43">
        <f>Tabla1[[#This Row],[Neto]]-Tabla1[[#This Row],[Costo Venta]]</f>
        <v>187.73403500000001</v>
      </c>
    </row>
    <row r="270" spans="1:16" x14ac:dyDescent="0.25">
      <c r="A270" s="48">
        <v>45261</v>
      </c>
      <c r="B270" s="1" t="s">
        <v>430</v>
      </c>
      <c r="C270" s="1" t="s">
        <v>214</v>
      </c>
      <c r="D270" s="1" t="s">
        <v>444</v>
      </c>
      <c r="E270" s="1" t="s">
        <v>71</v>
      </c>
      <c r="F270" s="1" t="s">
        <v>253</v>
      </c>
      <c r="G270" s="2">
        <v>1</v>
      </c>
      <c r="H270" s="51" t="s">
        <v>441</v>
      </c>
      <c r="I270" s="44">
        <f>Tabla1[[#This Row],[Descuento]]+Tabla1[[#This Row],[Neto]]</f>
        <v>42.442</v>
      </c>
      <c r="J270" s="9">
        <v>2.1219999999999999</v>
      </c>
      <c r="K270" s="9">
        <v>40.32</v>
      </c>
      <c r="L270" s="9">
        <v>2.789685</v>
      </c>
      <c r="M270" s="24">
        <f>+Tabla1[[#This Row],[Costo Venta]]/Tabla1[[#This Row],[Cantidad]]</f>
        <v>2.789685</v>
      </c>
      <c r="N270" s="3">
        <v>1</v>
      </c>
      <c r="O270" s="8">
        <f>+Tabla1[[#This Row],[Conversión]]*Tabla1[[#This Row],[Cantidad]]</f>
        <v>1</v>
      </c>
      <c r="P270" s="43">
        <f>Tabla1[[#This Row],[Neto]]-Tabla1[[#This Row],[Costo Venta]]</f>
        <v>37.530315000000002</v>
      </c>
    </row>
    <row r="271" spans="1:16" x14ac:dyDescent="0.25">
      <c r="A271" s="48">
        <v>45264</v>
      </c>
      <c r="B271" s="1" t="s">
        <v>430</v>
      </c>
      <c r="C271" s="1" t="s">
        <v>81</v>
      </c>
      <c r="D271" s="1" t="s">
        <v>445</v>
      </c>
      <c r="E271" s="1" t="s">
        <v>67</v>
      </c>
      <c r="F271" s="1" t="s">
        <v>9</v>
      </c>
      <c r="G271" s="2">
        <v>25.5</v>
      </c>
      <c r="H271" s="51" t="s">
        <v>441</v>
      </c>
      <c r="I271" s="44">
        <f>Tabla1[[#This Row],[Descuento]]+Tabla1[[#This Row],[Neto]]</f>
        <v>1082.2170000000001</v>
      </c>
      <c r="J271" s="9">
        <v>378.77699999999999</v>
      </c>
      <c r="K271" s="9">
        <v>703.44</v>
      </c>
      <c r="L271" s="9">
        <v>71.136967499999997</v>
      </c>
      <c r="M271" s="24">
        <f>+Tabla1[[#This Row],[Costo Venta]]/Tabla1[[#This Row],[Cantidad]]</f>
        <v>2.789685</v>
      </c>
      <c r="N271" s="3">
        <v>1</v>
      </c>
      <c r="O271" s="8">
        <f>+Tabla1[[#This Row],[Conversión]]*Tabla1[[#This Row],[Cantidad]]</f>
        <v>25.5</v>
      </c>
      <c r="P271" s="43">
        <f>Tabla1[[#This Row],[Neto]]-Tabla1[[#This Row],[Costo Venta]]</f>
        <v>632.30303250000009</v>
      </c>
    </row>
    <row r="272" spans="1:16" x14ac:dyDescent="0.25">
      <c r="A272" s="48">
        <v>45307</v>
      </c>
      <c r="B272" s="1" t="s">
        <v>430</v>
      </c>
      <c r="C272" s="1" t="s">
        <v>214</v>
      </c>
      <c r="D272" s="1" t="s">
        <v>279</v>
      </c>
      <c r="E272" s="1" t="s">
        <v>71</v>
      </c>
      <c r="F272" s="1" t="s">
        <v>280</v>
      </c>
      <c r="G272" s="2">
        <v>10</v>
      </c>
      <c r="H272" s="51" t="s">
        <v>441</v>
      </c>
      <c r="I272" s="44">
        <f>Tabla1[[#This Row],[Descuento]]+Tabla1[[#This Row],[Neto]]</f>
        <v>424.4</v>
      </c>
      <c r="J272" s="9">
        <v>84.88</v>
      </c>
      <c r="K272" s="9">
        <v>339.52</v>
      </c>
      <c r="L272" s="9">
        <v>36.69782</v>
      </c>
      <c r="M272" s="24">
        <f>+Tabla1[[#This Row],[Costo Venta]]/Tabla1[[#This Row],[Cantidad]]</f>
        <v>3.6697820000000001</v>
      </c>
      <c r="N272" s="3">
        <v>1</v>
      </c>
      <c r="O272" s="8">
        <f>+Tabla1[[#This Row],[Conversión]]*Tabla1[[#This Row],[Cantidad]]</f>
        <v>10</v>
      </c>
      <c r="P272" s="43">
        <f>Tabla1[[#This Row],[Neto]]-Tabla1[[#This Row],[Costo Venta]]</f>
        <v>302.82218</v>
      </c>
    </row>
    <row r="273" spans="1:16" x14ac:dyDescent="0.25">
      <c r="A273" s="48">
        <v>45327</v>
      </c>
      <c r="B273" s="1" t="s">
        <v>430</v>
      </c>
      <c r="C273" s="1" t="s">
        <v>81</v>
      </c>
      <c r="D273" s="1" t="s">
        <v>284</v>
      </c>
      <c r="E273" s="1" t="s">
        <v>132</v>
      </c>
      <c r="F273" s="1" t="s">
        <v>133</v>
      </c>
      <c r="G273" s="2">
        <v>40</v>
      </c>
      <c r="H273" s="51" t="s">
        <v>441</v>
      </c>
      <c r="I273" s="44">
        <f>Tabla1[[#This Row],[Descuento]]+Tabla1[[#This Row],[Neto]]</f>
        <v>1697.6</v>
      </c>
      <c r="J273" s="9">
        <v>339.52</v>
      </c>
      <c r="K273" s="9">
        <v>1358.08</v>
      </c>
      <c r="L273" s="9">
        <v>122.89700000000001</v>
      </c>
      <c r="M273" s="24">
        <f>+Tabla1[[#This Row],[Costo Venta]]/Tabla1[[#This Row],[Cantidad]]</f>
        <v>3.072425</v>
      </c>
      <c r="N273" s="3">
        <v>1</v>
      </c>
      <c r="O273" s="8">
        <f>+Tabla1[[#This Row],[Conversión]]*Tabla1[[#This Row],[Cantidad]]</f>
        <v>40</v>
      </c>
      <c r="P273" s="43">
        <f>Tabla1[[#This Row],[Neto]]-Tabla1[[#This Row],[Costo Venta]]</f>
        <v>1235.183</v>
      </c>
    </row>
    <row r="274" spans="1:16" x14ac:dyDescent="0.25">
      <c r="A274" s="48">
        <v>45327</v>
      </c>
      <c r="B274" s="1" t="s">
        <v>430</v>
      </c>
      <c r="C274" s="1" t="s">
        <v>81</v>
      </c>
      <c r="D274" s="1" t="s">
        <v>285</v>
      </c>
      <c r="E274" s="1" t="s">
        <v>132</v>
      </c>
      <c r="F274" s="1" t="s">
        <v>133</v>
      </c>
      <c r="G274" s="2">
        <v>40</v>
      </c>
      <c r="H274" s="51" t="s">
        <v>441</v>
      </c>
      <c r="I274" s="44">
        <f>Tabla1[[#This Row],[Descuento]]+Tabla1[[#This Row],[Neto]]</f>
        <v>1697.6</v>
      </c>
      <c r="J274" s="9">
        <v>339.52</v>
      </c>
      <c r="K274" s="9">
        <v>1358.08</v>
      </c>
      <c r="L274" s="9">
        <v>122.89700000000001</v>
      </c>
      <c r="M274" s="24">
        <f>+Tabla1[[#This Row],[Costo Venta]]/Tabla1[[#This Row],[Cantidad]]</f>
        <v>3.072425</v>
      </c>
      <c r="N274" s="3">
        <v>1</v>
      </c>
      <c r="O274" s="8">
        <f>+Tabla1[[#This Row],[Conversión]]*Tabla1[[#This Row],[Cantidad]]</f>
        <v>40</v>
      </c>
      <c r="P274" s="43">
        <f>Tabla1[[#This Row],[Neto]]-Tabla1[[#This Row],[Costo Venta]]</f>
        <v>1235.183</v>
      </c>
    </row>
    <row r="275" spans="1:16" x14ac:dyDescent="0.25">
      <c r="A275" s="48">
        <v>45352</v>
      </c>
      <c r="B275" s="1" t="s">
        <v>430</v>
      </c>
      <c r="C275" s="1" t="s">
        <v>81</v>
      </c>
      <c r="D275" s="1" t="s">
        <v>292</v>
      </c>
      <c r="E275" s="1" t="s">
        <v>71</v>
      </c>
      <c r="F275" s="1" t="s">
        <v>293</v>
      </c>
      <c r="G275" s="2">
        <v>18</v>
      </c>
      <c r="H275" s="51" t="s">
        <v>441</v>
      </c>
      <c r="I275" s="44">
        <f>Tabla1[[#This Row],[Descuento]]+Tabla1[[#This Row],[Neto]]</f>
        <v>763.91759999999999</v>
      </c>
      <c r="J275" s="9">
        <v>22.9176</v>
      </c>
      <c r="K275" s="9">
        <v>741</v>
      </c>
      <c r="L275" s="9">
        <v>56.188332000000003</v>
      </c>
      <c r="M275" s="24">
        <f>+Tabla1[[#This Row],[Costo Venta]]/Tabla1[[#This Row],[Cantidad]]</f>
        <v>3.1215740000000003</v>
      </c>
      <c r="N275" s="3">
        <v>1</v>
      </c>
      <c r="O275" s="8">
        <f>+Tabla1[[#This Row],[Conversión]]*Tabla1[[#This Row],[Cantidad]]</f>
        <v>18</v>
      </c>
      <c r="P275" s="43">
        <f>Tabla1[[#This Row],[Neto]]-Tabla1[[#This Row],[Costo Venta]]</f>
        <v>684.81166800000005</v>
      </c>
    </row>
    <row r="276" spans="1:16" x14ac:dyDescent="0.25">
      <c r="A276" s="48">
        <v>45352</v>
      </c>
      <c r="B276" s="1" t="s">
        <v>430</v>
      </c>
      <c r="C276" s="1" t="s">
        <v>81</v>
      </c>
      <c r="D276" s="1" t="s">
        <v>294</v>
      </c>
      <c r="E276" s="1" t="s">
        <v>132</v>
      </c>
      <c r="F276" s="1" t="s">
        <v>295</v>
      </c>
      <c r="G276" s="2">
        <v>100</v>
      </c>
      <c r="H276" s="51" t="s">
        <v>441</v>
      </c>
      <c r="I276" s="44">
        <f>Tabla1[[#This Row],[Descuento]]+Tabla1[[#This Row],[Neto]]</f>
        <v>4244</v>
      </c>
      <c r="J276" s="9">
        <v>1273.2</v>
      </c>
      <c r="K276" s="9">
        <v>2970.8</v>
      </c>
      <c r="L276" s="9">
        <v>312.1574</v>
      </c>
      <c r="M276" s="24">
        <f>+Tabla1[[#This Row],[Costo Venta]]/Tabla1[[#This Row],[Cantidad]]</f>
        <v>3.1215739999999998</v>
      </c>
      <c r="N276" s="3">
        <v>1</v>
      </c>
      <c r="O276" s="8">
        <f>+Tabla1[[#This Row],[Conversión]]*Tabla1[[#This Row],[Cantidad]]</f>
        <v>100</v>
      </c>
      <c r="P276" s="43">
        <f>Tabla1[[#This Row],[Neto]]-Tabla1[[#This Row],[Costo Venta]]</f>
        <v>2658.6426000000001</v>
      </c>
    </row>
    <row r="277" spans="1:16" x14ac:dyDescent="0.25">
      <c r="A277" s="48">
        <v>45355</v>
      </c>
      <c r="B277" s="1" t="s">
        <v>430</v>
      </c>
      <c r="C277" s="1" t="s">
        <v>81</v>
      </c>
      <c r="D277" s="1" t="s">
        <v>446</v>
      </c>
      <c r="E277" s="1" t="s">
        <v>67</v>
      </c>
      <c r="F277" s="1" t="s">
        <v>9</v>
      </c>
      <c r="G277" s="2">
        <v>2</v>
      </c>
      <c r="H277" s="51" t="s">
        <v>441</v>
      </c>
      <c r="I277" s="44">
        <f>Tabla1[[#This Row],[Descuento]]+Tabla1[[#This Row],[Neto]]</f>
        <v>84.878</v>
      </c>
      <c r="J277" s="9">
        <v>29.707999999999998</v>
      </c>
      <c r="K277" s="9">
        <v>55.17</v>
      </c>
      <c r="L277" s="9">
        <v>6.3578939999999999</v>
      </c>
      <c r="M277" s="24">
        <f>+Tabla1[[#This Row],[Costo Venta]]/Tabla1[[#This Row],[Cantidad]]</f>
        <v>3.178947</v>
      </c>
      <c r="N277" s="3">
        <v>1</v>
      </c>
      <c r="O277" s="8">
        <f>+Tabla1[[#This Row],[Conversión]]*Tabla1[[#This Row],[Cantidad]]</f>
        <v>2</v>
      </c>
      <c r="P277" s="43">
        <f>Tabla1[[#This Row],[Neto]]-Tabla1[[#This Row],[Costo Venta]]</f>
        <v>48.812106</v>
      </c>
    </row>
    <row r="278" spans="1:16" x14ac:dyDescent="0.25">
      <c r="A278" s="48">
        <v>45383</v>
      </c>
      <c r="B278" s="1" t="s">
        <v>430</v>
      </c>
      <c r="C278" s="1" t="s">
        <v>29</v>
      </c>
      <c r="D278" s="1" t="s">
        <v>447</v>
      </c>
      <c r="E278" s="1" t="s">
        <v>71</v>
      </c>
      <c r="F278" s="1" t="s">
        <v>448</v>
      </c>
      <c r="G278" s="2">
        <v>4</v>
      </c>
      <c r="H278" s="51" t="s">
        <v>441</v>
      </c>
      <c r="I278" s="44">
        <f>Tabla1[[#This Row],[Descuento]]+Tabla1[[#This Row],[Neto]]</f>
        <v>178.12479999999999</v>
      </c>
      <c r="J278" s="9">
        <v>7.1247999999999996</v>
      </c>
      <c r="K278" s="9">
        <v>171</v>
      </c>
      <c r="L278" s="9">
        <v>9.9030319999999996</v>
      </c>
      <c r="M278" s="24">
        <f>+Tabla1[[#This Row],[Costo Venta]]/Tabla1[[#This Row],[Cantidad]]</f>
        <v>2.4757579999999999</v>
      </c>
      <c r="N278" s="3">
        <v>1</v>
      </c>
      <c r="O278" s="8">
        <f>+Tabla1[[#This Row],[Conversión]]*Tabla1[[#This Row],[Cantidad]]</f>
        <v>4</v>
      </c>
      <c r="P278" s="43">
        <f>Tabla1[[#This Row],[Neto]]-Tabla1[[#This Row],[Costo Venta]]</f>
        <v>161.096968</v>
      </c>
    </row>
    <row r="279" spans="1:16" x14ac:dyDescent="0.25">
      <c r="A279" s="48">
        <v>45397</v>
      </c>
      <c r="B279" s="1" t="s">
        <v>430</v>
      </c>
      <c r="C279" s="1" t="s">
        <v>81</v>
      </c>
      <c r="D279" s="1" t="s">
        <v>449</v>
      </c>
      <c r="E279" s="1" t="s">
        <v>132</v>
      </c>
      <c r="F279" s="1" t="s">
        <v>133</v>
      </c>
      <c r="G279" s="2">
        <v>20</v>
      </c>
      <c r="H279" s="51" t="s">
        <v>441</v>
      </c>
      <c r="I279" s="44">
        <f>Tabla1[[#This Row],[Descuento]]+Tabla1[[#This Row],[Neto]]</f>
        <v>777.6</v>
      </c>
      <c r="J279" s="9">
        <v>9.7200000000000006</v>
      </c>
      <c r="K279" s="9">
        <v>767.88</v>
      </c>
      <c r="L279" s="9">
        <v>49.515160000000002</v>
      </c>
      <c r="M279" s="24">
        <f>+Tabla1[[#This Row],[Costo Venta]]/Tabla1[[#This Row],[Cantidad]]</f>
        <v>2.4757579999999999</v>
      </c>
      <c r="N279" s="3">
        <v>1</v>
      </c>
      <c r="O279" s="8">
        <f>+Tabla1[[#This Row],[Conversión]]*Tabla1[[#This Row],[Cantidad]]</f>
        <v>20</v>
      </c>
      <c r="P279" s="43">
        <f>Tabla1[[#This Row],[Neto]]-Tabla1[[#This Row],[Costo Venta]]</f>
        <v>718.36483999999996</v>
      </c>
    </row>
    <row r="280" spans="1:16" x14ac:dyDescent="0.25">
      <c r="A280" s="48">
        <v>45407</v>
      </c>
      <c r="B280" s="1" t="s">
        <v>430</v>
      </c>
      <c r="C280" s="1" t="s">
        <v>81</v>
      </c>
      <c r="D280" s="1" t="s">
        <v>450</v>
      </c>
      <c r="E280" s="1" t="s">
        <v>132</v>
      </c>
      <c r="F280" s="1" t="s">
        <v>133</v>
      </c>
      <c r="G280" s="2">
        <v>15</v>
      </c>
      <c r="H280" s="51" t="s">
        <v>441</v>
      </c>
      <c r="I280" s="44">
        <f>Tabla1[[#This Row],[Descuento]]+Tabla1[[#This Row],[Neto]]</f>
        <v>583.20000000000005</v>
      </c>
      <c r="J280" s="9">
        <v>116.64</v>
      </c>
      <c r="K280" s="9">
        <v>466.56</v>
      </c>
      <c r="L280" s="9">
        <v>37.136369999999999</v>
      </c>
      <c r="M280" s="24">
        <f>+Tabla1[[#This Row],[Costo Venta]]/Tabla1[[#This Row],[Cantidad]]</f>
        <v>2.4757579999999999</v>
      </c>
      <c r="N280" s="3">
        <v>1</v>
      </c>
      <c r="O280" s="8">
        <f>+Tabla1[[#This Row],[Conversión]]*Tabla1[[#This Row],[Cantidad]]</f>
        <v>15</v>
      </c>
      <c r="P280" s="43">
        <f>Tabla1[[#This Row],[Neto]]-Tabla1[[#This Row],[Costo Venta]]</f>
        <v>429.42363</v>
      </c>
    </row>
    <row r="281" spans="1:16" x14ac:dyDescent="0.25">
      <c r="A281" s="48">
        <v>45421</v>
      </c>
      <c r="B281" s="1" t="s">
        <v>430</v>
      </c>
      <c r="C281" s="1" t="s">
        <v>81</v>
      </c>
      <c r="D281" s="1" t="s">
        <v>451</v>
      </c>
      <c r="E281" s="1" t="s">
        <v>67</v>
      </c>
      <c r="F281" s="1" t="s">
        <v>9</v>
      </c>
      <c r="G281" s="2">
        <v>10.5</v>
      </c>
      <c r="H281" s="51" t="s">
        <v>441</v>
      </c>
      <c r="I281" s="44">
        <f>Tabla1[[#This Row],[Descuento]]+Tabla1[[#This Row],[Neto]]</f>
        <v>408.24400000000003</v>
      </c>
      <c r="J281" s="9">
        <v>142.88399999999999</v>
      </c>
      <c r="K281" s="9">
        <v>265.36</v>
      </c>
      <c r="L281" s="9">
        <v>28.0282065</v>
      </c>
      <c r="M281" s="24">
        <f>+Tabla1[[#This Row],[Costo Venta]]/Tabla1[[#This Row],[Cantidad]]</f>
        <v>2.6693530000000001</v>
      </c>
      <c r="N281" s="3">
        <v>1</v>
      </c>
      <c r="O281" s="8">
        <f>+Tabla1[[#This Row],[Conversión]]*Tabla1[[#This Row],[Cantidad]]</f>
        <v>10.5</v>
      </c>
      <c r="P281" s="43">
        <f>Tabla1[[#This Row],[Neto]]-Tabla1[[#This Row],[Costo Venta]]</f>
        <v>237.3317935</v>
      </c>
    </row>
    <row r="282" spans="1:16" x14ac:dyDescent="0.25">
      <c r="A282" s="48">
        <v>45440</v>
      </c>
      <c r="B282" s="1" t="s">
        <v>430</v>
      </c>
      <c r="C282" s="1" t="s">
        <v>81</v>
      </c>
      <c r="D282" s="1" t="s">
        <v>452</v>
      </c>
      <c r="E282" s="1" t="s">
        <v>71</v>
      </c>
      <c r="F282" s="1" t="s">
        <v>453</v>
      </c>
      <c r="G282" s="2">
        <v>10</v>
      </c>
      <c r="H282" s="51" t="s">
        <v>441</v>
      </c>
      <c r="I282" s="44">
        <f>Tabla1[[#This Row],[Descuento]]+Tabla1[[#This Row],[Neto]]</f>
        <v>388.8</v>
      </c>
      <c r="J282" s="9">
        <v>38.880000000000003</v>
      </c>
      <c r="K282" s="9">
        <v>349.92</v>
      </c>
      <c r="L282" s="9">
        <v>27.091889999999999</v>
      </c>
      <c r="M282" s="24">
        <f>+Tabla1[[#This Row],[Costo Venta]]/Tabla1[[#This Row],[Cantidad]]</f>
        <v>2.7091889999999998</v>
      </c>
      <c r="N282" s="3">
        <v>1</v>
      </c>
      <c r="O282" s="8">
        <f>+Tabla1[[#This Row],[Conversión]]*Tabla1[[#This Row],[Cantidad]]</f>
        <v>10</v>
      </c>
      <c r="P282" s="43">
        <f>Tabla1[[#This Row],[Neto]]-Tabla1[[#This Row],[Costo Venta]]</f>
        <v>322.82811000000004</v>
      </c>
    </row>
    <row r="283" spans="1:16" x14ac:dyDescent="0.25">
      <c r="A283" s="48">
        <v>45443</v>
      </c>
      <c r="B283" s="1" t="s">
        <v>430</v>
      </c>
      <c r="C283" s="1" t="s">
        <v>81</v>
      </c>
      <c r="D283" s="1" t="s">
        <v>454</v>
      </c>
      <c r="E283" s="1" t="s">
        <v>67</v>
      </c>
      <c r="F283" s="1" t="s">
        <v>9</v>
      </c>
      <c r="G283" s="2">
        <v>50</v>
      </c>
      <c r="H283" s="51" t="s">
        <v>441</v>
      </c>
      <c r="I283" s="44">
        <f>Tabla1[[#This Row],[Descuento]]+Tabla1[[#This Row],[Neto]]</f>
        <v>1944</v>
      </c>
      <c r="J283" s="9">
        <v>680.4</v>
      </c>
      <c r="K283" s="9">
        <v>1263.5999999999999</v>
      </c>
      <c r="L283" s="9">
        <v>135.5692</v>
      </c>
      <c r="M283" s="24">
        <f>+Tabla1[[#This Row],[Costo Venta]]/Tabla1[[#This Row],[Cantidad]]</f>
        <v>2.7113839999999998</v>
      </c>
      <c r="N283" s="3">
        <v>1</v>
      </c>
      <c r="O283" s="8">
        <f>+Tabla1[[#This Row],[Conversión]]*Tabla1[[#This Row],[Cantidad]]</f>
        <v>50</v>
      </c>
      <c r="P283" s="43">
        <f>Tabla1[[#This Row],[Neto]]-Tabla1[[#This Row],[Costo Venta]]</f>
        <v>1128.0308</v>
      </c>
    </row>
    <row r="284" spans="1:16" x14ac:dyDescent="0.25">
      <c r="A284" s="48">
        <v>45447</v>
      </c>
      <c r="B284" s="1" t="s">
        <v>430</v>
      </c>
      <c r="C284" s="1" t="s">
        <v>81</v>
      </c>
      <c r="D284" s="1" t="s">
        <v>316</v>
      </c>
      <c r="E284" s="1" t="s">
        <v>132</v>
      </c>
      <c r="F284" s="1" t="s">
        <v>295</v>
      </c>
      <c r="G284" s="2">
        <v>33</v>
      </c>
      <c r="H284" s="51" t="s">
        <v>441</v>
      </c>
      <c r="I284" s="44">
        <f>Tabla1[[#This Row],[Descuento]]+Tabla1[[#This Row],[Neto]]</f>
        <v>1283.0419999999999</v>
      </c>
      <c r="J284" s="9">
        <v>384.91199999999998</v>
      </c>
      <c r="K284" s="9">
        <v>898.13</v>
      </c>
      <c r="L284" s="9">
        <v>90.562824000000006</v>
      </c>
      <c r="M284" s="24">
        <f>+Tabla1[[#This Row],[Costo Venta]]/Tabla1[[#This Row],[Cantidad]]</f>
        <v>2.7443280000000003</v>
      </c>
      <c r="N284" s="3">
        <v>1</v>
      </c>
      <c r="O284" s="8">
        <f>+Tabla1[[#This Row],[Conversión]]*Tabla1[[#This Row],[Cantidad]]</f>
        <v>33</v>
      </c>
      <c r="P284" s="43">
        <f>Tabla1[[#This Row],[Neto]]-Tabla1[[#This Row],[Costo Venta]]</f>
        <v>807.56717600000002</v>
      </c>
    </row>
    <row r="285" spans="1:16" x14ac:dyDescent="0.25">
      <c r="A285" s="48">
        <v>45450</v>
      </c>
      <c r="B285" s="1" t="s">
        <v>430</v>
      </c>
      <c r="C285" s="1" t="s">
        <v>81</v>
      </c>
      <c r="D285" s="1" t="s">
        <v>317</v>
      </c>
      <c r="E285" s="1" t="s">
        <v>132</v>
      </c>
      <c r="F285" s="1" t="s">
        <v>133</v>
      </c>
      <c r="G285" s="2">
        <v>18</v>
      </c>
      <c r="H285" s="51" t="s">
        <v>441</v>
      </c>
      <c r="I285" s="44">
        <f>Tabla1[[#This Row],[Descuento]]+Tabla1[[#This Row],[Neto]]</f>
        <v>699.83799999999997</v>
      </c>
      <c r="J285" s="9">
        <v>139.96799999999999</v>
      </c>
      <c r="K285" s="9">
        <v>559.87</v>
      </c>
      <c r="L285" s="9">
        <v>49.216715999999998</v>
      </c>
      <c r="M285" s="24">
        <f>+Tabla1[[#This Row],[Costo Venta]]/Tabla1[[#This Row],[Cantidad]]</f>
        <v>2.7342619999999997</v>
      </c>
      <c r="N285" s="3">
        <v>1</v>
      </c>
      <c r="O285" s="8">
        <f>+Tabla1[[#This Row],[Conversión]]*Tabla1[[#This Row],[Cantidad]]</f>
        <v>18</v>
      </c>
      <c r="P285" s="43">
        <f>Tabla1[[#This Row],[Neto]]-Tabla1[[#This Row],[Costo Venta]]</f>
        <v>510.65328399999999</v>
      </c>
    </row>
    <row r="286" spans="1:16" x14ac:dyDescent="0.25">
      <c r="A286" s="48">
        <v>45481</v>
      </c>
      <c r="B286" s="1" t="s">
        <v>430</v>
      </c>
      <c r="C286" s="1" t="s">
        <v>65</v>
      </c>
      <c r="D286" s="1" t="s">
        <v>455</v>
      </c>
      <c r="E286" s="1" t="s">
        <v>67</v>
      </c>
      <c r="F286" s="1" t="s">
        <v>9</v>
      </c>
      <c r="G286" s="2">
        <v>15</v>
      </c>
      <c r="H286" s="51" t="s">
        <v>441</v>
      </c>
      <c r="I286" s="44">
        <f>Tabla1[[#This Row],[Descuento]]+Tabla1[[#This Row],[Neto]]</f>
        <v>583.20000000000005</v>
      </c>
      <c r="J286" s="9">
        <v>262.44</v>
      </c>
      <c r="K286" s="9">
        <v>320.76</v>
      </c>
      <c r="L286" s="9">
        <v>40.899900000000002</v>
      </c>
      <c r="M286" s="24">
        <f>+Tabla1[[#This Row],[Costo Venta]]/Tabla1[[#This Row],[Cantidad]]</f>
        <v>2.7266600000000003</v>
      </c>
      <c r="N286" s="3">
        <v>1</v>
      </c>
      <c r="O286" s="8">
        <f>+Tabla1[[#This Row],[Conversión]]*Tabla1[[#This Row],[Cantidad]]</f>
        <v>15</v>
      </c>
      <c r="P286" s="43">
        <f>Tabla1[[#This Row],[Neto]]-Tabla1[[#This Row],[Costo Venta]]</f>
        <v>279.86009999999999</v>
      </c>
    </row>
    <row r="287" spans="1:16" x14ac:dyDescent="0.25">
      <c r="A287" s="48">
        <v>45483</v>
      </c>
      <c r="B287" s="1" t="s">
        <v>430</v>
      </c>
      <c r="C287" s="1" t="s">
        <v>65</v>
      </c>
      <c r="D287" s="1" t="s">
        <v>456</v>
      </c>
      <c r="E287" s="1" t="s">
        <v>67</v>
      </c>
      <c r="F287" s="1" t="s">
        <v>9</v>
      </c>
      <c r="G287" s="2">
        <v>18</v>
      </c>
      <c r="H287" s="51" t="s">
        <v>441</v>
      </c>
      <c r="I287" s="44">
        <f>Tabla1[[#This Row],[Descuento]]+Tabla1[[#This Row],[Neto]]</f>
        <v>699.83799999999997</v>
      </c>
      <c r="J287" s="9">
        <v>314.928</v>
      </c>
      <c r="K287" s="9">
        <v>384.91</v>
      </c>
      <c r="L287" s="9">
        <v>49.079880000000003</v>
      </c>
      <c r="M287" s="24">
        <f>+Tabla1[[#This Row],[Costo Venta]]/Tabla1[[#This Row],[Cantidad]]</f>
        <v>2.7266600000000003</v>
      </c>
      <c r="N287" s="3">
        <v>1</v>
      </c>
      <c r="O287" s="8">
        <f>+Tabla1[[#This Row],[Conversión]]*Tabla1[[#This Row],[Cantidad]]</f>
        <v>18</v>
      </c>
      <c r="P287" s="43">
        <f>Tabla1[[#This Row],[Neto]]-Tabla1[[#This Row],[Costo Venta]]</f>
        <v>335.83012000000002</v>
      </c>
    </row>
    <row r="288" spans="1:16" x14ac:dyDescent="0.25">
      <c r="A288" s="48">
        <v>45496</v>
      </c>
      <c r="B288" s="1" t="s">
        <v>430</v>
      </c>
      <c r="C288" s="1" t="s">
        <v>65</v>
      </c>
      <c r="D288" s="1" t="s">
        <v>457</v>
      </c>
      <c r="E288" s="1" t="s">
        <v>67</v>
      </c>
      <c r="F288" s="1" t="s">
        <v>9</v>
      </c>
      <c r="G288" s="2">
        <v>5</v>
      </c>
      <c r="H288" s="51" t="s">
        <v>441</v>
      </c>
      <c r="I288" s="44">
        <f>Tabla1[[#This Row],[Descuento]]+Tabla1[[#This Row],[Neto]]</f>
        <v>194.4</v>
      </c>
      <c r="J288" s="9">
        <v>87.48</v>
      </c>
      <c r="K288" s="9">
        <v>106.92</v>
      </c>
      <c r="L288" s="9">
        <v>14.890470000000001</v>
      </c>
      <c r="M288" s="24">
        <f>+Tabla1[[#This Row],[Costo Venta]]/Tabla1[[#This Row],[Cantidad]]</f>
        <v>2.978094</v>
      </c>
      <c r="N288" s="3">
        <v>1</v>
      </c>
      <c r="O288" s="8">
        <f>+Tabla1[[#This Row],[Conversión]]*Tabla1[[#This Row],[Cantidad]]</f>
        <v>5</v>
      </c>
      <c r="P288" s="43">
        <f>Tabla1[[#This Row],[Neto]]-Tabla1[[#This Row],[Costo Venta]]</f>
        <v>92.029529999999994</v>
      </c>
    </row>
    <row r="289" spans="1:16" x14ac:dyDescent="0.25">
      <c r="A289" s="48">
        <v>45496</v>
      </c>
      <c r="B289" s="1" t="s">
        <v>430</v>
      </c>
      <c r="C289" s="1" t="s">
        <v>65</v>
      </c>
      <c r="D289" s="1" t="s">
        <v>458</v>
      </c>
      <c r="E289" s="1" t="s">
        <v>67</v>
      </c>
      <c r="F289" s="1" t="s">
        <v>9</v>
      </c>
      <c r="G289" s="2">
        <v>8</v>
      </c>
      <c r="H289" s="51" t="s">
        <v>441</v>
      </c>
      <c r="I289" s="44">
        <f>Tabla1[[#This Row],[Descuento]]+Tabla1[[#This Row],[Neto]]</f>
        <v>311.03800000000001</v>
      </c>
      <c r="J289" s="9">
        <v>139.96799999999999</v>
      </c>
      <c r="K289" s="9">
        <v>171.07</v>
      </c>
      <c r="L289" s="9">
        <v>23.824752</v>
      </c>
      <c r="M289" s="24">
        <f>+Tabla1[[#This Row],[Costo Venta]]/Tabla1[[#This Row],[Cantidad]]</f>
        <v>2.978094</v>
      </c>
      <c r="N289" s="3">
        <v>1</v>
      </c>
      <c r="O289" s="8">
        <f>+Tabla1[[#This Row],[Conversión]]*Tabla1[[#This Row],[Cantidad]]</f>
        <v>8</v>
      </c>
      <c r="P289" s="43">
        <f>Tabla1[[#This Row],[Neto]]-Tabla1[[#This Row],[Costo Venta]]</f>
        <v>147.245248</v>
      </c>
    </row>
    <row r="290" spans="1:16" x14ac:dyDescent="0.25">
      <c r="A290" s="48">
        <v>45496</v>
      </c>
      <c r="B290" s="1" t="s">
        <v>430</v>
      </c>
      <c r="C290" s="1" t="s">
        <v>65</v>
      </c>
      <c r="D290" s="1" t="s">
        <v>323</v>
      </c>
      <c r="E290" s="1" t="s">
        <v>132</v>
      </c>
      <c r="F290" s="1" t="s">
        <v>133</v>
      </c>
      <c r="G290" s="2">
        <v>8</v>
      </c>
      <c r="H290" s="51" t="s">
        <v>441</v>
      </c>
      <c r="I290" s="44">
        <f>Tabla1[[#This Row],[Descuento]]+Tabla1[[#This Row],[Neto]]</f>
        <v>311.03800000000001</v>
      </c>
      <c r="J290" s="9">
        <v>62.207999999999998</v>
      </c>
      <c r="K290" s="9">
        <v>248.83</v>
      </c>
      <c r="L290" s="9">
        <v>23.641711999999998</v>
      </c>
      <c r="M290" s="24">
        <f>+Tabla1[[#This Row],[Costo Venta]]/Tabla1[[#This Row],[Cantidad]]</f>
        <v>2.9552139999999998</v>
      </c>
      <c r="N290" s="3">
        <v>1</v>
      </c>
      <c r="O290" s="8">
        <f>+Tabla1[[#This Row],[Conversión]]*Tabla1[[#This Row],[Cantidad]]</f>
        <v>8</v>
      </c>
      <c r="P290" s="43">
        <f>Tabla1[[#This Row],[Neto]]-Tabla1[[#This Row],[Costo Venta]]</f>
        <v>225.188288</v>
      </c>
    </row>
    <row r="291" spans="1:16" x14ac:dyDescent="0.25">
      <c r="A291" s="48">
        <v>45511</v>
      </c>
      <c r="B291" s="1" t="s">
        <v>430</v>
      </c>
      <c r="C291" s="1" t="s">
        <v>65</v>
      </c>
      <c r="D291" s="1" t="s">
        <v>459</v>
      </c>
      <c r="E291" s="1" t="s">
        <v>67</v>
      </c>
      <c r="F291" s="1" t="s">
        <v>9</v>
      </c>
      <c r="G291" s="2">
        <v>64</v>
      </c>
      <c r="H291" s="51" t="s">
        <v>441</v>
      </c>
      <c r="I291" s="44">
        <f>Tabla1[[#This Row],[Descuento]]+Tabla1[[#This Row],[Neto]]</f>
        <v>2488.3239999999996</v>
      </c>
      <c r="J291" s="9">
        <v>1119.7439999999999</v>
      </c>
      <c r="K291" s="9">
        <v>1368.58</v>
      </c>
      <c r="L291" s="9">
        <v>186.54015999999999</v>
      </c>
      <c r="M291" s="24">
        <f>+Tabla1[[#This Row],[Costo Venta]]/Tabla1[[#This Row],[Cantidad]]</f>
        <v>2.9146899999999998</v>
      </c>
      <c r="N291" s="3">
        <v>1</v>
      </c>
      <c r="O291" s="8">
        <f>+Tabla1[[#This Row],[Conversión]]*Tabla1[[#This Row],[Cantidad]]</f>
        <v>64</v>
      </c>
      <c r="P291" s="43">
        <f>Tabla1[[#This Row],[Neto]]-Tabla1[[#This Row],[Costo Venta]]</f>
        <v>1182.0398399999999</v>
      </c>
    </row>
    <row r="292" spans="1:16" x14ac:dyDescent="0.25">
      <c r="A292" s="48">
        <v>45533</v>
      </c>
      <c r="B292" s="1" t="s">
        <v>430</v>
      </c>
      <c r="C292" s="1" t="s">
        <v>143</v>
      </c>
      <c r="D292" s="1" t="s">
        <v>328</v>
      </c>
      <c r="E292" s="1" t="s">
        <v>71</v>
      </c>
      <c r="F292" s="1" t="s">
        <v>329</v>
      </c>
      <c r="G292" s="2">
        <v>12</v>
      </c>
      <c r="H292" s="51" t="s">
        <v>441</v>
      </c>
      <c r="I292" s="44">
        <f>Tabla1[[#This Row],[Descuento]]+Tabla1[[#This Row],[Neto]]</f>
        <v>466.56399999999996</v>
      </c>
      <c r="J292" s="9">
        <v>69.983999999999995</v>
      </c>
      <c r="K292" s="9">
        <v>396.58</v>
      </c>
      <c r="L292" s="9">
        <v>33.723576000000001</v>
      </c>
      <c r="M292" s="24">
        <f>+Tabla1[[#This Row],[Costo Venta]]/Tabla1[[#This Row],[Cantidad]]</f>
        <v>2.810298</v>
      </c>
      <c r="N292" s="3">
        <v>1</v>
      </c>
      <c r="O292" s="8">
        <f>+Tabla1[[#This Row],[Conversión]]*Tabla1[[#This Row],[Cantidad]]</f>
        <v>12</v>
      </c>
      <c r="P292" s="43">
        <f>Tabla1[[#This Row],[Neto]]-Tabla1[[#This Row],[Costo Venta]]</f>
        <v>362.856424</v>
      </c>
    </row>
    <row r="293" spans="1:16" x14ac:dyDescent="0.25">
      <c r="A293" s="48">
        <v>45537</v>
      </c>
      <c r="B293" s="1" t="s">
        <v>430</v>
      </c>
      <c r="C293" s="1" t="s">
        <v>65</v>
      </c>
      <c r="D293" s="1" t="s">
        <v>331</v>
      </c>
      <c r="E293" s="1" t="s">
        <v>132</v>
      </c>
      <c r="F293" s="1" t="s">
        <v>133</v>
      </c>
      <c r="G293" s="2">
        <v>18</v>
      </c>
      <c r="H293" s="51" t="s">
        <v>441</v>
      </c>
      <c r="I293" s="44">
        <f>Tabla1[[#This Row],[Descuento]]+Tabla1[[#This Row],[Neto]]</f>
        <v>699.83799999999997</v>
      </c>
      <c r="J293" s="9">
        <v>139.96799999999999</v>
      </c>
      <c r="K293" s="9">
        <v>559.87</v>
      </c>
      <c r="L293" s="9">
        <v>50.268707999999997</v>
      </c>
      <c r="M293" s="24">
        <f>+Tabla1[[#This Row],[Costo Venta]]/Tabla1[[#This Row],[Cantidad]]</f>
        <v>2.7927059999999999</v>
      </c>
      <c r="N293" s="3">
        <v>1</v>
      </c>
      <c r="O293" s="8">
        <f>+Tabla1[[#This Row],[Conversión]]*Tabla1[[#This Row],[Cantidad]]</f>
        <v>18</v>
      </c>
      <c r="P293" s="43">
        <f>Tabla1[[#This Row],[Neto]]-Tabla1[[#This Row],[Costo Venta]]</f>
        <v>509.601292</v>
      </c>
    </row>
    <row r="294" spans="1:16" x14ac:dyDescent="0.25">
      <c r="A294" s="48">
        <v>45558</v>
      </c>
      <c r="B294" s="1" t="s">
        <v>430</v>
      </c>
      <c r="C294" s="1" t="s">
        <v>65</v>
      </c>
      <c r="D294" s="1" t="s">
        <v>460</v>
      </c>
      <c r="E294" s="1" t="s">
        <v>67</v>
      </c>
      <c r="F294" s="1" t="s">
        <v>9</v>
      </c>
      <c r="G294" s="2">
        <v>7</v>
      </c>
      <c r="H294" s="51" t="s">
        <v>441</v>
      </c>
      <c r="I294" s="44">
        <f>Tabla1[[#This Row],[Descuento]]+Tabla1[[#This Row],[Neto]]</f>
        <v>272.16199999999998</v>
      </c>
      <c r="J294" s="9">
        <v>122.47199999999999</v>
      </c>
      <c r="K294" s="9">
        <v>149.69</v>
      </c>
      <c r="L294" s="9">
        <v>20.529285000000002</v>
      </c>
      <c r="M294" s="24">
        <f>+Tabla1[[#This Row],[Costo Venta]]/Tabla1[[#This Row],[Cantidad]]</f>
        <v>2.9327550000000002</v>
      </c>
      <c r="N294" s="3">
        <v>1</v>
      </c>
      <c r="O294" s="8">
        <f>+Tabla1[[#This Row],[Conversión]]*Tabla1[[#This Row],[Cantidad]]</f>
        <v>7</v>
      </c>
      <c r="P294" s="43">
        <f>Tabla1[[#This Row],[Neto]]-Tabla1[[#This Row],[Costo Venta]]</f>
        <v>129.16071499999998</v>
      </c>
    </row>
    <row r="295" spans="1:16" x14ac:dyDescent="0.25">
      <c r="A295" s="48">
        <v>45559</v>
      </c>
      <c r="B295" s="1" t="s">
        <v>430</v>
      </c>
      <c r="C295" s="1" t="s">
        <v>65</v>
      </c>
      <c r="D295" s="1" t="s">
        <v>334</v>
      </c>
      <c r="E295" s="1" t="s">
        <v>132</v>
      </c>
      <c r="F295" s="1" t="s">
        <v>133</v>
      </c>
      <c r="G295" s="2">
        <v>17</v>
      </c>
      <c r="H295" s="51" t="s">
        <v>441</v>
      </c>
      <c r="I295" s="44">
        <f>Tabla1[[#This Row],[Descuento]]+Tabla1[[#This Row],[Neto]]</f>
        <v>660.96199999999999</v>
      </c>
      <c r="J295" s="9">
        <v>132.19200000000001</v>
      </c>
      <c r="K295" s="9">
        <v>528.77</v>
      </c>
      <c r="L295" s="9">
        <v>50.521687999999997</v>
      </c>
      <c r="M295" s="24">
        <f>+Tabla1[[#This Row],[Costo Venta]]/Tabla1[[#This Row],[Cantidad]]</f>
        <v>2.9718640000000001</v>
      </c>
      <c r="N295" s="3">
        <v>1</v>
      </c>
      <c r="O295" s="8">
        <f>+Tabla1[[#This Row],[Conversión]]*Tabla1[[#This Row],[Cantidad]]</f>
        <v>17</v>
      </c>
      <c r="P295" s="43">
        <f>Tabla1[[#This Row],[Neto]]-Tabla1[[#This Row],[Costo Venta]]</f>
        <v>478.248312</v>
      </c>
    </row>
    <row r="296" spans="1:16" x14ac:dyDescent="0.25">
      <c r="A296" s="48">
        <v>45559</v>
      </c>
      <c r="B296" s="1" t="s">
        <v>430</v>
      </c>
      <c r="C296" s="1" t="s">
        <v>65</v>
      </c>
      <c r="D296" s="1" t="s">
        <v>461</v>
      </c>
      <c r="E296" s="1" t="s">
        <v>132</v>
      </c>
      <c r="F296" s="1" t="s">
        <v>133</v>
      </c>
      <c r="G296" s="2">
        <v>25</v>
      </c>
      <c r="H296" s="51" t="s">
        <v>441</v>
      </c>
      <c r="I296" s="44">
        <f>Tabla1[[#This Row],[Descuento]]+Tabla1[[#This Row],[Neto]]</f>
        <v>972</v>
      </c>
      <c r="J296" s="9">
        <v>194.4</v>
      </c>
      <c r="K296" s="9">
        <v>777.6</v>
      </c>
      <c r="L296" s="9">
        <v>74.296599999999998</v>
      </c>
      <c r="M296" s="24">
        <f>+Tabla1[[#This Row],[Costo Venta]]/Tabla1[[#This Row],[Cantidad]]</f>
        <v>2.9718640000000001</v>
      </c>
      <c r="N296" s="3">
        <v>1</v>
      </c>
      <c r="O296" s="8">
        <f>+Tabla1[[#This Row],[Conversión]]*Tabla1[[#This Row],[Cantidad]]</f>
        <v>25</v>
      </c>
      <c r="P296" s="43">
        <f>Tabla1[[#This Row],[Neto]]-Tabla1[[#This Row],[Costo Venta]]</f>
        <v>703.30340000000001</v>
      </c>
    </row>
    <row r="297" spans="1:16" x14ac:dyDescent="0.25">
      <c r="A297" s="48">
        <v>45583</v>
      </c>
      <c r="B297" s="1" t="s">
        <v>430</v>
      </c>
      <c r="C297" s="1" t="s">
        <v>65</v>
      </c>
      <c r="D297" s="1" t="s">
        <v>462</v>
      </c>
      <c r="E297" s="1" t="s">
        <v>71</v>
      </c>
      <c r="F297" s="1" t="s">
        <v>360</v>
      </c>
      <c r="G297" s="2">
        <v>100</v>
      </c>
      <c r="H297" s="51" t="s">
        <v>441</v>
      </c>
      <c r="I297" s="44">
        <f>Tabla1[[#This Row],[Descuento]]+Tabla1[[#This Row],[Neto]]</f>
        <v>3888</v>
      </c>
      <c r="J297" s="9">
        <v>777.6</v>
      </c>
      <c r="K297" s="9">
        <v>3110.4</v>
      </c>
      <c r="L297" s="9">
        <v>297.18639999999999</v>
      </c>
      <c r="M297" s="24">
        <f>+Tabla1[[#This Row],[Costo Venta]]/Tabla1[[#This Row],[Cantidad]]</f>
        <v>2.9718640000000001</v>
      </c>
      <c r="N297" s="3">
        <v>1</v>
      </c>
      <c r="O297" s="8">
        <f>+Tabla1[[#This Row],[Conversión]]*Tabla1[[#This Row],[Cantidad]]</f>
        <v>100</v>
      </c>
      <c r="P297" s="43">
        <f>Tabla1[[#This Row],[Neto]]-Tabla1[[#This Row],[Costo Venta]]</f>
        <v>2813.2136</v>
      </c>
    </row>
    <row r="298" spans="1:16" x14ac:dyDescent="0.25">
      <c r="A298" s="48">
        <v>45644</v>
      </c>
      <c r="B298" s="1" t="s">
        <v>430</v>
      </c>
      <c r="C298" s="1" t="s">
        <v>65</v>
      </c>
      <c r="D298" s="1" t="s">
        <v>358</v>
      </c>
      <c r="E298" s="1" t="s">
        <v>132</v>
      </c>
      <c r="F298" s="1" t="s">
        <v>133</v>
      </c>
      <c r="G298" s="2">
        <v>2.5</v>
      </c>
      <c r="H298" s="51" t="s">
        <v>441</v>
      </c>
      <c r="I298" s="44">
        <f>Tabla1[[#This Row],[Descuento]]+Tabla1[[#This Row],[Neto]]</f>
        <v>97.2</v>
      </c>
      <c r="J298" s="9">
        <v>19.440000000000001</v>
      </c>
      <c r="K298" s="9">
        <v>77.760000000000005</v>
      </c>
      <c r="L298" s="9">
        <v>6.6916525</v>
      </c>
      <c r="M298" s="24">
        <f>+Tabla1[[#This Row],[Costo Venta]]/Tabla1[[#This Row],[Cantidad]]</f>
        <v>2.6766610000000002</v>
      </c>
      <c r="N298" s="3">
        <v>1</v>
      </c>
      <c r="O298" s="8">
        <f>+Tabla1[[#This Row],[Conversión]]*Tabla1[[#This Row],[Cantidad]]</f>
        <v>2.5</v>
      </c>
      <c r="P298" s="43">
        <f>Tabla1[[#This Row],[Neto]]-Tabla1[[#This Row],[Costo Venta]]</f>
        <v>71.068347500000002</v>
      </c>
    </row>
    <row r="299" spans="1:16" x14ac:dyDescent="0.25">
      <c r="A299" s="48">
        <v>45666</v>
      </c>
      <c r="B299" s="1" t="s">
        <v>430</v>
      </c>
      <c r="C299" s="1" t="s">
        <v>65</v>
      </c>
      <c r="D299" s="1" t="s">
        <v>463</v>
      </c>
      <c r="E299" s="1" t="s">
        <v>71</v>
      </c>
      <c r="F299" s="1" t="s">
        <v>360</v>
      </c>
      <c r="G299" s="2">
        <v>1</v>
      </c>
      <c r="H299" s="51" t="s">
        <v>441</v>
      </c>
      <c r="I299" s="44">
        <f>Tabla1[[#This Row],[Descuento]]+Tabla1[[#This Row],[Neto]]</f>
        <v>38.876000000000005</v>
      </c>
      <c r="J299" s="9">
        <v>7.7759999999999998</v>
      </c>
      <c r="K299" s="9">
        <v>31.1</v>
      </c>
      <c r="L299" s="9">
        <v>2.6582659999999998</v>
      </c>
      <c r="M299" s="24">
        <f>+Tabla1[[#This Row],[Costo Venta]]/Tabla1[[#This Row],[Cantidad]]</f>
        <v>2.6582659999999998</v>
      </c>
      <c r="N299" s="3">
        <v>1</v>
      </c>
      <c r="O299" s="8">
        <f>+Tabla1[[#This Row],[Conversión]]*Tabla1[[#This Row],[Cantidad]]</f>
        <v>1</v>
      </c>
      <c r="P299" s="43">
        <f>Tabla1[[#This Row],[Neto]]-Tabla1[[#This Row],[Costo Venta]]</f>
        <v>28.441734</v>
      </c>
    </row>
    <row r="300" spans="1:16" x14ac:dyDescent="0.25">
      <c r="A300" s="48">
        <v>45666</v>
      </c>
      <c r="B300" s="1" t="s">
        <v>430</v>
      </c>
      <c r="C300" s="1" t="s">
        <v>65</v>
      </c>
      <c r="D300" s="1" t="s">
        <v>359</v>
      </c>
      <c r="E300" s="1" t="s">
        <v>71</v>
      </c>
      <c r="F300" s="1" t="s">
        <v>360</v>
      </c>
      <c r="G300" s="2">
        <v>8</v>
      </c>
      <c r="H300" s="51" t="s">
        <v>441</v>
      </c>
      <c r="I300" s="44">
        <f>Tabla1[[#This Row],[Descuento]]+Tabla1[[#This Row],[Neto]]</f>
        <v>311.03800000000001</v>
      </c>
      <c r="J300" s="9">
        <v>62.207999999999998</v>
      </c>
      <c r="K300" s="9">
        <v>248.83</v>
      </c>
      <c r="L300" s="9">
        <v>21.266127999999998</v>
      </c>
      <c r="M300" s="24">
        <f>+Tabla1[[#This Row],[Costo Venta]]/Tabla1[[#This Row],[Cantidad]]</f>
        <v>2.6582659999999998</v>
      </c>
      <c r="N300" s="3">
        <v>1</v>
      </c>
      <c r="O300" s="8">
        <f>+Tabla1[[#This Row],[Conversión]]*Tabla1[[#This Row],[Cantidad]]</f>
        <v>8</v>
      </c>
      <c r="P300" s="43">
        <f>Tabla1[[#This Row],[Neto]]-Tabla1[[#This Row],[Costo Venta]]</f>
        <v>227.563872</v>
      </c>
    </row>
    <row r="301" spans="1:16" x14ac:dyDescent="0.25">
      <c r="A301" s="48">
        <v>45734</v>
      </c>
      <c r="B301" s="1" t="s">
        <v>430</v>
      </c>
      <c r="C301" s="1" t="s">
        <v>65</v>
      </c>
      <c r="D301" s="1" t="s">
        <v>370</v>
      </c>
      <c r="E301" s="1" t="s">
        <v>132</v>
      </c>
      <c r="F301" s="1" t="s">
        <v>133</v>
      </c>
      <c r="G301" s="2">
        <v>17</v>
      </c>
      <c r="H301" s="51" t="s">
        <v>441</v>
      </c>
      <c r="I301" s="44">
        <f>Tabla1[[#This Row],[Descuento]]+Tabla1[[#This Row],[Neto]]</f>
        <v>660.96199999999999</v>
      </c>
      <c r="J301" s="9">
        <v>132.19200000000001</v>
      </c>
      <c r="K301" s="9">
        <v>528.77</v>
      </c>
      <c r="L301" s="9">
        <v>44.791072999999997</v>
      </c>
      <c r="M301" s="24">
        <f>+Tabla1[[#This Row],[Costo Venta]]/Tabla1[[#This Row],[Cantidad]]</f>
        <v>2.6347689999999999</v>
      </c>
      <c r="N301" s="3">
        <v>1</v>
      </c>
      <c r="O301" s="8">
        <f>+Tabla1[[#This Row],[Conversión]]*Tabla1[[#This Row],[Cantidad]]</f>
        <v>17</v>
      </c>
      <c r="P301" s="43">
        <f>Tabla1[[#This Row],[Neto]]-Tabla1[[#This Row],[Costo Venta]]</f>
        <v>483.978927</v>
      </c>
    </row>
    <row r="302" spans="1:16" x14ac:dyDescent="0.25">
      <c r="A302" s="48">
        <v>45735</v>
      </c>
      <c r="B302" s="1" t="s">
        <v>430</v>
      </c>
      <c r="C302" s="1" t="s">
        <v>65</v>
      </c>
      <c r="D302" s="1" t="s">
        <v>464</v>
      </c>
      <c r="E302" s="1" t="s">
        <v>67</v>
      </c>
      <c r="F302" s="1" t="s">
        <v>9</v>
      </c>
      <c r="G302" s="2">
        <v>60</v>
      </c>
      <c r="H302" s="51" t="s">
        <v>441</v>
      </c>
      <c r="I302" s="44">
        <f>Tabla1[[#This Row],[Descuento]]+Tabla1[[#This Row],[Neto]]</f>
        <v>2332.8000000000002</v>
      </c>
      <c r="J302" s="9">
        <v>1049.76</v>
      </c>
      <c r="K302" s="9">
        <v>1283.04</v>
      </c>
      <c r="L302" s="9">
        <v>158.08614</v>
      </c>
      <c r="M302" s="24">
        <f>+Tabla1[[#This Row],[Costo Venta]]/Tabla1[[#This Row],[Cantidad]]</f>
        <v>2.6347689999999999</v>
      </c>
      <c r="N302" s="3">
        <v>1</v>
      </c>
      <c r="O302" s="8">
        <f>+Tabla1[[#This Row],[Conversión]]*Tabla1[[#This Row],[Cantidad]]</f>
        <v>60</v>
      </c>
      <c r="P302" s="43">
        <f>Tabla1[[#This Row],[Neto]]-Tabla1[[#This Row],[Costo Venta]]</f>
        <v>1124.9538600000001</v>
      </c>
    </row>
    <row r="303" spans="1:16" x14ac:dyDescent="0.25">
      <c r="A303" s="48">
        <v>45762</v>
      </c>
      <c r="B303" s="1" t="s">
        <v>430</v>
      </c>
      <c r="C303" s="1" t="s">
        <v>65</v>
      </c>
      <c r="D303" s="1" t="s">
        <v>371</v>
      </c>
      <c r="E303" s="1" t="s">
        <v>71</v>
      </c>
      <c r="F303" s="1" t="s">
        <v>372</v>
      </c>
      <c r="G303" s="2">
        <v>6</v>
      </c>
      <c r="H303" s="51" t="s">
        <v>441</v>
      </c>
      <c r="I303" s="44">
        <f>Tabla1[[#This Row],[Descuento]]+Tabla1[[#This Row],[Neto]]</f>
        <v>233.28399999999999</v>
      </c>
      <c r="J303" s="9">
        <v>69.983999999999995</v>
      </c>
      <c r="K303" s="9">
        <v>163.30000000000001</v>
      </c>
      <c r="L303" s="9">
        <v>12.853770000000001</v>
      </c>
      <c r="M303" s="24">
        <f>+Tabla1[[#This Row],[Costo Venta]]/Tabla1[[#This Row],[Cantidad]]</f>
        <v>2.1422950000000003</v>
      </c>
      <c r="N303" s="3">
        <v>1</v>
      </c>
      <c r="O303" s="8">
        <f>+Tabla1[[#This Row],[Conversión]]*Tabla1[[#This Row],[Cantidad]]</f>
        <v>6</v>
      </c>
      <c r="P303" s="43">
        <f>Tabla1[[#This Row],[Neto]]-Tabla1[[#This Row],[Costo Venta]]</f>
        <v>150.44623000000001</v>
      </c>
    </row>
    <row r="304" spans="1:16" x14ac:dyDescent="0.25">
      <c r="A304" s="48">
        <v>45777</v>
      </c>
      <c r="B304" s="1" t="s">
        <v>430</v>
      </c>
      <c r="C304" s="1" t="s">
        <v>65</v>
      </c>
      <c r="D304" s="1" t="s">
        <v>465</v>
      </c>
      <c r="E304" s="1" t="s">
        <v>67</v>
      </c>
      <c r="F304" s="1" t="s">
        <v>9</v>
      </c>
      <c r="G304" s="2">
        <v>10</v>
      </c>
      <c r="H304" s="51" t="s">
        <v>441</v>
      </c>
      <c r="I304" s="44">
        <f>Tabla1[[#This Row],[Descuento]]+Tabla1[[#This Row],[Neto]]</f>
        <v>388.8</v>
      </c>
      <c r="J304" s="9">
        <v>174.96</v>
      </c>
      <c r="K304" s="9">
        <v>213.84</v>
      </c>
      <c r="L304" s="9">
        <v>21.927489999999999</v>
      </c>
      <c r="M304" s="24">
        <f>+Tabla1[[#This Row],[Costo Venta]]/Tabla1[[#This Row],[Cantidad]]</f>
        <v>2.1927490000000001</v>
      </c>
      <c r="N304" s="3">
        <v>1</v>
      </c>
      <c r="O304" s="8">
        <f>+Tabla1[[#This Row],[Conversión]]*Tabla1[[#This Row],[Cantidad]]</f>
        <v>10</v>
      </c>
      <c r="P304" s="43">
        <f>Tabla1[[#This Row],[Neto]]-Tabla1[[#This Row],[Costo Venta]]</f>
        <v>191.91251</v>
      </c>
    </row>
    <row r="305" spans="1:16" x14ac:dyDescent="0.25">
      <c r="A305" s="48">
        <v>45786</v>
      </c>
      <c r="B305" s="1" t="s">
        <v>430</v>
      </c>
      <c r="C305" s="1" t="s">
        <v>65</v>
      </c>
      <c r="D305" s="1" t="s">
        <v>378</v>
      </c>
      <c r="E305" s="1" t="s">
        <v>132</v>
      </c>
      <c r="F305" s="1" t="s">
        <v>133</v>
      </c>
      <c r="G305" s="2">
        <v>16</v>
      </c>
      <c r="H305" s="51" t="s">
        <v>441</v>
      </c>
      <c r="I305" s="44">
        <f>Tabla1[[#This Row],[Descuento]]+Tabla1[[#This Row],[Neto]]</f>
        <v>622.07600000000002</v>
      </c>
      <c r="J305" s="9">
        <v>124.416</v>
      </c>
      <c r="K305" s="9">
        <v>497.66</v>
      </c>
      <c r="L305" s="9">
        <v>42.104176000000002</v>
      </c>
      <c r="M305" s="24">
        <f>+Tabla1[[#This Row],[Costo Venta]]/Tabla1[[#This Row],[Cantidad]]</f>
        <v>2.6315110000000002</v>
      </c>
      <c r="N305" s="3">
        <v>1</v>
      </c>
      <c r="O305" s="8">
        <f>+Tabla1[[#This Row],[Conversión]]*Tabla1[[#This Row],[Cantidad]]</f>
        <v>16</v>
      </c>
      <c r="P305" s="43">
        <f>Tabla1[[#This Row],[Neto]]-Tabla1[[#This Row],[Costo Venta]]</f>
        <v>455.55582400000003</v>
      </c>
    </row>
    <row r="306" spans="1:16" x14ac:dyDescent="0.25">
      <c r="A306" s="48">
        <v>45810</v>
      </c>
      <c r="B306" s="1" t="s">
        <v>430</v>
      </c>
      <c r="C306" s="1" t="s">
        <v>65</v>
      </c>
      <c r="D306" s="1" t="s">
        <v>380</v>
      </c>
      <c r="E306" s="1" t="s">
        <v>132</v>
      </c>
      <c r="F306" s="1" t="s">
        <v>133</v>
      </c>
      <c r="G306" s="2">
        <v>16</v>
      </c>
      <c r="H306" s="51" t="s">
        <v>441</v>
      </c>
      <c r="I306" s="44">
        <f>Tabla1[[#This Row],[Descuento]]+Tabla1[[#This Row],[Neto]]</f>
        <v>622.07600000000002</v>
      </c>
      <c r="J306" s="9">
        <v>124.416</v>
      </c>
      <c r="K306" s="9">
        <v>497.66</v>
      </c>
      <c r="L306" s="9">
        <v>45.354255999999999</v>
      </c>
      <c r="M306" s="24">
        <f>+Tabla1[[#This Row],[Costo Venta]]/Tabla1[[#This Row],[Cantidad]]</f>
        <v>2.834641</v>
      </c>
      <c r="N306" s="3">
        <v>1</v>
      </c>
      <c r="O306" s="8">
        <f>+Tabla1[[#This Row],[Conversión]]*Tabla1[[#This Row],[Cantidad]]</f>
        <v>16</v>
      </c>
      <c r="P306" s="43">
        <f>Tabla1[[#This Row],[Neto]]-Tabla1[[#This Row],[Costo Venta]]</f>
        <v>452.305744</v>
      </c>
    </row>
    <row r="307" spans="1:16" x14ac:dyDescent="0.25">
      <c r="A307" s="48">
        <v>45833</v>
      </c>
      <c r="B307" s="1" t="s">
        <v>430</v>
      </c>
      <c r="C307" s="1" t="s">
        <v>65</v>
      </c>
      <c r="D307" s="1" t="s">
        <v>466</v>
      </c>
      <c r="E307" s="1" t="s">
        <v>67</v>
      </c>
      <c r="F307" s="1" t="s">
        <v>9</v>
      </c>
      <c r="G307" s="2">
        <v>150</v>
      </c>
      <c r="H307" s="51" t="s">
        <v>441</v>
      </c>
      <c r="I307" s="44">
        <f>Tabla1[[#This Row],[Descuento]]+Tabla1[[#This Row],[Neto]]</f>
        <v>5832</v>
      </c>
      <c r="J307" s="9">
        <v>2624.4</v>
      </c>
      <c r="K307" s="9">
        <v>3207.6</v>
      </c>
      <c r="L307" s="9">
        <v>425.09249999999997</v>
      </c>
      <c r="M307" s="24">
        <f>+Tabla1[[#This Row],[Costo Venta]]/Tabla1[[#This Row],[Cantidad]]</f>
        <v>2.8339499999999997</v>
      </c>
      <c r="N307" s="3">
        <v>1</v>
      </c>
      <c r="O307" s="8">
        <f>+Tabla1[[#This Row],[Conversión]]*Tabla1[[#This Row],[Cantidad]]</f>
        <v>150</v>
      </c>
      <c r="P307" s="43">
        <f>Tabla1[[#This Row],[Neto]]-Tabla1[[#This Row],[Costo Venta]]</f>
        <v>2782.5074999999997</v>
      </c>
    </row>
    <row r="308" spans="1:16" x14ac:dyDescent="0.25">
      <c r="A308" s="48">
        <v>45909</v>
      </c>
      <c r="B308" s="1" t="s">
        <v>430</v>
      </c>
      <c r="C308" s="1" t="s">
        <v>65</v>
      </c>
      <c r="D308" s="1" t="s">
        <v>398</v>
      </c>
      <c r="E308" s="1" t="s">
        <v>132</v>
      </c>
      <c r="F308" s="1" t="s">
        <v>133</v>
      </c>
      <c r="G308" s="2">
        <v>18</v>
      </c>
      <c r="H308" s="51" t="s">
        <v>441</v>
      </c>
      <c r="I308" s="44">
        <f>Tabla1[[#This Row],[Descuento]]+Tabla1[[#This Row],[Neto]]</f>
        <v>699.83799999999997</v>
      </c>
      <c r="J308" s="9">
        <v>139.96799999999999</v>
      </c>
      <c r="K308" s="9">
        <v>559.87</v>
      </c>
      <c r="L308" s="9">
        <v>49.815846000000001</v>
      </c>
      <c r="M308" s="24">
        <f>+Tabla1[[#This Row],[Costo Venta]]/Tabla1[[#This Row],[Cantidad]]</f>
        <v>2.767547</v>
      </c>
      <c r="N308" s="3">
        <v>1</v>
      </c>
      <c r="O308" s="8">
        <f>+Tabla1[[#This Row],[Conversión]]*Tabla1[[#This Row],[Cantidad]]</f>
        <v>18</v>
      </c>
      <c r="P308" s="43">
        <f>Tabla1[[#This Row],[Neto]]-Tabla1[[#This Row],[Costo Venta]]</f>
        <v>510.05415399999998</v>
      </c>
    </row>
    <row r="309" spans="1:16" x14ac:dyDescent="0.25">
      <c r="A309" s="48">
        <v>45910</v>
      </c>
      <c r="B309" s="1" t="s">
        <v>430</v>
      </c>
      <c r="C309" s="1" t="s">
        <v>65</v>
      </c>
      <c r="D309" s="1" t="s">
        <v>467</v>
      </c>
      <c r="E309" s="1" t="s">
        <v>67</v>
      </c>
      <c r="F309" s="1" t="s">
        <v>9</v>
      </c>
      <c r="G309" s="2">
        <v>18</v>
      </c>
      <c r="H309" s="51" t="s">
        <v>441</v>
      </c>
      <c r="I309" s="44">
        <f>Tabla1[[#This Row],[Descuento]]+Tabla1[[#This Row],[Neto]]</f>
        <v>699.83799999999997</v>
      </c>
      <c r="J309" s="9">
        <v>314.928</v>
      </c>
      <c r="K309" s="9">
        <v>384.91</v>
      </c>
      <c r="L309" s="9">
        <v>46.323846000000003</v>
      </c>
      <c r="M309" s="24">
        <f>+Tabla1[[#This Row],[Costo Venta]]/Tabla1[[#This Row],[Cantidad]]</f>
        <v>2.573547</v>
      </c>
      <c r="N309" s="3">
        <v>1</v>
      </c>
      <c r="O309" s="8">
        <f>+Tabla1[[#This Row],[Conversión]]*Tabla1[[#This Row],[Cantidad]]</f>
        <v>18</v>
      </c>
      <c r="P309" s="43">
        <f>Tabla1[[#This Row],[Neto]]-Tabla1[[#This Row],[Costo Venta]]</f>
        <v>338.58615400000002</v>
      </c>
    </row>
    <row r="310" spans="1:16" x14ac:dyDescent="0.25">
      <c r="A310" s="48">
        <v>45919</v>
      </c>
      <c r="B310" s="1" t="s">
        <v>430</v>
      </c>
      <c r="C310" s="1" t="s">
        <v>65</v>
      </c>
      <c r="D310" s="1" t="s">
        <v>399</v>
      </c>
      <c r="E310" s="1" t="s">
        <v>132</v>
      </c>
      <c r="F310" s="1" t="s">
        <v>133</v>
      </c>
      <c r="G310" s="2">
        <v>18</v>
      </c>
      <c r="H310" s="51" t="s">
        <v>441</v>
      </c>
      <c r="I310" s="44">
        <f>Tabla1[[#This Row],[Descuento]]+Tabla1[[#This Row],[Neto]]</f>
        <v>699.83799999999997</v>
      </c>
      <c r="J310" s="9">
        <v>139.96799999999999</v>
      </c>
      <c r="K310" s="9">
        <v>559.87</v>
      </c>
      <c r="L310" s="9">
        <v>44.535924000000001</v>
      </c>
      <c r="M310" s="24">
        <f>+Tabla1[[#This Row],[Costo Venta]]/Tabla1[[#This Row],[Cantidad]]</f>
        <v>2.474218</v>
      </c>
      <c r="N310" s="3">
        <v>1</v>
      </c>
      <c r="O310" s="8">
        <f>+Tabla1[[#This Row],[Conversión]]*Tabla1[[#This Row],[Cantidad]]</f>
        <v>18</v>
      </c>
      <c r="P310" s="43">
        <f>Tabla1[[#This Row],[Neto]]-Tabla1[[#This Row],[Costo Venta]]</f>
        <v>515.33407599999998</v>
      </c>
    </row>
    <row r="311" spans="1:16" x14ac:dyDescent="0.25">
      <c r="A311" s="48">
        <v>45919</v>
      </c>
      <c r="B311" s="1" t="s">
        <v>430</v>
      </c>
      <c r="C311" s="1" t="s">
        <v>65</v>
      </c>
      <c r="D311" s="1" t="s">
        <v>400</v>
      </c>
      <c r="E311" s="1" t="s">
        <v>132</v>
      </c>
      <c r="F311" s="1" t="s">
        <v>133</v>
      </c>
      <c r="G311" s="2">
        <v>18</v>
      </c>
      <c r="H311" s="51" t="s">
        <v>441</v>
      </c>
      <c r="I311" s="44">
        <f>Tabla1[[#This Row],[Descuento]]+Tabla1[[#This Row],[Neto]]</f>
        <v>699.83799999999997</v>
      </c>
      <c r="J311" s="9">
        <v>139.96799999999999</v>
      </c>
      <c r="K311" s="9">
        <v>559.87</v>
      </c>
      <c r="L311" s="9">
        <v>44.535924000000001</v>
      </c>
      <c r="M311" s="24">
        <f>+Tabla1[[#This Row],[Costo Venta]]/Tabla1[[#This Row],[Cantidad]]</f>
        <v>2.474218</v>
      </c>
      <c r="N311" s="3">
        <v>1</v>
      </c>
      <c r="O311" s="8">
        <f>+Tabla1[[#This Row],[Conversión]]*Tabla1[[#This Row],[Cantidad]]</f>
        <v>18</v>
      </c>
      <c r="P311" s="43">
        <f>Tabla1[[#This Row],[Neto]]-Tabla1[[#This Row],[Costo Venta]]</f>
        <v>515.33407599999998</v>
      </c>
    </row>
    <row r="312" spans="1:16" x14ac:dyDescent="0.25">
      <c r="A312" s="48">
        <v>45014</v>
      </c>
      <c r="B312" s="1" t="s">
        <v>430</v>
      </c>
      <c r="C312" s="1" t="s">
        <v>81</v>
      </c>
      <c r="D312" s="1" t="s">
        <v>468</v>
      </c>
      <c r="E312" s="1" t="s">
        <v>71</v>
      </c>
      <c r="F312" s="1" t="s">
        <v>469</v>
      </c>
      <c r="G312" s="2">
        <v>1.2</v>
      </c>
      <c r="H312" s="51" t="s">
        <v>431</v>
      </c>
      <c r="I312" s="44">
        <f>Tabla1[[#This Row],[Descuento]]+Tabla1[[#This Row],[Neto]]</f>
        <v>50.4</v>
      </c>
      <c r="J312" s="9">
        <v>0</v>
      </c>
      <c r="K312" s="9">
        <v>50.4</v>
      </c>
      <c r="L312" s="9">
        <v>4.1639999999999997</v>
      </c>
      <c r="M312" s="24">
        <f>+Tabla1[[#This Row],[Costo Venta]]/Tabla1[[#This Row],[Cantidad]]</f>
        <v>3.4699999999999998</v>
      </c>
      <c r="N312" s="3">
        <v>1</v>
      </c>
      <c r="O312" s="8">
        <f>+Tabla1[[#This Row],[Conversión]]*Tabla1[[#This Row],[Cantidad]]</f>
        <v>1.2</v>
      </c>
      <c r="P312" s="43">
        <f>Tabla1[[#This Row],[Neto]]-Tabla1[[#This Row],[Costo Venta]]</f>
        <v>46.235999999999997</v>
      </c>
    </row>
    <row r="313" spans="1:16" x14ac:dyDescent="0.25">
      <c r="A313" s="48">
        <v>45063</v>
      </c>
      <c r="B313" s="1" t="s">
        <v>430</v>
      </c>
      <c r="C313" s="1" t="s">
        <v>109</v>
      </c>
      <c r="D313" s="1" t="s">
        <v>182</v>
      </c>
      <c r="E313" s="1" t="s">
        <v>137</v>
      </c>
      <c r="F313" s="1" t="s">
        <v>183</v>
      </c>
      <c r="G313" s="2">
        <v>16.079999999999998</v>
      </c>
      <c r="H313" s="51" t="s">
        <v>431</v>
      </c>
      <c r="I313" s="44">
        <f>Tabla1[[#This Row],[Descuento]]+Tabla1[[#This Row],[Neto]]</f>
        <v>675.36</v>
      </c>
      <c r="J313" s="9">
        <v>168.84</v>
      </c>
      <c r="K313" s="9">
        <v>506.52</v>
      </c>
      <c r="L313" s="9">
        <v>53.784657359999997</v>
      </c>
      <c r="M313" s="24">
        <f>+Tabla1[[#This Row],[Costo Venta]]/Tabla1[[#This Row],[Cantidad]]</f>
        <v>3.3448170000000004</v>
      </c>
      <c r="N313" s="3">
        <v>1</v>
      </c>
      <c r="O313" s="8">
        <f>+Tabla1[[#This Row],[Conversión]]*Tabla1[[#This Row],[Cantidad]]</f>
        <v>16.079999999999998</v>
      </c>
      <c r="P313" s="43">
        <f>Tabla1[[#This Row],[Neto]]-Tabla1[[#This Row],[Costo Venta]]</f>
        <v>452.73534264</v>
      </c>
    </row>
    <row r="314" spans="1:16" x14ac:dyDescent="0.25">
      <c r="A314" s="48">
        <v>45085</v>
      </c>
      <c r="B314" s="1" t="s">
        <v>430</v>
      </c>
      <c r="C314" s="1" t="s">
        <v>109</v>
      </c>
      <c r="D314" s="1" t="s">
        <v>196</v>
      </c>
      <c r="E314" s="1" t="s">
        <v>137</v>
      </c>
      <c r="F314" s="1" t="s">
        <v>183</v>
      </c>
      <c r="G314" s="2">
        <v>27</v>
      </c>
      <c r="H314" s="51" t="s">
        <v>431</v>
      </c>
      <c r="I314" s="44">
        <f>Tabla1[[#This Row],[Descuento]]+Tabla1[[#This Row],[Neto]]</f>
        <v>1134</v>
      </c>
      <c r="J314" s="9">
        <v>283.5</v>
      </c>
      <c r="K314" s="9">
        <v>850.5</v>
      </c>
      <c r="L314" s="9">
        <v>88.539534000000003</v>
      </c>
      <c r="M314" s="24">
        <f>+Tabla1[[#This Row],[Costo Venta]]/Tabla1[[#This Row],[Cantidad]]</f>
        <v>3.279242</v>
      </c>
      <c r="N314" s="3">
        <v>1</v>
      </c>
      <c r="O314" s="8">
        <f>+Tabla1[[#This Row],[Conversión]]*Tabla1[[#This Row],[Cantidad]]</f>
        <v>27</v>
      </c>
      <c r="P314" s="43">
        <f>Tabla1[[#This Row],[Neto]]-Tabla1[[#This Row],[Costo Venta]]</f>
        <v>761.960466</v>
      </c>
    </row>
    <row r="315" spans="1:16" x14ac:dyDescent="0.25">
      <c r="A315" s="48">
        <v>45147</v>
      </c>
      <c r="B315" s="1" t="s">
        <v>430</v>
      </c>
      <c r="C315" s="1" t="s">
        <v>81</v>
      </c>
      <c r="D315" s="1" t="s">
        <v>432</v>
      </c>
      <c r="E315" s="1" t="s">
        <v>137</v>
      </c>
      <c r="F315" s="1" t="s">
        <v>433</v>
      </c>
      <c r="G315" s="2">
        <v>23.28</v>
      </c>
      <c r="H315" s="51" t="s">
        <v>431</v>
      </c>
      <c r="I315" s="44">
        <f>Tabla1[[#This Row],[Descuento]]+Tabla1[[#This Row],[Neto]]</f>
        <v>977.76</v>
      </c>
      <c r="J315" s="9">
        <v>244.44</v>
      </c>
      <c r="K315" s="9">
        <v>733.32</v>
      </c>
      <c r="L315" s="9">
        <v>76.101947519999996</v>
      </c>
      <c r="M315" s="24">
        <f>+Tabla1[[#This Row],[Costo Venta]]/Tabla1[[#This Row],[Cantidad]]</f>
        <v>3.2689839999999997</v>
      </c>
      <c r="N315" s="3">
        <v>1</v>
      </c>
      <c r="O315" s="8">
        <f>+Tabla1[[#This Row],[Conversión]]*Tabla1[[#This Row],[Cantidad]]</f>
        <v>23.28</v>
      </c>
      <c r="P315" s="43">
        <f>Tabla1[[#This Row],[Neto]]-Tabla1[[#This Row],[Costo Venta]]</f>
        <v>657.2180524800001</v>
      </c>
    </row>
    <row r="316" spans="1:16" x14ac:dyDescent="0.25">
      <c r="A316" s="48">
        <v>45243</v>
      </c>
      <c r="B316" s="1" t="s">
        <v>430</v>
      </c>
      <c r="C316" s="1" t="s">
        <v>81</v>
      </c>
      <c r="D316" s="1" t="s">
        <v>434</v>
      </c>
      <c r="E316" s="1" t="s">
        <v>67</v>
      </c>
      <c r="F316" s="1" t="s">
        <v>20</v>
      </c>
      <c r="G316" s="2">
        <v>1.26</v>
      </c>
      <c r="H316" s="51" t="s">
        <v>431</v>
      </c>
      <c r="I316" s="44">
        <f>Tabla1[[#This Row],[Descuento]]+Tabla1[[#This Row],[Neto]]</f>
        <v>53.46604</v>
      </c>
      <c r="J316" s="9">
        <v>18.71604</v>
      </c>
      <c r="K316" s="9">
        <v>34.75</v>
      </c>
      <c r="L316" s="9">
        <v>3.9989401199999999</v>
      </c>
      <c r="M316" s="24">
        <f>+Tabla1[[#This Row],[Costo Venta]]/Tabla1[[#This Row],[Cantidad]]</f>
        <v>3.173762</v>
      </c>
      <c r="N316" s="3">
        <v>1</v>
      </c>
      <c r="O316" s="8">
        <f>+Tabla1[[#This Row],[Conversión]]*Tabla1[[#This Row],[Cantidad]]</f>
        <v>1.26</v>
      </c>
      <c r="P316" s="43">
        <f>Tabla1[[#This Row],[Neto]]-Tabla1[[#This Row],[Costo Venta]]</f>
        <v>30.75105988</v>
      </c>
    </row>
    <row r="317" spans="1:16" x14ac:dyDescent="0.25">
      <c r="A317" s="48">
        <v>45258</v>
      </c>
      <c r="B317" s="1" t="s">
        <v>430</v>
      </c>
      <c r="C317" s="1" t="s">
        <v>81</v>
      </c>
      <c r="D317" s="1" t="s">
        <v>435</v>
      </c>
      <c r="E317" s="1" t="s">
        <v>67</v>
      </c>
      <c r="F317" s="1" t="s">
        <v>20</v>
      </c>
      <c r="G317" s="2">
        <v>0.3</v>
      </c>
      <c r="H317" s="51" t="s">
        <v>431</v>
      </c>
      <c r="I317" s="44">
        <f>Tabla1[[#This Row],[Descuento]]+Tabla1[[#This Row],[Neto]]</f>
        <v>12.726199999999999</v>
      </c>
      <c r="J317" s="9">
        <v>4.4561999999999999</v>
      </c>
      <c r="K317" s="9">
        <v>8.27</v>
      </c>
      <c r="L317" s="9">
        <v>0.95212859999999999</v>
      </c>
      <c r="M317" s="24">
        <f>+Tabla1[[#This Row],[Costo Venta]]/Tabla1[[#This Row],[Cantidad]]</f>
        <v>3.173762</v>
      </c>
      <c r="N317" s="3">
        <v>1</v>
      </c>
      <c r="O317" s="8">
        <f>+Tabla1[[#This Row],[Conversión]]*Tabla1[[#This Row],[Cantidad]]</f>
        <v>0.3</v>
      </c>
      <c r="P317" s="43">
        <f>Tabla1[[#This Row],[Neto]]-Tabla1[[#This Row],[Costo Venta]]</f>
        <v>7.3178713999999996</v>
      </c>
    </row>
    <row r="318" spans="1:16" x14ac:dyDescent="0.25">
      <c r="A318" s="48">
        <v>45316</v>
      </c>
      <c r="B318" s="1" t="s">
        <v>430</v>
      </c>
      <c r="C318" s="1" t="s">
        <v>81</v>
      </c>
      <c r="D318" s="1" t="s">
        <v>281</v>
      </c>
      <c r="E318" s="1" t="s">
        <v>137</v>
      </c>
      <c r="F318" s="1" t="s">
        <v>183</v>
      </c>
      <c r="G318" s="2">
        <v>23.35</v>
      </c>
      <c r="H318" s="51" t="s">
        <v>431</v>
      </c>
      <c r="I318" s="44">
        <f>Tabla1[[#This Row],[Descuento]]+Tabla1[[#This Row],[Neto]]</f>
        <v>990.97350000000006</v>
      </c>
      <c r="J318" s="9">
        <v>247.74350000000001</v>
      </c>
      <c r="K318" s="9">
        <v>743.23</v>
      </c>
      <c r="L318" s="9">
        <v>53.431408050000002</v>
      </c>
      <c r="M318" s="24">
        <f>+Tabla1[[#This Row],[Costo Venta]]/Tabla1[[#This Row],[Cantidad]]</f>
        <v>2.2882829999999998</v>
      </c>
      <c r="N318" s="3">
        <v>1</v>
      </c>
      <c r="O318" s="8">
        <f>+Tabla1[[#This Row],[Conversión]]*Tabla1[[#This Row],[Cantidad]]</f>
        <v>23.35</v>
      </c>
      <c r="P318" s="43">
        <f>Tabla1[[#This Row],[Neto]]-Tabla1[[#This Row],[Costo Venta]]</f>
        <v>689.79859195000006</v>
      </c>
    </row>
    <row r="319" spans="1:16" x14ac:dyDescent="0.25">
      <c r="A319" s="48">
        <v>45408</v>
      </c>
      <c r="B319" s="1" t="s">
        <v>430</v>
      </c>
      <c r="C319" s="1" t="s">
        <v>81</v>
      </c>
      <c r="D319" s="1" t="s">
        <v>436</v>
      </c>
      <c r="E319" s="1" t="s">
        <v>137</v>
      </c>
      <c r="F319" s="1" t="s">
        <v>183</v>
      </c>
      <c r="G319" s="2">
        <v>3.6</v>
      </c>
      <c r="H319" s="51" t="s">
        <v>431</v>
      </c>
      <c r="I319" s="44">
        <f>Tabla1[[#This Row],[Descuento]]+Tabla1[[#This Row],[Neto]]</f>
        <v>139.9736</v>
      </c>
      <c r="J319" s="9">
        <v>27.993600000000001</v>
      </c>
      <c r="K319" s="9">
        <v>111.98</v>
      </c>
      <c r="L319" s="9">
        <v>7.9314156000000002</v>
      </c>
      <c r="M319" s="24">
        <f>+Tabla1[[#This Row],[Costo Venta]]/Tabla1[[#This Row],[Cantidad]]</f>
        <v>2.2031710000000002</v>
      </c>
      <c r="N319" s="3">
        <v>1</v>
      </c>
      <c r="O319" s="8">
        <f>+Tabla1[[#This Row],[Conversión]]*Tabla1[[#This Row],[Cantidad]]</f>
        <v>3.6</v>
      </c>
      <c r="P319" s="43">
        <f>Tabla1[[#This Row],[Neto]]-Tabla1[[#This Row],[Costo Venta]]</f>
        <v>104.04858440000001</v>
      </c>
    </row>
    <row r="320" spans="1:16" x14ac:dyDescent="0.25">
      <c r="A320" s="48">
        <v>45560</v>
      </c>
      <c r="B320" s="1" t="s">
        <v>430</v>
      </c>
      <c r="C320" s="1" t="s">
        <v>143</v>
      </c>
      <c r="D320" s="1" t="s">
        <v>335</v>
      </c>
      <c r="E320" s="1" t="s">
        <v>132</v>
      </c>
      <c r="F320" s="1" t="s">
        <v>29</v>
      </c>
      <c r="G320" s="2">
        <v>65.040000000000006</v>
      </c>
      <c r="H320" s="51" t="s">
        <v>431</v>
      </c>
      <c r="I320" s="44">
        <f>Tabla1[[#This Row],[Descuento]]+Tabla1[[#This Row],[Neto]]</f>
        <v>2528.7565600000003</v>
      </c>
      <c r="J320" s="9">
        <v>758.62656000000004</v>
      </c>
      <c r="K320" s="9">
        <v>1770.13</v>
      </c>
      <c r="L320" s="9">
        <v>104.79205776000001</v>
      </c>
      <c r="M320" s="24">
        <f>+Tabla1[[#This Row],[Costo Venta]]/Tabla1[[#This Row],[Cantidad]]</f>
        <v>1.611194</v>
      </c>
      <c r="N320" s="3">
        <v>1</v>
      </c>
      <c r="O320" s="8">
        <f>+Tabla1[[#This Row],[Conversión]]*Tabla1[[#This Row],[Cantidad]]</f>
        <v>65.040000000000006</v>
      </c>
      <c r="P320" s="43">
        <f>Tabla1[[#This Row],[Neto]]-Tabla1[[#This Row],[Costo Venta]]</f>
        <v>1665.3379422400001</v>
      </c>
    </row>
    <row r="321" spans="1:16" x14ac:dyDescent="0.25">
      <c r="A321" s="48">
        <v>44953</v>
      </c>
      <c r="B321" s="1" t="s">
        <v>430</v>
      </c>
      <c r="C321" s="1" t="s">
        <v>143</v>
      </c>
      <c r="D321" s="1" t="s">
        <v>470</v>
      </c>
      <c r="E321" s="1" t="s">
        <v>67</v>
      </c>
      <c r="F321" s="1" t="s">
        <v>9</v>
      </c>
      <c r="G321" s="2">
        <v>108.15</v>
      </c>
      <c r="H321" s="51" t="s">
        <v>431</v>
      </c>
      <c r="I321" s="44">
        <f>Tabla1[[#This Row],[Descuento]]+Tabla1[[#This Row],[Neto]]</f>
        <v>4542.3050000000003</v>
      </c>
      <c r="J321" s="9">
        <v>1589.8050000000001</v>
      </c>
      <c r="K321" s="9">
        <v>2952.5</v>
      </c>
      <c r="L321" s="9">
        <v>341.90627519999998</v>
      </c>
      <c r="M321" s="24">
        <f>+Tabla1[[#This Row],[Costo Venta]]/Tabla1[[#This Row],[Cantidad]]</f>
        <v>3.1614079999999998</v>
      </c>
      <c r="N321" s="3">
        <v>1</v>
      </c>
      <c r="O321" s="8">
        <f>+Tabla1[[#This Row],[Conversión]]*Tabla1[[#This Row],[Cantidad]]</f>
        <v>108.15</v>
      </c>
      <c r="P321" s="43">
        <f>Tabla1[[#This Row],[Neto]]-Tabla1[[#This Row],[Costo Venta]]</f>
        <v>2610.5937248</v>
      </c>
    </row>
    <row r="322" spans="1:16" x14ac:dyDescent="0.25">
      <c r="A322" s="48">
        <v>45226</v>
      </c>
      <c r="B322" s="1" t="s">
        <v>430</v>
      </c>
      <c r="C322" s="1" t="s">
        <v>81</v>
      </c>
      <c r="D322" s="1" t="s">
        <v>443</v>
      </c>
      <c r="E322" s="1" t="s">
        <v>67</v>
      </c>
      <c r="F322" s="1" t="s">
        <v>9</v>
      </c>
      <c r="G322" s="2">
        <v>15.75</v>
      </c>
      <c r="H322" s="51" t="s">
        <v>431</v>
      </c>
      <c r="I322" s="44">
        <f>Tabla1[[#This Row],[Descuento]]+Tabla1[[#This Row],[Neto]]</f>
        <v>668.43050000000005</v>
      </c>
      <c r="J322" s="9">
        <v>233.95050000000001</v>
      </c>
      <c r="K322" s="9">
        <v>434.48</v>
      </c>
      <c r="L322" s="9">
        <v>45.887231249999999</v>
      </c>
      <c r="M322" s="24">
        <f>+Tabla1[[#This Row],[Costo Venta]]/Tabla1[[#This Row],[Cantidad]]</f>
        <v>2.913475</v>
      </c>
      <c r="N322" s="3">
        <v>1</v>
      </c>
      <c r="O322" s="8">
        <f>+Tabla1[[#This Row],[Conversión]]*Tabla1[[#This Row],[Cantidad]]</f>
        <v>15.75</v>
      </c>
      <c r="P322" s="43">
        <f>Tabla1[[#This Row],[Neto]]-Tabla1[[#This Row],[Costo Venta]]</f>
        <v>388.59276875</v>
      </c>
    </row>
    <row r="323" spans="1:16" x14ac:dyDescent="0.25">
      <c r="A323" s="48">
        <v>45267</v>
      </c>
      <c r="B323" s="1" t="s">
        <v>430</v>
      </c>
      <c r="C323" s="1" t="s">
        <v>81</v>
      </c>
      <c r="D323" s="1" t="s">
        <v>270</v>
      </c>
      <c r="E323" s="1" t="s">
        <v>132</v>
      </c>
      <c r="F323" s="1" t="s">
        <v>271</v>
      </c>
      <c r="G323" s="2">
        <v>45</v>
      </c>
      <c r="H323" s="51" t="s">
        <v>431</v>
      </c>
      <c r="I323" s="44">
        <f>Tabla1[[#This Row],[Descuento]]+Tabla1[[#This Row],[Neto]]</f>
        <v>1909.8</v>
      </c>
      <c r="J323" s="9">
        <v>286.47000000000003</v>
      </c>
      <c r="K323" s="9">
        <v>1623.33</v>
      </c>
      <c r="L323" s="9">
        <v>130.095405</v>
      </c>
      <c r="M323" s="24">
        <f>+Tabla1[[#This Row],[Costo Venta]]/Tabla1[[#This Row],[Cantidad]]</f>
        <v>2.8910089999999999</v>
      </c>
      <c r="N323" s="3">
        <v>1</v>
      </c>
      <c r="O323" s="8">
        <f>+Tabla1[[#This Row],[Conversión]]*Tabla1[[#This Row],[Cantidad]]</f>
        <v>45</v>
      </c>
      <c r="P323" s="43">
        <f>Tabla1[[#This Row],[Neto]]-Tabla1[[#This Row],[Costo Venta]]</f>
        <v>1493.2345949999999</v>
      </c>
    </row>
    <row r="324" spans="1:16" x14ac:dyDescent="0.25">
      <c r="A324" s="48">
        <v>45283</v>
      </c>
      <c r="B324" s="1" t="s">
        <v>430</v>
      </c>
      <c r="C324" s="1" t="s">
        <v>29</v>
      </c>
      <c r="D324" s="1" t="s">
        <v>273</v>
      </c>
      <c r="E324" s="1" t="s">
        <v>71</v>
      </c>
      <c r="F324" s="1" t="s">
        <v>274</v>
      </c>
      <c r="G324" s="2">
        <v>152</v>
      </c>
      <c r="H324" s="51" t="s">
        <v>431</v>
      </c>
      <c r="I324" s="44">
        <f>Tabla1[[#This Row],[Descuento]]+Tabla1[[#This Row],[Neto]]</f>
        <v>6450.8779999999997</v>
      </c>
      <c r="J324" s="9">
        <v>645.08799999999997</v>
      </c>
      <c r="K324" s="9">
        <v>5805.79</v>
      </c>
      <c r="L324" s="9">
        <v>438.71121599999998</v>
      </c>
      <c r="M324" s="24">
        <f>+Tabla1[[#This Row],[Costo Venta]]/Tabla1[[#This Row],[Cantidad]]</f>
        <v>2.8862579999999998</v>
      </c>
      <c r="N324" s="3">
        <v>1</v>
      </c>
      <c r="O324" s="8">
        <f>+Tabla1[[#This Row],[Conversión]]*Tabla1[[#This Row],[Cantidad]]</f>
        <v>152</v>
      </c>
      <c r="P324" s="43">
        <f>Tabla1[[#This Row],[Neto]]-Tabla1[[#This Row],[Costo Venta]]</f>
        <v>5367.0787840000003</v>
      </c>
    </row>
    <row r="325" spans="1:16" x14ac:dyDescent="0.25">
      <c r="A325" s="48">
        <v>45404</v>
      </c>
      <c r="B325" s="1" t="s">
        <v>430</v>
      </c>
      <c r="C325" s="1" t="s">
        <v>471</v>
      </c>
      <c r="D325" s="1" t="s">
        <v>472</v>
      </c>
      <c r="E325" s="1" t="s">
        <v>137</v>
      </c>
      <c r="F325" s="1" t="s">
        <v>473</v>
      </c>
      <c r="G325" s="2">
        <v>44</v>
      </c>
      <c r="H325" s="51" t="s">
        <v>431</v>
      </c>
      <c r="I325" s="44">
        <f>Tabla1[[#This Row],[Descuento]]+Tabla1[[#This Row],[Neto]]</f>
        <v>1959.3249040000001</v>
      </c>
      <c r="J325" s="9">
        <v>337.394904</v>
      </c>
      <c r="K325" s="9">
        <v>1621.93</v>
      </c>
      <c r="L325" s="9">
        <v>123.931016</v>
      </c>
      <c r="M325" s="24">
        <f>+Tabla1[[#This Row],[Costo Venta]]/Tabla1[[#This Row],[Cantidad]]</f>
        <v>2.816614</v>
      </c>
      <c r="N325" s="3">
        <v>1</v>
      </c>
      <c r="O325" s="8">
        <f>+Tabla1[[#This Row],[Conversión]]*Tabla1[[#This Row],[Cantidad]]</f>
        <v>44</v>
      </c>
      <c r="P325" s="43">
        <f>Tabla1[[#This Row],[Neto]]-Tabla1[[#This Row],[Costo Venta]]</f>
        <v>1497.9989840000001</v>
      </c>
    </row>
    <row r="326" spans="1:16" x14ac:dyDescent="0.25">
      <c r="A326" s="48">
        <v>45736</v>
      </c>
      <c r="B326" s="1" t="s">
        <v>430</v>
      </c>
      <c r="C326" s="1" t="s">
        <v>65</v>
      </c>
      <c r="D326" s="1" t="s">
        <v>474</v>
      </c>
      <c r="E326" s="1" t="s">
        <v>67</v>
      </c>
      <c r="F326" s="1" t="s">
        <v>9</v>
      </c>
      <c r="G326" s="2">
        <v>5.25</v>
      </c>
      <c r="H326" s="51" t="s">
        <v>431</v>
      </c>
      <c r="I326" s="44">
        <f>Tabla1[[#This Row],[Descuento]]+Tabla1[[#This Row],[Neto]]</f>
        <v>204.124</v>
      </c>
      <c r="J326" s="9">
        <v>91.853999999999999</v>
      </c>
      <c r="K326" s="9">
        <v>112.27</v>
      </c>
      <c r="L326" s="9">
        <v>15.259739250000001</v>
      </c>
      <c r="M326" s="24">
        <f>+Tabla1[[#This Row],[Costo Venta]]/Tabla1[[#This Row],[Cantidad]]</f>
        <v>2.9066170000000002</v>
      </c>
      <c r="N326" s="3">
        <v>1</v>
      </c>
      <c r="O326" s="8">
        <f>+Tabla1[[#This Row],[Conversión]]*Tabla1[[#This Row],[Cantidad]]</f>
        <v>5.25</v>
      </c>
      <c r="P326" s="43">
        <f>Tabla1[[#This Row],[Neto]]-Tabla1[[#This Row],[Costo Venta]]</f>
        <v>97.01026075</v>
      </c>
    </row>
    <row r="327" spans="1:16" x14ac:dyDescent="0.25">
      <c r="A327" s="48">
        <v>45793</v>
      </c>
      <c r="B327" s="1" t="s">
        <v>430</v>
      </c>
      <c r="C327" s="1" t="s">
        <v>65</v>
      </c>
      <c r="D327" s="1" t="s">
        <v>475</v>
      </c>
      <c r="E327" s="1" t="s">
        <v>67</v>
      </c>
      <c r="F327" s="1" t="s">
        <v>44</v>
      </c>
      <c r="G327" s="2">
        <v>25</v>
      </c>
      <c r="H327" s="51" t="s">
        <v>431</v>
      </c>
      <c r="I327" s="44">
        <f>Tabla1[[#This Row],[Descuento]]+Tabla1[[#This Row],[Neto]]</f>
        <v>972</v>
      </c>
      <c r="J327" s="9">
        <v>340.2</v>
      </c>
      <c r="K327" s="9">
        <v>631.79999999999995</v>
      </c>
      <c r="L327" s="9">
        <v>77.826350000000005</v>
      </c>
      <c r="M327" s="24">
        <f>+Tabla1[[#This Row],[Costo Venta]]/Tabla1[[#This Row],[Cantidad]]</f>
        <v>3.113054</v>
      </c>
      <c r="N327" s="3">
        <v>1</v>
      </c>
      <c r="O327" s="8">
        <f>+Tabla1[[#This Row],[Conversión]]*Tabla1[[#This Row],[Cantidad]]</f>
        <v>25</v>
      </c>
      <c r="P327" s="43">
        <f>Tabla1[[#This Row],[Neto]]-Tabla1[[#This Row],[Costo Venta]]</f>
        <v>553.97364999999991</v>
      </c>
    </row>
    <row r="328" spans="1:16" x14ac:dyDescent="0.25">
      <c r="A328" s="48">
        <v>45803</v>
      </c>
      <c r="B328" s="1" t="s">
        <v>430</v>
      </c>
      <c r="C328" s="1" t="s">
        <v>65</v>
      </c>
      <c r="D328" s="1" t="s">
        <v>476</v>
      </c>
      <c r="E328" s="1" t="s">
        <v>67</v>
      </c>
      <c r="F328" s="1" t="s">
        <v>20</v>
      </c>
      <c r="G328" s="2">
        <v>12</v>
      </c>
      <c r="H328" s="51" t="s">
        <v>431</v>
      </c>
      <c r="I328" s="44">
        <f>Tabla1[[#This Row],[Descuento]]+Tabla1[[#This Row],[Neto]]</f>
        <v>466.55799999999999</v>
      </c>
      <c r="J328" s="9">
        <v>139.96799999999999</v>
      </c>
      <c r="K328" s="9">
        <v>326.58999999999997</v>
      </c>
      <c r="L328" s="9">
        <v>38.366508000000003</v>
      </c>
      <c r="M328" s="24">
        <f>+Tabla1[[#This Row],[Costo Venta]]/Tabla1[[#This Row],[Cantidad]]</f>
        <v>3.1972090000000004</v>
      </c>
      <c r="N328" s="3">
        <v>1</v>
      </c>
      <c r="O328" s="8">
        <f>+Tabla1[[#This Row],[Conversión]]*Tabla1[[#This Row],[Cantidad]]</f>
        <v>12</v>
      </c>
      <c r="P328" s="43">
        <f>Tabla1[[#This Row],[Neto]]-Tabla1[[#This Row],[Costo Venta]]</f>
        <v>288.22349199999996</v>
      </c>
    </row>
    <row r="329" spans="1:16" x14ac:dyDescent="0.25">
      <c r="A329" s="48">
        <v>45869</v>
      </c>
      <c r="B329" s="1" t="s">
        <v>430</v>
      </c>
      <c r="C329" s="1" t="s">
        <v>65</v>
      </c>
      <c r="D329" s="1" t="s">
        <v>477</v>
      </c>
      <c r="E329" s="1" t="s">
        <v>67</v>
      </c>
      <c r="F329" s="1" t="s">
        <v>9</v>
      </c>
      <c r="G329" s="2">
        <v>16.64</v>
      </c>
      <c r="H329" s="51" t="s">
        <v>431</v>
      </c>
      <c r="I329" s="44">
        <f>Tabla1[[#This Row],[Descuento]]+Tabla1[[#This Row],[Neto]]</f>
        <v>646.96343999999999</v>
      </c>
      <c r="J329" s="9">
        <v>291.13344000000001</v>
      </c>
      <c r="K329" s="9">
        <v>355.83</v>
      </c>
      <c r="L329" s="9">
        <v>53.20155776</v>
      </c>
      <c r="M329" s="24">
        <f>+Tabla1[[#This Row],[Costo Venta]]/Tabla1[[#This Row],[Cantidad]]</f>
        <v>3.197209</v>
      </c>
      <c r="N329" s="3">
        <v>1</v>
      </c>
      <c r="O329" s="8">
        <f>+Tabla1[[#This Row],[Conversión]]*Tabla1[[#This Row],[Cantidad]]</f>
        <v>16.64</v>
      </c>
      <c r="P329" s="43">
        <f>Tabla1[[#This Row],[Neto]]-Tabla1[[#This Row],[Costo Venta]]</f>
        <v>302.62844223999997</v>
      </c>
    </row>
    <row r="330" spans="1:16" x14ac:dyDescent="0.25">
      <c r="A330" s="48">
        <v>45903</v>
      </c>
      <c r="B330" s="1" t="s">
        <v>430</v>
      </c>
      <c r="C330" s="1" t="s">
        <v>65</v>
      </c>
      <c r="D330" s="1" t="s">
        <v>478</v>
      </c>
      <c r="E330" s="1" t="s">
        <v>67</v>
      </c>
      <c r="F330" s="1" t="s">
        <v>20</v>
      </c>
      <c r="G330" s="2">
        <v>41</v>
      </c>
      <c r="H330" s="51" t="s">
        <v>431</v>
      </c>
      <c r="I330" s="44">
        <f>Tabla1[[#This Row],[Descuento]]+Tabla1[[#This Row],[Neto]]</f>
        <v>1594.0839999999998</v>
      </c>
      <c r="J330" s="9">
        <v>478.22399999999999</v>
      </c>
      <c r="K330" s="9">
        <v>1115.8599999999999</v>
      </c>
      <c r="L330" s="9">
        <v>124.76013</v>
      </c>
      <c r="M330" s="24">
        <f>+Tabla1[[#This Row],[Costo Venta]]/Tabla1[[#This Row],[Cantidad]]</f>
        <v>3.0429300000000001</v>
      </c>
      <c r="N330" s="3">
        <v>1</v>
      </c>
      <c r="O330" s="8">
        <f>+Tabla1[[#This Row],[Conversión]]*Tabla1[[#This Row],[Cantidad]]</f>
        <v>41</v>
      </c>
      <c r="P330" s="43">
        <f>Tabla1[[#This Row],[Neto]]-Tabla1[[#This Row],[Costo Venta]]</f>
        <v>991.0998699999999</v>
      </c>
    </row>
    <row r="331" spans="1:16" x14ac:dyDescent="0.25">
      <c r="A331" s="48">
        <v>45910</v>
      </c>
      <c r="B331" s="1" t="s">
        <v>430</v>
      </c>
      <c r="C331" s="1" t="s">
        <v>65</v>
      </c>
      <c r="D331" s="1" t="s">
        <v>479</v>
      </c>
      <c r="E331" s="1" t="s">
        <v>67</v>
      </c>
      <c r="F331" s="1" t="s">
        <v>44</v>
      </c>
      <c r="G331" s="2">
        <v>22</v>
      </c>
      <c r="H331" s="51" t="s">
        <v>431</v>
      </c>
      <c r="I331" s="44">
        <f>Tabla1[[#This Row],[Descuento]]+Tabla1[[#This Row],[Neto]]</f>
        <v>855.35599999999999</v>
      </c>
      <c r="J331" s="9">
        <v>299.37599999999998</v>
      </c>
      <c r="K331" s="9">
        <v>555.98</v>
      </c>
      <c r="L331" s="9">
        <v>63.565942</v>
      </c>
      <c r="M331" s="24">
        <f>+Tabla1[[#This Row],[Costo Venta]]/Tabla1[[#This Row],[Cantidad]]</f>
        <v>2.8893610000000001</v>
      </c>
      <c r="N331" s="3">
        <v>1</v>
      </c>
      <c r="O331" s="8">
        <f>+Tabla1[[#This Row],[Conversión]]*Tabla1[[#This Row],[Cantidad]]</f>
        <v>22</v>
      </c>
      <c r="P331" s="43">
        <f>Tabla1[[#This Row],[Neto]]-Tabla1[[#This Row],[Costo Venta]]</f>
        <v>492.41405800000001</v>
      </c>
    </row>
    <row r="332" spans="1:16" x14ac:dyDescent="0.25">
      <c r="A332" s="48">
        <v>45912</v>
      </c>
      <c r="B332" s="1" t="s">
        <v>430</v>
      </c>
      <c r="C332" s="1" t="s">
        <v>65</v>
      </c>
      <c r="D332" s="1" t="s">
        <v>480</v>
      </c>
      <c r="E332" s="1" t="s">
        <v>67</v>
      </c>
      <c r="F332" s="1" t="s">
        <v>20</v>
      </c>
      <c r="G332" s="2">
        <v>9</v>
      </c>
      <c r="H332" s="51" t="s">
        <v>431</v>
      </c>
      <c r="I332" s="44">
        <f>Tabla1[[#This Row],[Descuento]]+Tabla1[[#This Row],[Neto]]</f>
        <v>349.916</v>
      </c>
      <c r="J332" s="9">
        <v>104.976</v>
      </c>
      <c r="K332" s="9">
        <v>244.94</v>
      </c>
      <c r="L332" s="9">
        <v>26.004249000000002</v>
      </c>
      <c r="M332" s="24">
        <f>+Tabla1[[#This Row],[Costo Venta]]/Tabla1[[#This Row],[Cantidad]]</f>
        <v>2.8893610000000001</v>
      </c>
      <c r="N332" s="3">
        <v>1</v>
      </c>
      <c r="O332" s="8">
        <f>+Tabla1[[#This Row],[Conversión]]*Tabla1[[#This Row],[Cantidad]]</f>
        <v>9</v>
      </c>
      <c r="P332" s="43">
        <f>Tabla1[[#This Row],[Neto]]-Tabla1[[#This Row],[Costo Venta]]</f>
        <v>218.93575099999998</v>
      </c>
    </row>
    <row r="333" spans="1:16" x14ac:dyDescent="0.25">
      <c r="A333" s="48">
        <v>45492</v>
      </c>
      <c r="B333" s="1" t="s">
        <v>481</v>
      </c>
      <c r="C333" s="1" t="s">
        <v>65</v>
      </c>
      <c r="D333" s="1" t="s">
        <v>482</v>
      </c>
      <c r="E333" s="1" t="s">
        <v>71</v>
      </c>
      <c r="F333" s="1" t="s">
        <v>483</v>
      </c>
      <c r="G333" s="2">
        <v>28.3</v>
      </c>
      <c r="H333" s="1" t="s">
        <v>484</v>
      </c>
      <c r="I333" s="44">
        <f>Tabla1[[#This Row],[Descuento]]+Tabla1[[#This Row],[Neto]]</f>
        <v>116.03</v>
      </c>
      <c r="J333" s="9">
        <v>0</v>
      </c>
      <c r="K333" s="9">
        <v>116.03</v>
      </c>
      <c r="L333" s="9">
        <v>0</v>
      </c>
      <c r="M333" s="24">
        <f>+Tabla1[[#This Row],[Costo Venta]]/Tabla1[[#This Row],[Cantidad]]</f>
        <v>0</v>
      </c>
      <c r="N333" s="3">
        <v>1</v>
      </c>
      <c r="O333" s="8">
        <f>+Tabla1[[#This Row],[Conversión]]*Tabla1[[#This Row],[Cantidad]]</f>
        <v>28.3</v>
      </c>
      <c r="P333" s="43">
        <f>Tabla1[[#This Row],[Neto]]-Tabla1[[#This Row],[Costo Venta]]</f>
        <v>116.03</v>
      </c>
    </row>
    <row r="334" spans="1:16" x14ac:dyDescent="0.25">
      <c r="A334" s="48">
        <v>45107</v>
      </c>
      <c r="B334" s="1" t="s">
        <v>481</v>
      </c>
      <c r="C334" s="1" t="s">
        <v>109</v>
      </c>
      <c r="D334" s="1" t="s">
        <v>485</v>
      </c>
      <c r="E334" s="1" t="s">
        <v>71</v>
      </c>
      <c r="F334" s="1" t="s">
        <v>486</v>
      </c>
      <c r="G334" s="2">
        <v>187.57</v>
      </c>
      <c r="H334" s="1" t="s">
        <v>487</v>
      </c>
      <c r="I334" s="44">
        <f>Tabla1[[#This Row],[Descuento]]+Tabla1[[#This Row],[Neto]]</f>
        <v>710.05649919999996</v>
      </c>
      <c r="J334" s="9">
        <v>71.006499199999993</v>
      </c>
      <c r="K334" s="9">
        <v>639.04999999999995</v>
      </c>
      <c r="L334" s="9">
        <v>525.19600000000003</v>
      </c>
      <c r="M334" s="24">
        <f>+Tabla1[[#This Row],[Costo Venta]]/Tabla1[[#This Row],[Cantidad]]</f>
        <v>2.8000000000000003</v>
      </c>
      <c r="N334" s="3">
        <v>1</v>
      </c>
      <c r="O334" s="8">
        <f>+Tabla1[[#This Row],[Conversión]]*Tabla1[[#This Row],[Cantidad]]</f>
        <v>187.57</v>
      </c>
      <c r="P334" s="43">
        <f>Tabla1[[#This Row],[Neto]]-Tabla1[[#This Row],[Costo Venta]]</f>
        <v>113.85399999999993</v>
      </c>
    </row>
    <row r="335" spans="1:16" x14ac:dyDescent="0.25">
      <c r="A335" s="48">
        <v>45107</v>
      </c>
      <c r="B335" s="1" t="s">
        <v>481</v>
      </c>
      <c r="C335" s="1" t="s">
        <v>109</v>
      </c>
      <c r="D335" s="1" t="s">
        <v>488</v>
      </c>
      <c r="E335" s="1" t="s">
        <v>71</v>
      </c>
      <c r="F335" s="1" t="s">
        <v>489</v>
      </c>
      <c r="G335" s="2">
        <v>59.75</v>
      </c>
      <c r="H335" s="1" t="s">
        <v>490</v>
      </c>
      <c r="I335" s="44">
        <f>Tabla1[[#This Row],[Descuento]]+Tabla1[[#This Row],[Neto]]</f>
        <v>225.85871499999999</v>
      </c>
      <c r="J335" s="9">
        <v>30.038715</v>
      </c>
      <c r="K335" s="9">
        <v>195.82</v>
      </c>
      <c r="L335" s="9">
        <v>167.3</v>
      </c>
      <c r="M335" s="24">
        <f>+Tabla1[[#This Row],[Costo Venta]]/Tabla1[[#This Row],[Cantidad]]</f>
        <v>2.8000000000000003</v>
      </c>
      <c r="N335" s="3">
        <v>1</v>
      </c>
      <c r="O335" s="8">
        <f>+Tabla1[[#This Row],[Conversión]]*Tabla1[[#This Row],[Cantidad]]</f>
        <v>59.75</v>
      </c>
      <c r="P335" s="43">
        <f>Tabla1[[#This Row],[Neto]]-Tabla1[[#This Row],[Costo Venta]]</f>
        <v>28.519999999999982</v>
      </c>
    </row>
    <row r="336" spans="1:16" x14ac:dyDescent="0.25">
      <c r="A336" s="48">
        <v>45006</v>
      </c>
      <c r="B336" s="1" t="s">
        <v>481</v>
      </c>
      <c r="C336" s="1" t="s">
        <v>109</v>
      </c>
      <c r="D336" s="1" t="s">
        <v>491</v>
      </c>
      <c r="E336" s="1" t="s">
        <v>132</v>
      </c>
      <c r="F336" s="1" t="s">
        <v>185</v>
      </c>
      <c r="G336" s="2">
        <v>17.98</v>
      </c>
      <c r="H336" s="1" t="s">
        <v>492</v>
      </c>
      <c r="I336" s="44">
        <f>Tabla1[[#This Row],[Descuento]]+Tabla1[[#This Row],[Neto]]</f>
        <v>77.494070000000008</v>
      </c>
      <c r="J336" s="9">
        <v>11.62407</v>
      </c>
      <c r="K336" s="9">
        <v>65.87</v>
      </c>
      <c r="L336" s="9">
        <v>50.344000000000001</v>
      </c>
      <c r="M336" s="24">
        <f>+Tabla1[[#This Row],[Costo Venta]]/Tabla1[[#This Row],[Cantidad]]</f>
        <v>2.8</v>
      </c>
      <c r="N336" s="3">
        <v>1</v>
      </c>
      <c r="O336" s="8">
        <f>+Tabla1[[#This Row],[Conversión]]*Tabla1[[#This Row],[Cantidad]]</f>
        <v>17.98</v>
      </c>
      <c r="P336" s="43">
        <f>Tabla1[[#This Row],[Neto]]-Tabla1[[#This Row],[Costo Venta]]</f>
        <v>15.526000000000003</v>
      </c>
    </row>
    <row r="337" spans="1:16" x14ac:dyDescent="0.25">
      <c r="A337" s="48">
        <v>45071</v>
      </c>
      <c r="B337" s="1" t="s">
        <v>481</v>
      </c>
      <c r="C337" s="1" t="s">
        <v>109</v>
      </c>
      <c r="D337" s="1" t="s">
        <v>493</v>
      </c>
      <c r="E337" s="1" t="s">
        <v>132</v>
      </c>
      <c r="F337" s="1" t="s">
        <v>185</v>
      </c>
      <c r="G337" s="2">
        <v>900.94</v>
      </c>
      <c r="H337" s="1" t="s">
        <v>492</v>
      </c>
      <c r="I337" s="44">
        <f>Tabla1[[#This Row],[Descuento]]+Tabla1[[#This Row],[Neto]]</f>
        <v>3883.0477100000003</v>
      </c>
      <c r="J337" s="9">
        <v>582.45771000000002</v>
      </c>
      <c r="K337" s="9">
        <v>3300.59</v>
      </c>
      <c r="L337" s="9">
        <v>2522.6320000000001</v>
      </c>
      <c r="M337" s="24">
        <f>+Tabla1[[#This Row],[Costo Venta]]/Tabla1[[#This Row],[Cantidad]]</f>
        <v>2.8</v>
      </c>
      <c r="N337" s="3">
        <v>1</v>
      </c>
      <c r="O337" s="8">
        <f>+Tabla1[[#This Row],[Conversión]]*Tabla1[[#This Row],[Cantidad]]</f>
        <v>900.94</v>
      </c>
      <c r="P337" s="43">
        <f>Tabla1[[#This Row],[Neto]]-Tabla1[[#This Row],[Costo Venta]]</f>
        <v>777.95800000000008</v>
      </c>
    </row>
    <row r="338" spans="1:16" x14ac:dyDescent="0.25">
      <c r="A338" s="48">
        <v>44950</v>
      </c>
      <c r="B338" s="1" t="s">
        <v>481</v>
      </c>
      <c r="C338" s="1" t="s">
        <v>109</v>
      </c>
      <c r="D338" s="1" t="s">
        <v>494</v>
      </c>
      <c r="E338" s="1" t="s">
        <v>71</v>
      </c>
      <c r="F338" s="1" t="s">
        <v>128</v>
      </c>
      <c r="G338" s="2">
        <v>28.88</v>
      </c>
      <c r="H338" s="1" t="s">
        <v>495</v>
      </c>
      <c r="I338" s="44">
        <f>Tabla1[[#This Row],[Descuento]]+Tabla1[[#This Row],[Neto]]</f>
        <v>100.5</v>
      </c>
      <c r="J338" s="9">
        <v>0</v>
      </c>
      <c r="K338" s="9">
        <v>100.5</v>
      </c>
      <c r="L338" s="9">
        <v>91.260800000000003</v>
      </c>
      <c r="M338" s="24">
        <f>+Tabla1[[#This Row],[Costo Venta]]/Tabla1[[#This Row],[Cantidad]]</f>
        <v>3.16</v>
      </c>
      <c r="N338" s="3">
        <v>1</v>
      </c>
      <c r="O338" s="8">
        <f>+Tabla1[[#This Row],[Conversión]]*Tabla1[[#This Row],[Cantidad]]</f>
        <v>28.88</v>
      </c>
      <c r="P338" s="43">
        <f>Tabla1[[#This Row],[Neto]]-Tabla1[[#This Row],[Costo Venta]]</f>
        <v>9.2391999999999967</v>
      </c>
    </row>
    <row r="339" spans="1:16" x14ac:dyDescent="0.25">
      <c r="A339" s="48">
        <v>45382</v>
      </c>
      <c r="B339" s="1" t="s">
        <v>496</v>
      </c>
      <c r="C339" s="1" t="s">
        <v>65</v>
      </c>
      <c r="D339" s="1" t="s">
        <v>306</v>
      </c>
      <c r="E339" s="1" t="s">
        <v>71</v>
      </c>
      <c r="F339" s="1" t="s">
        <v>307</v>
      </c>
      <c r="G339" s="2">
        <v>44.1</v>
      </c>
      <c r="H339" s="1" t="s">
        <v>497</v>
      </c>
      <c r="I339" s="44">
        <f>Tabla1[[#This Row],[Descuento]]+Tabla1[[#This Row],[Neto]]</f>
        <v>2182.067</v>
      </c>
      <c r="J339" s="9">
        <v>545.51700000000005</v>
      </c>
      <c r="K339" s="9">
        <v>1636.55</v>
      </c>
      <c r="L339" s="9">
        <v>487.14099210000001</v>
      </c>
      <c r="M339" s="24">
        <f>+Tabla1[[#This Row],[Costo Venta]]/Tabla1[[#This Row],[Cantidad]]</f>
        <v>11.046281</v>
      </c>
      <c r="N339" s="3">
        <v>1</v>
      </c>
      <c r="O339" s="8">
        <f>+Tabla1[[#This Row],[Conversión]]*Tabla1[[#This Row],[Cantidad]]</f>
        <v>44.1</v>
      </c>
      <c r="P339" s="43">
        <f>Tabla1[[#This Row],[Neto]]-Tabla1[[#This Row],[Costo Venta]]</f>
        <v>1149.4090079</v>
      </c>
    </row>
    <row r="340" spans="1:16" x14ac:dyDescent="0.25">
      <c r="A340" s="48">
        <v>45526</v>
      </c>
      <c r="B340" s="1" t="s">
        <v>496</v>
      </c>
      <c r="C340" s="1" t="s">
        <v>65</v>
      </c>
      <c r="D340" s="1" t="s">
        <v>324</v>
      </c>
      <c r="E340" s="1" t="s">
        <v>67</v>
      </c>
      <c r="F340" s="1" t="s">
        <v>173</v>
      </c>
      <c r="G340" s="2">
        <v>8</v>
      </c>
      <c r="H340" s="1" t="s">
        <v>498</v>
      </c>
      <c r="I340" s="44">
        <f>Tabla1[[#This Row],[Descuento]]+Tabla1[[#This Row],[Neto]]</f>
        <v>311.04199999999997</v>
      </c>
      <c r="J340" s="9">
        <v>93.311999999999998</v>
      </c>
      <c r="K340" s="9">
        <v>217.73</v>
      </c>
      <c r="L340" s="9">
        <v>112</v>
      </c>
      <c r="M340" s="24">
        <f>+Tabla1[[#This Row],[Costo Venta]]/Tabla1[[#This Row],[Cantidad]]</f>
        <v>14</v>
      </c>
      <c r="N340" s="3">
        <v>1</v>
      </c>
      <c r="O340" s="8">
        <f>+Tabla1[[#This Row],[Conversión]]*Tabla1[[#This Row],[Cantidad]]</f>
        <v>8</v>
      </c>
      <c r="P340" s="43">
        <f>Tabla1[[#This Row],[Neto]]-Tabla1[[#This Row],[Costo Venta]]</f>
        <v>105.72999999999999</v>
      </c>
    </row>
    <row r="341" spans="1:16" x14ac:dyDescent="0.25">
      <c r="A341" s="48">
        <v>45058</v>
      </c>
      <c r="B341" s="1" t="s">
        <v>1</v>
      </c>
      <c r="C341" s="1" t="s">
        <v>81</v>
      </c>
      <c r="D341" s="1" t="s">
        <v>499</v>
      </c>
      <c r="E341" s="1" t="s">
        <v>137</v>
      </c>
      <c r="F341" s="1" t="s">
        <v>19</v>
      </c>
      <c r="G341" s="2">
        <v>109</v>
      </c>
      <c r="H341" s="1" t="s">
        <v>500</v>
      </c>
      <c r="I341" s="44">
        <f>Tabla1[[#This Row],[Descuento]]+Tabla1[[#This Row],[Neto]]</f>
        <v>2071</v>
      </c>
      <c r="J341" s="9">
        <v>0</v>
      </c>
      <c r="K341" s="9">
        <v>2071</v>
      </c>
      <c r="L341" s="9">
        <v>145.931816</v>
      </c>
      <c r="M341" s="24">
        <f>+Tabla1[[#This Row],[Costo Venta]]/Tabla1[[#This Row],[Cantidad]]</f>
        <v>1.338824</v>
      </c>
      <c r="N341" s="3">
        <v>0.17499999999999999</v>
      </c>
      <c r="O341" s="8">
        <f>+Tabla1[[#This Row],[Conversión]]*Tabla1[[#This Row],[Cantidad]]</f>
        <v>19.074999999999999</v>
      </c>
      <c r="P341" s="43">
        <f>Tabla1[[#This Row],[Neto]]-Tabla1[[#This Row],[Costo Venta]]</f>
        <v>1925.068184</v>
      </c>
    </row>
    <row r="342" spans="1:16" x14ac:dyDescent="0.25">
      <c r="A342" s="48">
        <v>45096</v>
      </c>
      <c r="B342" s="1" t="s">
        <v>1</v>
      </c>
      <c r="C342" s="1" t="s">
        <v>81</v>
      </c>
      <c r="D342" s="1" t="s">
        <v>501</v>
      </c>
      <c r="E342" s="1" t="s">
        <v>67</v>
      </c>
      <c r="F342" s="1" t="s">
        <v>26</v>
      </c>
      <c r="G342" s="2">
        <v>80</v>
      </c>
      <c r="H342" s="1" t="s">
        <v>500</v>
      </c>
      <c r="I342" s="44">
        <f>Tabla1[[#This Row],[Descuento]]+Tabla1[[#This Row],[Neto]]</f>
        <v>1520</v>
      </c>
      <c r="J342" s="9">
        <v>456</v>
      </c>
      <c r="K342" s="9">
        <v>1064</v>
      </c>
      <c r="L342" s="9">
        <v>107.2</v>
      </c>
      <c r="M342" s="24">
        <f>+Tabla1[[#This Row],[Costo Venta]]/Tabla1[[#This Row],[Cantidad]]</f>
        <v>1.34</v>
      </c>
      <c r="N342" s="3">
        <v>0.17499999999999999</v>
      </c>
      <c r="O342" s="8">
        <f>+Tabla1[[#This Row],[Conversión]]*Tabla1[[#This Row],[Cantidad]]</f>
        <v>14</v>
      </c>
      <c r="P342" s="43">
        <f>Tabla1[[#This Row],[Neto]]-Tabla1[[#This Row],[Costo Venta]]</f>
        <v>956.8</v>
      </c>
    </row>
    <row r="343" spans="1:16" x14ac:dyDescent="0.25">
      <c r="A343" s="48">
        <v>45222</v>
      </c>
      <c r="B343" s="1" t="s">
        <v>1</v>
      </c>
      <c r="C343" s="1" t="s">
        <v>81</v>
      </c>
      <c r="D343" s="1" t="s">
        <v>502</v>
      </c>
      <c r="E343" s="1" t="s">
        <v>67</v>
      </c>
      <c r="F343" s="1" t="s">
        <v>26</v>
      </c>
      <c r="G343" s="2">
        <v>28</v>
      </c>
      <c r="H343" s="1" t="s">
        <v>500</v>
      </c>
      <c r="I343" s="44">
        <f>Tabla1[[#This Row],[Descuento]]+Tabla1[[#This Row],[Neto]]</f>
        <v>532</v>
      </c>
      <c r="J343" s="9">
        <v>159.6</v>
      </c>
      <c r="K343" s="9">
        <v>372.4</v>
      </c>
      <c r="L343" s="9">
        <v>38.686675999999999</v>
      </c>
      <c r="M343" s="24">
        <f>+Tabla1[[#This Row],[Costo Venta]]/Tabla1[[#This Row],[Cantidad]]</f>
        <v>1.381667</v>
      </c>
      <c r="N343" s="3">
        <v>0.17499999999999999</v>
      </c>
      <c r="O343" s="8">
        <f>+Tabla1[[#This Row],[Conversión]]*Tabla1[[#This Row],[Cantidad]]</f>
        <v>4.8999999999999995</v>
      </c>
      <c r="P343" s="43">
        <f>Tabla1[[#This Row],[Neto]]-Tabla1[[#This Row],[Costo Venta]]</f>
        <v>333.713324</v>
      </c>
    </row>
    <row r="344" spans="1:16" x14ac:dyDescent="0.25">
      <c r="A344" s="48">
        <v>45575</v>
      </c>
      <c r="B344" s="1" t="s">
        <v>1</v>
      </c>
      <c r="C344" s="1" t="s">
        <v>143</v>
      </c>
      <c r="D344" s="1" t="s">
        <v>337</v>
      </c>
      <c r="E344" s="1" t="s">
        <v>137</v>
      </c>
      <c r="F344" s="1" t="s">
        <v>38</v>
      </c>
      <c r="G344" s="2">
        <v>1</v>
      </c>
      <c r="H344" s="1" t="s">
        <v>500</v>
      </c>
      <c r="I344" s="44">
        <f>Tabla1[[#This Row],[Descuento]]+Tabla1[[#This Row],[Neto]]</f>
        <v>19.88</v>
      </c>
      <c r="J344" s="9">
        <v>19.88</v>
      </c>
      <c r="K344" s="9">
        <v>0</v>
      </c>
      <c r="L344" s="9">
        <v>1.926593</v>
      </c>
      <c r="M344" s="24">
        <f>+Tabla1[[#This Row],[Costo Venta]]/Tabla1[[#This Row],[Cantidad]]</f>
        <v>1.926593</v>
      </c>
      <c r="N344" s="3">
        <v>0.17499999999999999</v>
      </c>
      <c r="O344" s="8">
        <f>+Tabla1[[#This Row],[Conversión]]*Tabla1[[#This Row],[Cantidad]]</f>
        <v>0.17499999999999999</v>
      </c>
      <c r="P344" s="43">
        <f>Tabla1[[#This Row],[Neto]]-Tabla1[[#This Row],[Costo Venta]]</f>
        <v>-1.926593</v>
      </c>
    </row>
    <row r="345" spans="1:16" x14ac:dyDescent="0.25">
      <c r="A345" s="48">
        <v>44935</v>
      </c>
      <c r="B345" s="1" t="s">
        <v>1</v>
      </c>
      <c r="C345" s="1" t="s">
        <v>65</v>
      </c>
      <c r="D345" s="1" t="s">
        <v>114</v>
      </c>
      <c r="E345" s="1" t="s">
        <v>67</v>
      </c>
      <c r="F345" s="1" t="s">
        <v>15</v>
      </c>
      <c r="G345" s="2">
        <v>203</v>
      </c>
      <c r="H345" s="51" t="s">
        <v>503</v>
      </c>
      <c r="I345" s="44">
        <f>Tabla1[[#This Row],[Descuento]]+Tabla1[[#This Row],[Neto]]</f>
        <v>3857</v>
      </c>
      <c r="J345" s="9">
        <v>771.4</v>
      </c>
      <c r="K345" s="9">
        <v>3085.6</v>
      </c>
      <c r="L345" s="9">
        <v>747.04</v>
      </c>
      <c r="M345" s="24">
        <f>+Tabla1[[#This Row],[Costo Venta]]/Tabla1[[#This Row],[Cantidad]]</f>
        <v>3.6799999999999997</v>
      </c>
      <c r="N345" s="3">
        <v>0.17499999999999999</v>
      </c>
      <c r="O345" s="8">
        <f>+Tabla1[[#This Row],[Conversión]]*Tabla1[[#This Row],[Cantidad]]</f>
        <v>35.524999999999999</v>
      </c>
      <c r="P345" s="43">
        <f>Tabla1[[#This Row],[Neto]]-Tabla1[[#This Row],[Costo Venta]]</f>
        <v>2338.56</v>
      </c>
    </row>
    <row r="346" spans="1:16" x14ac:dyDescent="0.25">
      <c r="A346" s="48">
        <v>44942</v>
      </c>
      <c r="B346" s="1" t="s">
        <v>1</v>
      </c>
      <c r="C346" s="1" t="s">
        <v>109</v>
      </c>
      <c r="D346" s="1" t="s">
        <v>420</v>
      </c>
      <c r="E346" s="1" t="s">
        <v>67</v>
      </c>
      <c r="F346" s="1" t="s">
        <v>9</v>
      </c>
      <c r="G346" s="2">
        <v>44</v>
      </c>
      <c r="H346" s="51" t="s">
        <v>503</v>
      </c>
      <c r="I346" s="44">
        <f>Tabla1[[#This Row],[Descuento]]+Tabla1[[#This Row],[Neto]]</f>
        <v>836</v>
      </c>
      <c r="J346" s="9">
        <v>292.60000000000002</v>
      </c>
      <c r="K346" s="9">
        <v>543.4</v>
      </c>
      <c r="L346" s="9">
        <v>163.68299200000001</v>
      </c>
      <c r="M346" s="24">
        <f>+Tabla1[[#This Row],[Costo Venta]]/Tabla1[[#This Row],[Cantidad]]</f>
        <v>3.7200680000000004</v>
      </c>
      <c r="N346" s="3">
        <v>0.17499999999999999</v>
      </c>
      <c r="O346" s="8">
        <f>+Tabla1[[#This Row],[Conversión]]*Tabla1[[#This Row],[Cantidad]]</f>
        <v>7.6999999999999993</v>
      </c>
      <c r="P346" s="43">
        <f>Tabla1[[#This Row],[Neto]]-Tabla1[[#This Row],[Costo Venta]]</f>
        <v>379.71700799999996</v>
      </c>
    </row>
    <row r="347" spans="1:16" x14ac:dyDescent="0.25">
      <c r="A347" s="48">
        <v>44949</v>
      </c>
      <c r="B347" s="1" t="s">
        <v>1</v>
      </c>
      <c r="C347" s="1" t="s">
        <v>115</v>
      </c>
      <c r="D347" s="1" t="s">
        <v>124</v>
      </c>
      <c r="E347" s="1" t="s">
        <v>71</v>
      </c>
      <c r="F347" s="1" t="s">
        <v>25</v>
      </c>
      <c r="G347" s="2">
        <v>36</v>
      </c>
      <c r="H347" s="51" t="s">
        <v>503</v>
      </c>
      <c r="I347" s="44">
        <f>Tabla1[[#This Row],[Descuento]]+Tabla1[[#This Row],[Neto]]</f>
        <v>684</v>
      </c>
      <c r="J347" s="9">
        <v>34.200000000000003</v>
      </c>
      <c r="K347" s="9">
        <v>649.79999999999995</v>
      </c>
      <c r="L347" s="9">
        <v>131.53536</v>
      </c>
      <c r="M347" s="24">
        <f>+Tabla1[[#This Row],[Costo Venta]]/Tabla1[[#This Row],[Cantidad]]</f>
        <v>3.6537600000000001</v>
      </c>
      <c r="N347" s="3">
        <v>0.17499999999999999</v>
      </c>
      <c r="O347" s="8">
        <f>+Tabla1[[#This Row],[Conversión]]*Tabla1[[#This Row],[Cantidad]]</f>
        <v>6.3</v>
      </c>
      <c r="P347" s="43">
        <f>Tabla1[[#This Row],[Neto]]-Tabla1[[#This Row],[Costo Venta]]</f>
        <v>518.26463999999999</v>
      </c>
    </row>
    <row r="348" spans="1:16" x14ac:dyDescent="0.25">
      <c r="A348" s="48">
        <v>45005</v>
      </c>
      <c r="B348" s="1" t="s">
        <v>1</v>
      </c>
      <c r="C348" s="1" t="s">
        <v>109</v>
      </c>
      <c r="D348" s="1" t="s">
        <v>504</v>
      </c>
      <c r="E348" s="1" t="s">
        <v>67</v>
      </c>
      <c r="F348" s="1" t="s">
        <v>9</v>
      </c>
      <c r="G348" s="2">
        <v>40</v>
      </c>
      <c r="H348" s="51" t="s">
        <v>503</v>
      </c>
      <c r="I348" s="44">
        <f>Tabla1[[#This Row],[Descuento]]+Tabla1[[#This Row],[Neto]]</f>
        <v>760</v>
      </c>
      <c r="J348" s="9">
        <v>266</v>
      </c>
      <c r="K348" s="9">
        <v>494</v>
      </c>
      <c r="L348" s="9">
        <v>165.9238</v>
      </c>
      <c r="M348" s="24">
        <f>+Tabla1[[#This Row],[Costo Venta]]/Tabla1[[#This Row],[Cantidad]]</f>
        <v>4.1480949999999996</v>
      </c>
      <c r="N348" s="3">
        <v>0.17499999999999999</v>
      </c>
      <c r="O348" s="8">
        <f>+Tabla1[[#This Row],[Conversión]]*Tabla1[[#This Row],[Cantidad]]</f>
        <v>7</v>
      </c>
      <c r="P348" s="43">
        <f>Tabla1[[#This Row],[Neto]]-Tabla1[[#This Row],[Costo Venta]]</f>
        <v>328.07619999999997</v>
      </c>
    </row>
    <row r="349" spans="1:16" x14ac:dyDescent="0.25">
      <c r="A349" s="48">
        <v>45005</v>
      </c>
      <c r="B349" s="1" t="s">
        <v>1</v>
      </c>
      <c r="C349" s="1" t="s">
        <v>109</v>
      </c>
      <c r="D349" s="1" t="s">
        <v>505</v>
      </c>
      <c r="E349" s="1" t="s">
        <v>67</v>
      </c>
      <c r="F349" s="1" t="s">
        <v>9</v>
      </c>
      <c r="G349" s="2">
        <v>34</v>
      </c>
      <c r="H349" s="51" t="s">
        <v>503</v>
      </c>
      <c r="I349" s="44">
        <f>Tabla1[[#This Row],[Descuento]]+Tabla1[[#This Row],[Neto]]</f>
        <v>646</v>
      </c>
      <c r="J349" s="9">
        <v>226.1</v>
      </c>
      <c r="K349" s="9">
        <v>419.9</v>
      </c>
      <c r="L349" s="9">
        <v>141.03523000000001</v>
      </c>
      <c r="M349" s="24">
        <f>+Tabla1[[#This Row],[Costo Venta]]/Tabla1[[#This Row],[Cantidad]]</f>
        <v>4.1480950000000005</v>
      </c>
      <c r="N349" s="3">
        <v>0.17499999999999999</v>
      </c>
      <c r="O349" s="8">
        <f>+Tabla1[[#This Row],[Conversión]]*Tabla1[[#This Row],[Cantidad]]</f>
        <v>5.9499999999999993</v>
      </c>
      <c r="P349" s="43">
        <f>Tabla1[[#This Row],[Neto]]-Tabla1[[#This Row],[Costo Venta]]</f>
        <v>278.86476999999996</v>
      </c>
    </row>
    <row r="350" spans="1:16" x14ac:dyDescent="0.25">
      <c r="A350" s="48">
        <v>45019</v>
      </c>
      <c r="B350" s="1" t="s">
        <v>1</v>
      </c>
      <c r="C350" s="1" t="s">
        <v>109</v>
      </c>
      <c r="D350" s="1" t="s">
        <v>506</v>
      </c>
      <c r="E350" s="1" t="s">
        <v>137</v>
      </c>
      <c r="F350" s="1" t="s">
        <v>13</v>
      </c>
      <c r="G350" s="2">
        <v>10</v>
      </c>
      <c r="H350" s="51" t="s">
        <v>503</v>
      </c>
      <c r="I350" s="44">
        <f>Tabla1[[#This Row],[Descuento]]+Tabla1[[#This Row],[Neto]]</f>
        <v>190</v>
      </c>
      <c r="J350" s="9">
        <v>19</v>
      </c>
      <c r="K350" s="9">
        <v>171</v>
      </c>
      <c r="L350" s="9">
        <v>29.1</v>
      </c>
      <c r="M350" s="24">
        <f>+Tabla1[[#This Row],[Costo Venta]]/Tabla1[[#This Row],[Cantidad]]</f>
        <v>2.91</v>
      </c>
      <c r="N350" s="3">
        <v>0.17499999999999999</v>
      </c>
      <c r="O350" s="8">
        <f>+Tabla1[[#This Row],[Conversión]]*Tabla1[[#This Row],[Cantidad]]</f>
        <v>1.75</v>
      </c>
      <c r="P350" s="43">
        <f>Tabla1[[#This Row],[Neto]]-Tabla1[[#This Row],[Costo Venta]]</f>
        <v>141.9</v>
      </c>
    </row>
    <row r="351" spans="1:16" x14ac:dyDescent="0.25">
      <c r="A351" s="48">
        <v>45036</v>
      </c>
      <c r="B351" s="1" t="s">
        <v>1</v>
      </c>
      <c r="C351" s="1" t="s">
        <v>81</v>
      </c>
      <c r="D351" s="1" t="s">
        <v>168</v>
      </c>
      <c r="E351" s="1" t="s">
        <v>71</v>
      </c>
      <c r="F351" s="1" t="s">
        <v>12</v>
      </c>
      <c r="G351" s="2">
        <v>4</v>
      </c>
      <c r="H351" s="51" t="s">
        <v>503</v>
      </c>
      <c r="I351" s="44">
        <f>Tabla1[[#This Row],[Descuento]]+Tabla1[[#This Row],[Neto]]</f>
        <v>76</v>
      </c>
      <c r="J351" s="9">
        <v>0</v>
      </c>
      <c r="K351" s="9">
        <v>76</v>
      </c>
      <c r="L351" s="9">
        <v>10.72</v>
      </c>
      <c r="M351" s="24">
        <f>+Tabla1[[#This Row],[Costo Venta]]/Tabla1[[#This Row],[Cantidad]]</f>
        <v>2.68</v>
      </c>
      <c r="N351" s="3">
        <v>0.17499999999999999</v>
      </c>
      <c r="O351" s="8">
        <f>+Tabla1[[#This Row],[Conversión]]*Tabla1[[#This Row],[Cantidad]]</f>
        <v>0.7</v>
      </c>
      <c r="P351" s="43">
        <f>Tabla1[[#This Row],[Neto]]-Tabla1[[#This Row],[Costo Venta]]</f>
        <v>65.28</v>
      </c>
    </row>
    <row r="352" spans="1:16" x14ac:dyDescent="0.25">
      <c r="A352" s="48">
        <v>45048</v>
      </c>
      <c r="B352" s="1" t="s">
        <v>1</v>
      </c>
      <c r="C352" s="1" t="s">
        <v>109</v>
      </c>
      <c r="D352" s="1" t="s">
        <v>507</v>
      </c>
      <c r="E352" s="1" t="s">
        <v>67</v>
      </c>
      <c r="F352" s="1" t="s">
        <v>9</v>
      </c>
      <c r="G352" s="2">
        <v>32</v>
      </c>
      <c r="H352" s="51" t="s">
        <v>503</v>
      </c>
      <c r="I352" s="44">
        <f>Tabla1[[#This Row],[Descuento]]+Tabla1[[#This Row],[Neto]]</f>
        <v>608</v>
      </c>
      <c r="J352" s="9">
        <v>212.8</v>
      </c>
      <c r="K352" s="9">
        <v>395.2</v>
      </c>
      <c r="L352" s="9">
        <v>83.171424000000002</v>
      </c>
      <c r="M352" s="24">
        <f>+Tabla1[[#This Row],[Costo Venta]]/Tabla1[[#This Row],[Cantidad]]</f>
        <v>2.5991070000000001</v>
      </c>
      <c r="N352" s="3">
        <v>0.17499999999999999</v>
      </c>
      <c r="O352" s="8">
        <f>+Tabla1[[#This Row],[Conversión]]*Tabla1[[#This Row],[Cantidad]]</f>
        <v>5.6</v>
      </c>
      <c r="P352" s="43">
        <f>Tabla1[[#This Row],[Neto]]-Tabla1[[#This Row],[Costo Venta]]</f>
        <v>312.02857599999999</v>
      </c>
    </row>
    <row r="353" spans="1:16" x14ac:dyDescent="0.25">
      <c r="A353" s="48">
        <v>45068</v>
      </c>
      <c r="B353" s="1" t="s">
        <v>1</v>
      </c>
      <c r="C353" s="1" t="s">
        <v>81</v>
      </c>
      <c r="D353" s="1" t="s">
        <v>188</v>
      </c>
      <c r="E353" s="1" t="s">
        <v>71</v>
      </c>
      <c r="F353" s="1" t="s">
        <v>11</v>
      </c>
      <c r="G353" s="2">
        <v>36</v>
      </c>
      <c r="H353" s="51" t="s">
        <v>503</v>
      </c>
      <c r="I353" s="44">
        <f>Tabla1[[#This Row],[Descuento]]+Tabla1[[#This Row],[Neto]]</f>
        <v>684</v>
      </c>
      <c r="J353" s="9">
        <v>68.400000000000006</v>
      </c>
      <c r="K353" s="9">
        <v>615.6</v>
      </c>
      <c r="L353" s="9">
        <v>93.567852000000002</v>
      </c>
      <c r="M353" s="24">
        <f>+Tabla1[[#This Row],[Costo Venta]]/Tabla1[[#This Row],[Cantidad]]</f>
        <v>2.5991070000000001</v>
      </c>
      <c r="N353" s="3">
        <v>0.17499999999999999</v>
      </c>
      <c r="O353" s="8">
        <f>+Tabla1[[#This Row],[Conversión]]*Tabla1[[#This Row],[Cantidad]]</f>
        <v>6.3</v>
      </c>
      <c r="P353" s="43">
        <f>Tabla1[[#This Row],[Neto]]-Tabla1[[#This Row],[Costo Venta]]</f>
        <v>522.03214800000001</v>
      </c>
    </row>
    <row r="354" spans="1:16" x14ac:dyDescent="0.25">
      <c r="A354" s="48">
        <v>45096</v>
      </c>
      <c r="B354" s="1" t="s">
        <v>1</v>
      </c>
      <c r="C354" s="1" t="s">
        <v>109</v>
      </c>
      <c r="D354" s="1" t="s">
        <v>508</v>
      </c>
      <c r="E354" s="1" t="s">
        <v>71</v>
      </c>
      <c r="F354" s="1" t="s">
        <v>10</v>
      </c>
      <c r="G354" s="2">
        <v>30</v>
      </c>
      <c r="H354" s="51" t="s">
        <v>503</v>
      </c>
      <c r="I354" s="44">
        <f>Tabla1[[#This Row],[Descuento]]+Tabla1[[#This Row],[Neto]]</f>
        <v>570</v>
      </c>
      <c r="J354" s="9">
        <v>285</v>
      </c>
      <c r="K354" s="9">
        <v>285</v>
      </c>
      <c r="L354" s="9">
        <v>72.519990000000007</v>
      </c>
      <c r="M354" s="24">
        <f>+Tabla1[[#This Row],[Costo Venta]]/Tabla1[[#This Row],[Cantidad]]</f>
        <v>2.4173330000000002</v>
      </c>
      <c r="N354" s="3">
        <v>0.17499999999999999</v>
      </c>
      <c r="O354" s="8">
        <f>+Tabla1[[#This Row],[Conversión]]*Tabla1[[#This Row],[Cantidad]]</f>
        <v>5.25</v>
      </c>
      <c r="P354" s="43">
        <f>Tabla1[[#This Row],[Neto]]-Tabla1[[#This Row],[Costo Venta]]</f>
        <v>212.48000999999999</v>
      </c>
    </row>
    <row r="355" spans="1:16" x14ac:dyDescent="0.25">
      <c r="A355" s="48">
        <v>45096</v>
      </c>
      <c r="B355" s="1" t="s">
        <v>1</v>
      </c>
      <c r="C355" s="1" t="s">
        <v>65</v>
      </c>
      <c r="D355" s="1" t="s">
        <v>509</v>
      </c>
      <c r="E355" s="1" t="s">
        <v>71</v>
      </c>
      <c r="F355" s="1" t="s">
        <v>10</v>
      </c>
      <c r="G355" s="2">
        <v>20</v>
      </c>
      <c r="H355" s="51" t="s">
        <v>503</v>
      </c>
      <c r="I355" s="44">
        <f>Tabla1[[#This Row],[Descuento]]+Tabla1[[#This Row],[Neto]]</f>
        <v>380</v>
      </c>
      <c r="J355" s="9">
        <v>133</v>
      </c>
      <c r="K355" s="9">
        <v>247</v>
      </c>
      <c r="L355" s="9">
        <v>48.34666</v>
      </c>
      <c r="M355" s="24">
        <f>+Tabla1[[#This Row],[Costo Venta]]/Tabla1[[#This Row],[Cantidad]]</f>
        <v>2.4173330000000002</v>
      </c>
      <c r="N355" s="3">
        <v>0.17499999999999999</v>
      </c>
      <c r="O355" s="8">
        <f>+Tabla1[[#This Row],[Conversión]]*Tabla1[[#This Row],[Cantidad]]</f>
        <v>3.5</v>
      </c>
      <c r="P355" s="43">
        <f>Tabla1[[#This Row],[Neto]]-Tabla1[[#This Row],[Costo Venta]]</f>
        <v>198.65334000000001</v>
      </c>
    </row>
    <row r="356" spans="1:16" x14ac:dyDescent="0.25">
      <c r="A356" s="48">
        <v>45110</v>
      </c>
      <c r="B356" s="1" t="s">
        <v>1</v>
      </c>
      <c r="C356" s="1" t="s">
        <v>81</v>
      </c>
      <c r="D356" s="1" t="s">
        <v>510</v>
      </c>
      <c r="E356" s="1" t="s">
        <v>137</v>
      </c>
      <c r="F356" s="1" t="s">
        <v>18</v>
      </c>
      <c r="G356" s="2">
        <v>124</v>
      </c>
      <c r="H356" s="51" t="s">
        <v>503</v>
      </c>
      <c r="I356" s="44">
        <f>Tabla1[[#This Row],[Descuento]]+Tabla1[[#This Row],[Neto]]</f>
        <v>2356</v>
      </c>
      <c r="J356" s="9">
        <v>0</v>
      </c>
      <c r="K356" s="9">
        <v>2356</v>
      </c>
      <c r="L356" s="9">
        <v>299.62541599999997</v>
      </c>
      <c r="M356" s="24">
        <f>+Tabla1[[#This Row],[Costo Venta]]/Tabla1[[#This Row],[Cantidad]]</f>
        <v>2.416334</v>
      </c>
      <c r="N356" s="3">
        <v>0.17499999999999999</v>
      </c>
      <c r="O356" s="8">
        <f>+Tabla1[[#This Row],[Conversión]]*Tabla1[[#This Row],[Cantidad]]</f>
        <v>21.7</v>
      </c>
      <c r="P356" s="43">
        <f>Tabla1[[#This Row],[Neto]]-Tabla1[[#This Row],[Costo Venta]]</f>
        <v>2056.3745840000001</v>
      </c>
    </row>
    <row r="357" spans="1:16" x14ac:dyDescent="0.25">
      <c r="A357" s="48">
        <v>45110</v>
      </c>
      <c r="B357" s="1" t="s">
        <v>1</v>
      </c>
      <c r="C357" s="1" t="s">
        <v>65</v>
      </c>
      <c r="D357" s="1" t="s">
        <v>511</v>
      </c>
      <c r="E357" s="1" t="s">
        <v>67</v>
      </c>
      <c r="F357" s="1" t="s">
        <v>9</v>
      </c>
      <c r="G357" s="2">
        <v>46</v>
      </c>
      <c r="H357" s="51" t="s">
        <v>503</v>
      </c>
      <c r="I357" s="44">
        <f>Tabla1[[#This Row],[Descuento]]+Tabla1[[#This Row],[Neto]]</f>
        <v>874</v>
      </c>
      <c r="J357" s="9">
        <v>305.89999999999998</v>
      </c>
      <c r="K357" s="9">
        <v>568.1</v>
      </c>
      <c r="L357" s="9">
        <v>111.151364</v>
      </c>
      <c r="M357" s="24">
        <f>+Tabla1[[#This Row],[Costo Venta]]/Tabla1[[#This Row],[Cantidad]]</f>
        <v>2.416334</v>
      </c>
      <c r="N357" s="3">
        <v>0.17499999999999999</v>
      </c>
      <c r="O357" s="8">
        <f>+Tabla1[[#This Row],[Conversión]]*Tabla1[[#This Row],[Cantidad]]</f>
        <v>8.0499999999999989</v>
      </c>
      <c r="P357" s="43">
        <f>Tabla1[[#This Row],[Neto]]-Tabla1[[#This Row],[Costo Venta]]</f>
        <v>456.94863600000002</v>
      </c>
    </row>
    <row r="358" spans="1:16" x14ac:dyDescent="0.25">
      <c r="A358" s="48">
        <v>45111</v>
      </c>
      <c r="B358" s="1" t="s">
        <v>1</v>
      </c>
      <c r="C358" s="1" t="s">
        <v>81</v>
      </c>
      <c r="D358" s="1" t="s">
        <v>204</v>
      </c>
      <c r="E358" s="1" t="s">
        <v>71</v>
      </c>
      <c r="F358" s="1" t="s">
        <v>14</v>
      </c>
      <c r="G358" s="2">
        <v>30</v>
      </c>
      <c r="H358" s="51" t="s">
        <v>503</v>
      </c>
      <c r="I358" s="44">
        <f>Tabla1[[#This Row],[Descuento]]+Tabla1[[#This Row],[Neto]]</f>
        <v>570</v>
      </c>
      <c r="J358" s="9">
        <v>68.400000000000006</v>
      </c>
      <c r="K358" s="9">
        <v>501.6</v>
      </c>
      <c r="L358" s="9">
        <v>72.490020000000001</v>
      </c>
      <c r="M358" s="24">
        <f>+Tabla1[[#This Row],[Costo Venta]]/Tabla1[[#This Row],[Cantidad]]</f>
        <v>2.416334</v>
      </c>
      <c r="N358" s="3">
        <v>0.17499999999999999</v>
      </c>
      <c r="O358" s="8">
        <f>+Tabla1[[#This Row],[Conversión]]*Tabla1[[#This Row],[Cantidad]]</f>
        <v>5.25</v>
      </c>
      <c r="P358" s="43">
        <f>Tabla1[[#This Row],[Neto]]-Tabla1[[#This Row],[Costo Venta]]</f>
        <v>429.10998000000001</v>
      </c>
    </row>
    <row r="359" spans="1:16" x14ac:dyDescent="0.25">
      <c r="A359" s="48">
        <v>45132</v>
      </c>
      <c r="B359" s="1" t="s">
        <v>1</v>
      </c>
      <c r="C359" s="1" t="s">
        <v>65</v>
      </c>
      <c r="D359" s="1" t="s">
        <v>512</v>
      </c>
      <c r="E359" s="1" t="s">
        <v>67</v>
      </c>
      <c r="F359" s="1" t="s">
        <v>9</v>
      </c>
      <c r="G359" s="2">
        <v>46</v>
      </c>
      <c r="H359" s="51" t="s">
        <v>503</v>
      </c>
      <c r="I359" s="44">
        <f>Tabla1[[#This Row],[Descuento]]+Tabla1[[#This Row],[Neto]]</f>
        <v>874</v>
      </c>
      <c r="J359" s="9">
        <v>305.89999999999998</v>
      </c>
      <c r="K359" s="9">
        <v>568.1</v>
      </c>
      <c r="L359" s="9">
        <v>133.55833200000001</v>
      </c>
      <c r="M359" s="24">
        <f>+Tabla1[[#This Row],[Costo Venta]]/Tabla1[[#This Row],[Cantidad]]</f>
        <v>2.9034420000000001</v>
      </c>
      <c r="N359" s="3">
        <v>0.17499999999999999</v>
      </c>
      <c r="O359" s="8">
        <f>+Tabla1[[#This Row],[Conversión]]*Tabla1[[#This Row],[Cantidad]]</f>
        <v>8.0499999999999989</v>
      </c>
      <c r="P359" s="43">
        <f>Tabla1[[#This Row],[Neto]]-Tabla1[[#This Row],[Costo Venta]]</f>
        <v>434.54166800000002</v>
      </c>
    </row>
    <row r="360" spans="1:16" x14ac:dyDescent="0.25">
      <c r="A360" s="48">
        <v>45139</v>
      </c>
      <c r="B360" s="1" t="s">
        <v>1</v>
      </c>
      <c r="C360" s="1" t="s">
        <v>81</v>
      </c>
      <c r="D360" s="1" t="s">
        <v>513</v>
      </c>
      <c r="E360" s="1" t="s">
        <v>67</v>
      </c>
      <c r="F360" s="1" t="s">
        <v>9</v>
      </c>
      <c r="G360" s="2">
        <v>53</v>
      </c>
      <c r="H360" s="51" t="s">
        <v>503</v>
      </c>
      <c r="I360" s="44">
        <f>Tabla1[[#This Row],[Descuento]]+Tabla1[[#This Row],[Neto]]</f>
        <v>1007</v>
      </c>
      <c r="J360" s="9">
        <v>352.45</v>
      </c>
      <c r="K360" s="9">
        <v>654.54999999999995</v>
      </c>
      <c r="L360" s="9">
        <v>153.88242600000001</v>
      </c>
      <c r="M360" s="24">
        <f>+Tabla1[[#This Row],[Costo Venta]]/Tabla1[[#This Row],[Cantidad]]</f>
        <v>2.9034420000000001</v>
      </c>
      <c r="N360" s="3">
        <v>0.17499999999999999</v>
      </c>
      <c r="O360" s="8">
        <f>+Tabla1[[#This Row],[Conversión]]*Tabla1[[#This Row],[Cantidad]]</f>
        <v>9.2749999999999986</v>
      </c>
      <c r="P360" s="43">
        <f>Tabla1[[#This Row],[Neto]]-Tabla1[[#This Row],[Costo Venta]]</f>
        <v>500.66757399999995</v>
      </c>
    </row>
    <row r="361" spans="1:16" x14ac:dyDescent="0.25">
      <c r="A361" s="48">
        <v>45203</v>
      </c>
      <c r="B361" s="1" t="s">
        <v>1</v>
      </c>
      <c r="C361" s="1" t="s">
        <v>29</v>
      </c>
      <c r="D361" s="1" t="s">
        <v>514</v>
      </c>
      <c r="E361" s="1" t="s">
        <v>67</v>
      </c>
      <c r="F361" s="1" t="s">
        <v>9</v>
      </c>
      <c r="G361" s="2">
        <v>44</v>
      </c>
      <c r="H361" s="51" t="s">
        <v>503</v>
      </c>
      <c r="I361" s="44">
        <f>Tabla1[[#This Row],[Descuento]]+Tabla1[[#This Row],[Neto]]</f>
        <v>836</v>
      </c>
      <c r="J361" s="9">
        <v>292.60000000000002</v>
      </c>
      <c r="K361" s="9">
        <v>543.4</v>
      </c>
      <c r="L361" s="9">
        <v>143.55576400000001</v>
      </c>
      <c r="M361" s="24">
        <f>+Tabla1[[#This Row],[Costo Venta]]/Tabla1[[#This Row],[Cantidad]]</f>
        <v>3.2626310000000003</v>
      </c>
      <c r="N361" s="3">
        <v>0.17499999999999999</v>
      </c>
      <c r="O361" s="8">
        <f>+Tabla1[[#This Row],[Conversión]]*Tabla1[[#This Row],[Cantidad]]</f>
        <v>7.6999999999999993</v>
      </c>
      <c r="P361" s="43">
        <f>Tabla1[[#This Row],[Neto]]-Tabla1[[#This Row],[Costo Venta]]</f>
        <v>399.84423599999997</v>
      </c>
    </row>
    <row r="362" spans="1:16" x14ac:dyDescent="0.25">
      <c r="A362" s="48">
        <v>45250</v>
      </c>
      <c r="B362" s="1" t="s">
        <v>1</v>
      </c>
      <c r="C362" s="1" t="s">
        <v>29</v>
      </c>
      <c r="D362" s="1" t="s">
        <v>515</v>
      </c>
      <c r="E362" s="1" t="s">
        <v>67</v>
      </c>
      <c r="F362" s="1" t="s">
        <v>9</v>
      </c>
      <c r="G362" s="2">
        <v>38</v>
      </c>
      <c r="H362" s="51" t="s">
        <v>503</v>
      </c>
      <c r="I362" s="44">
        <f>Tabla1[[#This Row],[Descuento]]+Tabla1[[#This Row],[Neto]]</f>
        <v>722</v>
      </c>
      <c r="J362" s="9">
        <v>252.7</v>
      </c>
      <c r="K362" s="9">
        <v>469.3</v>
      </c>
      <c r="L362" s="9">
        <v>115.32475599999999</v>
      </c>
      <c r="M362" s="24">
        <f>+Tabla1[[#This Row],[Costo Venta]]/Tabla1[[#This Row],[Cantidad]]</f>
        <v>3.0348619999999999</v>
      </c>
      <c r="N362" s="3">
        <v>0.17499999999999999</v>
      </c>
      <c r="O362" s="8">
        <f>+Tabla1[[#This Row],[Conversión]]*Tabla1[[#This Row],[Cantidad]]</f>
        <v>6.6499999999999995</v>
      </c>
      <c r="P362" s="43">
        <f>Tabla1[[#This Row],[Neto]]-Tabla1[[#This Row],[Costo Venta]]</f>
        <v>353.97524400000003</v>
      </c>
    </row>
    <row r="363" spans="1:16" x14ac:dyDescent="0.25">
      <c r="A363" s="48">
        <v>45274</v>
      </c>
      <c r="B363" s="1" t="s">
        <v>1</v>
      </c>
      <c r="C363" s="1" t="s">
        <v>81</v>
      </c>
      <c r="D363" s="1" t="s">
        <v>516</v>
      </c>
      <c r="E363" s="1" t="s">
        <v>67</v>
      </c>
      <c r="F363" s="1" t="s">
        <v>9</v>
      </c>
      <c r="G363" s="2">
        <v>58</v>
      </c>
      <c r="H363" s="51" t="s">
        <v>503</v>
      </c>
      <c r="I363" s="44">
        <f>Tabla1[[#This Row],[Descuento]]+Tabla1[[#This Row],[Neto]]</f>
        <v>1102</v>
      </c>
      <c r="J363" s="9">
        <v>385.7</v>
      </c>
      <c r="K363" s="9">
        <v>716.3</v>
      </c>
      <c r="L363" s="9">
        <v>201.68804</v>
      </c>
      <c r="M363" s="24">
        <f>+Tabla1[[#This Row],[Costo Venta]]/Tabla1[[#This Row],[Cantidad]]</f>
        <v>3.4773800000000001</v>
      </c>
      <c r="N363" s="3">
        <v>0.17499999999999999</v>
      </c>
      <c r="O363" s="8">
        <f>+Tabla1[[#This Row],[Conversión]]*Tabla1[[#This Row],[Cantidad]]</f>
        <v>10.149999999999999</v>
      </c>
      <c r="P363" s="43">
        <f>Tabla1[[#This Row],[Neto]]-Tabla1[[#This Row],[Costo Venta]]</f>
        <v>514.61195999999995</v>
      </c>
    </row>
    <row r="364" spans="1:16" x14ac:dyDescent="0.25">
      <c r="A364" s="48">
        <v>45274</v>
      </c>
      <c r="B364" s="1" t="s">
        <v>1</v>
      </c>
      <c r="C364" s="1" t="s">
        <v>81</v>
      </c>
      <c r="D364" s="1" t="s">
        <v>517</v>
      </c>
      <c r="E364" s="1" t="s">
        <v>67</v>
      </c>
      <c r="F364" s="1" t="s">
        <v>9</v>
      </c>
      <c r="G364" s="2">
        <v>2</v>
      </c>
      <c r="H364" s="51" t="s">
        <v>503</v>
      </c>
      <c r="I364" s="44">
        <f>Tabla1[[#This Row],[Descuento]]+Tabla1[[#This Row],[Neto]]</f>
        <v>38</v>
      </c>
      <c r="J364" s="9">
        <v>13.3</v>
      </c>
      <c r="K364" s="9">
        <v>24.7</v>
      </c>
      <c r="L364" s="9">
        <v>6.9547600000000003</v>
      </c>
      <c r="M364" s="24">
        <f>+Tabla1[[#This Row],[Costo Venta]]/Tabla1[[#This Row],[Cantidad]]</f>
        <v>3.4773800000000001</v>
      </c>
      <c r="N364" s="3">
        <v>0.17499999999999999</v>
      </c>
      <c r="O364" s="8">
        <f>+Tabla1[[#This Row],[Conversión]]*Tabla1[[#This Row],[Cantidad]]</f>
        <v>0.35</v>
      </c>
      <c r="P364" s="43">
        <f>Tabla1[[#This Row],[Neto]]-Tabla1[[#This Row],[Costo Venta]]</f>
        <v>17.745239999999999</v>
      </c>
    </row>
    <row r="365" spans="1:16" x14ac:dyDescent="0.25">
      <c r="A365" s="48">
        <v>45363</v>
      </c>
      <c r="B365" s="1" t="s">
        <v>1</v>
      </c>
      <c r="C365" s="1" t="s">
        <v>81</v>
      </c>
      <c r="D365" s="1" t="s">
        <v>518</v>
      </c>
      <c r="E365" s="1" t="s">
        <v>71</v>
      </c>
      <c r="F365" s="1" t="s">
        <v>35</v>
      </c>
      <c r="G365" s="2">
        <v>42</v>
      </c>
      <c r="H365" s="51" t="s">
        <v>503</v>
      </c>
      <c r="I365" s="44">
        <f>Tabla1[[#This Row],[Descuento]]+Tabla1[[#This Row],[Neto]]</f>
        <v>834.95759999999996</v>
      </c>
      <c r="J365" s="9">
        <v>258.83760000000001</v>
      </c>
      <c r="K365" s="9">
        <v>576.12</v>
      </c>
      <c r="L365" s="9">
        <v>105.695016</v>
      </c>
      <c r="M365" s="24">
        <f>+Tabla1[[#This Row],[Costo Venta]]/Tabla1[[#This Row],[Cantidad]]</f>
        <v>2.5165479999999998</v>
      </c>
      <c r="N365" s="3">
        <v>0.17499999999999999</v>
      </c>
      <c r="O365" s="8">
        <f>+Tabla1[[#This Row],[Conversión]]*Tabla1[[#This Row],[Cantidad]]</f>
        <v>7.35</v>
      </c>
      <c r="P365" s="43">
        <f>Tabla1[[#This Row],[Neto]]-Tabla1[[#This Row],[Costo Venta]]</f>
        <v>470.42498399999999</v>
      </c>
    </row>
    <row r="366" spans="1:16" x14ac:dyDescent="0.25">
      <c r="A366" s="48">
        <v>45363</v>
      </c>
      <c r="B366" s="1" t="s">
        <v>1</v>
      </c>
      <c r="C366" s="1" t="s">
        <v>81</v>
      </c>
      <c r="D366" s="1" t="s">
        <v>518</v>
      </c>
      <c r="E366" s="1" t="s">
        <v>71</v>
      </c>
      <c r="F366" s="1" t="s">
        <v>35</v>
      </c>
      <c r="G366" s="2">
        <v>24</v>
      </c>
      <c r="H366" s="51" t="s">
        <v>503</v>
      </c>
      <c r="I366" s="44">
        <f>Tabla1[[#This Row],[Descuento]]+Tabla1[[#This Row],[Neto]]</f>
        <v>477.11719999999997</v>
      </c>
      <c r="J366" s="9">
        <v>147.90719999999999</v>
      </c>
      <c r="K366" s="9">
        <v>329.21</v>
      </c>
      <c r="L366" s="9">
        <v>60.397151999999998</v>
      </c>
      <c r="M366" s="24">
        <f>+Tabla1[[#This Row],[Costo Venta]]/Tabla1[[#This Row],[Cantidad]]</f>
        <v>2.5165479999999998</v>
      </c>
      <c r="N366" s="3">
        <v>0.17499999999999999</v>
      </c>
      <c r="O366" s="8">
        <f>+Tabla1[[#This Row],[Conversión]]*Tabla1[[#This Row],[Cantidad]]</f>
        <v>4.1999999999999993</v>
      </c>
      <c r="P366" s="43">
        <f>Tabla1[[#This Row],[Neto]]-Tabla1[[#This Row],[Costo Venta]]</f>
        <v>268.81284799999997</v>
      </c>
    </row>
    <row r="367" spans="1:16" x14ac:dyDescent="0.25">
      <c r="A367" s="48">
        <v>45378</v>
      </c>
      <c r="B367" s="1" t="s">
        <v>1</v>
      </c>
      <c r="C367" s="1" t="s">
        <v>29</v>
      </c>
      <c r="D367" s="1" t="s">
        <v>303</v>
      </c>
      <c r="E367" s="1" t="s">
        <v>67</v>
      </c>
      <c r="F367" s="1" t="s">
        <v>34</v>
      </c>
      <c r="G367" s="2">
        <v>68</v>
      </c>
      <c r="H367" s="51" t="s">
        <v>503</v>
      </c>
      <c r="I367" s="44">
        <f>Tabla1[[#This Row],[Descuento]]+Tabla1[[#This Row],[Neto]]</f>
        <v>1351.8420000000001</v>
      </c>
      <c r="J367" s="9">
        <v>405.55200000000002</v>
      </c>
      <c r="K367" s="9">
        <v>946.29</v>
      </c>
      <c r="L367" s="9">
        <v>136.22507999999999</v>
      </c>
      <c r="M367" s="24">
        <f>+Tabla1[[#This Row],[Costo Venta]]/Tabla1[[#This Row],[Cantidad]]</f>
        <v>2.0033099999999999</v>
      </c>
      <c r="N367" s="3">
        <v>0.17499999999999999</v>
      </c>
      <c r="O367" s="8">
        <f>+Tabla1[[#This Row],[Conversión]]*Tabla1[[#This Row],[Cantidad]]</f>
        <v>11.899999999999999</v>
      </c>
      <c r="P367" s="43">
        <f>Tabla1[[#This Row],[Neto]]-Tabla1[[#This Row],[Costo Venta]]</f>
        <v>810.06492000000003</v>
      </c>
    </row>
    <row r="368" spans="1:16" x14ac:dyDescent="0.25">
      <c r="A368" s="48">
        <v>45434</v>
      </c>
      <c r="B368" s="1" t="s">
        <v>1</v>
      </c>
      <c r="C368" s="1" t="s">
        <v>81</v>
      </c>
      <c r="D368" s="1" t="s">
        <v>519</v>
      </c>
      <c r="E368" s="1" t="s">
        <v>67</v>
      </c>
      <c r="F368" s="1" t="s">
        <v>20</v>
      </c>
      <c r="G368" s="2">
        <v>53</v>
      </c>
      <c r="H368" s="51" t="s">
        <v>503</v>
      </c>
      <c r="I368" s="44">
        <f>Tabla1[[#This Row],[Descuento]]+Tabla1[[#This Row],[Neto]]</f>
        <v>1053.644</v>
      </c>
      <c r="J368" s="9">
        <v>368.774</v>
      </c>
      <c r="K368" s="9">
        <v>684.87</v>
      </c>
      <c r="L368" s="9">
        <v>108.496088</v>
      </c>
      <c r="M368" s="24">
        <f>+Tabla1[[#This Row],[Costo Venta]]/Tabla1[[#This Row],[Cantidad]]</f>
        <v>2.0470959999999998</v>
      </c>
      <c r="N368" s="3">
        <v>0.17499999999999999</v>
      </c>
      <c r="O368" s="8">
        <f>+Tabla1[[#This Row],[Conversión]]*Tabla1[[#This Row],[Cantidad]]</f>
        <v>9.2749999999999986</v>
      </c>
      <c r="P368" s="43">
        <f>Tabla1[[#This Row],[Neto]]-Tabla1[[#This Row],[Costo Venta]]</f>
        <v>576.37391200000002</v>
      </c>
    </row>
    <row r="369" spans="1:16" x14ac:dyDescent="0.25">
      <c r="A369" s="48">
        <v>45491</v>
      </c>
      <c r="B369" s="1" t="s">
        <v>1</v>
      </c>
      <c r="C369" s="1" t="s">
        <v>65</v>
      </c>
      <c r="D369" s="1" t="s">
        <v>520</v>
      </c>
      <c r="E369" s="1" t="s">
        <v>71</v>
      </c>
      <c r="F369" s="1" t="s">
        <v>36</v>
      </c>
      <c r="G369" s="2">
        <v>4</v>
      </c>
      <c r="H369" s="51" t="s">
        <v>503</v>
      </c>
      <c r="I369" s="44">
        <f>Tabla1[[#This Row],[Descuento]]+Tabla1[[#This Row],[Neto]]</f>
        <v>79.52</v>
      </c>
      <c r="J369" s="9">
        <v>19.88</v>
      </c>
      <c r="K369" s="9">
        <v>59.64</v>
      </c>
      <c r="L369" s="9">
        <v>8.2144399999999997</v>
      </c>
      <c r="M369" s="24">
        <f>+Tabla1[[#This Row],[Costo Venta]]/Tabla1[[#This Row],[Cantidad]]</f>
        <v>2.0536099999999999</v>
      </c>
      <c r="N369" s="3">
        <v>0.17499999999999999</v>
      </c>
      <c r="O369" s="8">
        <f>+Tabla1[[#This Row],[Conversión]]*Tabla1[[#This Row],[Cantidad]]</f>
        <v>0.7</v>
      </c>
      <c r="P369" s="43">
        <f>Tabla1[[#This Row],[Neto]]-Tabla1[[#This Row],[Costo Venta]]</f>
        <v>51.425560000000004</v>
      </c>
    </row>
    <row r="370" spans="1:16" x14ac:dyDescent="0.25">
      <c r="A370" s="48">
        <v>45575</v>
      </c>
      <c r="B370" s="1" t="s">
        <v>1</v>
      </c>
      <c r="C370" s="1" t="s">
        <v>143</v>
      </c>
      <c r="D370" s="1" t="s">
        <v>337</v>
      </c>
      <c r="E370" s="1" t="s">
        <v>137</v>
      </c>
      <c r="F370" s="1" t="s">
        <v>38</v>
      </c>
      <c r="G370" s="2">
        <v>1</v>
      </c>
      <c r="H370" s="51" t="s">
        <v>503</v>
      </c>
      <c r="I370" s="44">
        <f>Tabla1[[#This Row],[Descuento]]+Tabla1[[#This Row],[Neto]]</f>
        <v>19.88</v>
      </c>
      <c r="J370" s="9">
        <v>19.88</v>
      </c>
      <c r="K370" s="9">
        <v>0</v>
      </c>
      <c r="L370" s="9">
        <v>2.0590679999999999</v>
      </c>
      <c r="M370" s="24">
        <f>+Tabla1[[#This Row],[Costo Venta]]/Tabla1[[#This Row],[Cantidad]]</f>
        <v>2.0590679999999999</v>
      </c>
      <c r="N370" s="3">
        <v>0.17499999999999999</v>
      </c>
      <c r="O370" s="8">
        <f>+Tabla1[[#This Row],[Conversión]]*Tabla1[[#This Row],[Cantidad]]</f>
        <v>0.17499999999999999</v>
      </c>
      <c r="P370" s="43">
        <f>Tabla1[[#This Row],[Neto]]-Tabla1[[#This Row],[Costo Venta]]</f>
        <v>-2.0590679999999999</v>
      </c>
    </row>
    <row r="371" spans="1:16" x14ac:dyDescent="0.25">
      <c r="A371" s="48">
        <v>45615</v>
      </c>
      <c r="B371" s="1" t="s">
        <v>1</v>
      </c>
      <c r="C371" s="1" t="s">
        <v>65</v>
      </c>
      <c r="D371" s="1" t="s">
        <v>521</v>
      </c>
      <c r="E371" s="1" t="s">
        <v>67</v>
      </c>
      <c r="F371" s="1" t="s">
        <v>20</v>
      </c>
      <c r="G371" s="2">
        <v>48</v>
      </c>
      <c r="H371" s="51" t="s">
        <v>503</v>
      </c>
      <c r="I371" s="44">
        <f>Tabla1[[#This Row],[Descuento]]+Tabla1[[#This Row],[Neto]]</f>
        <v>954.24399999999991</v>
      </c>
      <c r="J371" s="9">
        <v>333.98399999999998</v>
      </c>
      <c r="K371" s="9">
        <v>620.26</v>
      </c>
      <c r="L371" s="9">
        <v>99.530687999999998</v>
      </c>
      <c r="M371" s="24">
        <f>+Tabla1[[#This Row],[Costo Venta]]/Tabla1[[#This Row],[Cantidad]]</f>
        <v>2.073556</v>
      </c>
      <c r="N371" s="3">
        <v>0.17499999999999999</v>
      </c>
      <c r="O371" s="8">
        <f>+Tabla1[[#This Row],[Conversión]]*Tabla1[[#This Row],[Cantidad]]</f>
        <v>8.3999999999999986</v>
      </c>
      <c r="P371" s="43">
        <f>Tabla1[[#This Row],[Neto]]-Tabla1[[#This Row],[Costo Venta]]</f>
        <v>520.72931199999994</v>
      </c>
    </row>
    <row r="372" spans="1:16" x14ac:dyDescent="0.25">
      <c r="A372" s="48">
        <v>45887</v>
      </c>
      <c r="B372" s="1" t="s">
        <v>1</v>
      </c>
      <c r="C372" s="1" t="s">
        <v>65</v>
      </c>
      <c r="D372" s="1" t="s">
        <v>394</v>
      </c>
      <c r="E372" s="1" t="s">
        <v>67</v>
      </c>
      <c r="F372" s="1" t="s">
        <v>40</v>
      </c>
      <c r="G372" s="2">
        <v>48</v>
      </c>
      <c r="H372" s="51" t="s">
        <v>503</v>
      </c>
      <c r="I372" s="44">
        <f>Tabla1[[#This Row],[Descuento]]+Tabla1[[#This Row],[Neto]]</f>
        <v>954.24</v>
      </c>
      <c r="J372" s="9">
        <v>238.56</v>
      </c>
      <c r="K372" s="9">
        <v>715.68</v>
      </c>
      <c r="L372" s="9">
        <v>65.598287999999997</v>
      </c>
      <c r="M372" s="24">
        <f>+Tabla1[[#This Row],[Costo Venta]]/Tabla1[[#This Row],[Cantidad]]</f>
        <v>1.3666309999999999</v>
      </c>
      <c r="N372" s="3">
        <v>0.17499999999999999</v>
      </c>
      <c r="O372" s="8">
        <f>+Tabla1[[#This Row],[Conversión]]*Tabla1[[#This Row],[Cantidad]]</f>
        <v>8.3999999999999986</v>
      </c>
      <c r="P372" s="43">
        <f>Tabla1[[#This Row],[Neto]]-Tabla1[[#This Row],[Costo Venta]]</f>
        <v>650.08171199999992</v>
      </c>
    </row>
    <row r="373" spans="1:16" x14ac:dyDescent="0.25">
      <c r="A373" s="48">
        <v>45001</v>
      </c>
      <c r="B373" s="1" t="s">
        <v>1</v>
      </c>
      <c r="C373" s="1" t="s">
        <v>109</v>
      </c>
      <c r="D373" s="1" t="s">
        <v>522</v>
      </c>
      <c r="E373" s="1" t="s">
        <v>67</v>
      </c>
      <c r="F373" s="1" t="s">
        <v>20</v>
      </c>
      <c r="G373" s="2">
        <v>39</v>
      </c>
      <c r="H373" s="1" t="s">
        <v>523</v>
      </c>
      <c r="I373" s="44">
        <f>Tabla1[[#This Row],[Descuento]]+Tabla1[[#This Row],[Neto]]</f>
        <v>741</v>
      </c>
      <c r="J373" s="9">
        <v>259.35000000000002</v>
      </c>
      <c r="K373" s="9">
        <v>481.65</v>
      </c>
      <c r="L373" s="9">
        <v>63.707279999999997</v>
      </c>
      <c r="M373" s="24">
        <f>+Tabla1[[#This Row],[Costo Venta]]/Tabla1[[#This Row],[Cantidad]]</f>
        <v>1.6335199999999999</v>
      </c>
      <c r="N373" s="3">
        <v>0.17499999999999999</v>
      </c>
      <c r="O373" s="8">
        <f>+Tabla1[[#This Row],[Conversión]]*Tabla1[[#This Row],[Cantidad]]</f>
        <v>6.8249999999999993</v>
      </c>
      <c r="P373" s="43">
        <f>Tabla1[[#This Row],[Neto]]-Tabla1[[#This Row],[Costo Venta]]</f>
        <v>417.94272000000001</v>
      </c>
    </row>
    <row r="374" spans="1:16" x14ac:dyDescent="0.25">
      <c r="A374" s="48">
        <v>45175</v>
      </c>
      <c r="B374" s="1" t="s">
        <v>1</v>
      </c>
      <c r="C374" s="1" t="s">
        <v>214</v>
      </c>
      <c r="D374" s="1" t="s">
        <v>237</v>
      </c>
      <c r="E374" s="1" t="s">
        <v>71</v>
      </c>
      <c r="F374" s="1" t="s">
        <v>17</v>
      </c>
      <c r="G374" s="2">
        <v>16</v>
      </c>
      <c r="H374" s="1" t="s">
        <v>523</v>
      </c>
      <c r="I374" s="44">
        <f>Tabla1[[#This Row],[Descuento]]+Tabla1[[#This Row],[Neto]]</f>
        <v>304</v>
      </c>
      <c r="J374" s="9">
        <v>0</v>
      </c>
      <c r="K374" s="9">
        <v>304</v>
      </c>
      <c r="L374" s="9">
        <v>28.16</v>
      </c>
      <c r="M374" s="24">
        <f>+Tabla1[[#This Row],[Costo Venta]]/Tabla1[[#This Row],[Cantidad]]</f>
        <v>1.76</v>
      </c>
      <c r="N374" s="3">
        <v>0.17499999999999999</v>
      </c>
      <c r="O374" s="8">
        <f>+Tabla1[[#This Row],[Conversión]]*Tabla1[[#This Row],[Cantidad]]</f>
        <v>2.8</v>
      </c>
      <c r="P374" s="43">
        <f>Tabla1[[#This Row],[Neto]]-Tabla1[[#This Row],[Costo Venta]]</f>
        <v>275.83999999999997</v>
      </c>
    </row>
    <row r="375" spans="1:16" x14ac:dyDescent="0.25">
      <c r="A375" s="48">
        <v>45224</v>
      </c>
      <c r="B375" s="1" t="s">
        <v>1</v>
      </c>
      <c r="C375" s="1" t="s">
        <v>81</v>
      </c>
      <c r="D375" s="1" t="s">
        <v>524</v>
      </c>
      <c r="E375" s="1" t="s">
        <v>67</v>
      </c>
      <c r="F375" s="1" t="s">
        <v>20</v>
      </c>
      <c r="G375" s="2">
        <v>20</v>
      </c>
      <c r="H375" s="1" t="s">
        <v>523</v>
      </c>
      <c r="I375" s="44">
        <f>Tabla1[[#This Row],[Descuento]]+Tabla1[[#This Row],[Neto]]</f>
        <v>380</v>
      </c>
      <c r="J375" s="9">
        <v>133</v>
      </c>
      <c r="K375" s="9">
        <v>247</v>
      </c>
      <c r="L375" s="9">
        <v>35.618259999999999</v>
      </c>
      <c r="M375" s="24">
        <f>+Tabla1[[#This Row],[Costo Venta]]/Tabla1[[#This Row],[Cantidad]]</f>
        <v>1.780913</v>
      </c>
      <c r="N375" s="3">
        <v>0.17499999999999999</v>
      </c>
      <c r="O375" s="8">
        <f>+Tabla1[[#This Row],[Conversión]]*Tabla1[[#This Row],[Cantidad]]</f>
        <v>3.5</v>
      </c>
      <c r="P375" s="43">
        <f>Tabla1[[#This Row],[Neto]]-Tabla1[[#This Row],[Costo Venta]]</f>
        <v>211.38174000000001</v>
      </c>
    </row>
    <row r="376" spans="1:16" x14ac:dyDescent="0.25">
      <c r="A376" s="48">
        <v>45250</v>
      </c>
      <c r="B376" s="1" t="s">
        <v>1</v>
      </c>
      <c r="C376" s="1" t="s">
        <v>81</v>
      </c>
      <c r="D376" s="1" t="s">
        <v>525</v>
      </c>
      <c r="E376" s="1" t="s">
        <v>67</v>
      </c>
      <c r="F376" s="1" t="s">
        <v>9</v>
      </c>
      <c r="G376" s="2">
        <v>41</v>
      </c>
      <c r="H376" s="1" t="s">
        <v>523</v>
      </c>
      <c r="I376" s="44">
        <f>Tabla1[[#This Row],[Descuento]]+Tabla1[[#This Row],[Neto]]</f>
        <v>779</v>
      </c>
      <c r="J376" s="9">
        <v>272.64999999999998</v>
      </c>
      <c r="K376" s="9">
        <v>506.35</v>
      </c>
      <c r="L376" s="9">
        <v>72.967371999999997</v>
      </c>
      <c r="M376" s="24">
        <f>+Tabla1[[#This Row],[Costo Venta]]/Tabla1[[#This Row],[Cantidad]]</f>
        <v>1.7796919999999998</v>
      </c>
      <c r="N376" s="3">
        <v>0.17499999999999999</v>
      </c>
      <c r="O376" s="8">
        <f>+Tabla1[[#This Row],[Conversión]]*Tabla1[[#This Row],[Cantidad]]</f>
        <v>7.1749999999999998</v>
      </c>
      <c r="P376" s="43">
        <f>Tabla1[[#This Row],[Neto]]-Tabla1[[#This Row],[Costo Venta]]</f>
        <v>433.38262800000001</v>
      </c>
    </row>
    <row r="377" spans="1:16" x14ac:dyDescent="0.25">
      <c r="A377" s="48">
        <v>45272</v>
      </c>
      <c r="B377" s="1" t="s">
        <v>1</v>
      </c>
      <c r="C377" s="1" t="s">
        <v>81</v>
      </c>
      <c r="D377" s="1" t="s">
        <v>526</v>
      </c>
      <c r="E377" s="1" t="s">
        <v>67</v>
      </c>
      <c r="F377" s="1" t="s">
        <v>20</v>
      </c>
      <c r="G377" s="2">
        <v>22</v>
      </c>
      <c r="H377" s="1" t="s">
        <v>523</v>
      </c>
      <c r="I377" s="44">
        <f>Tabla1[[#This Row],[Descuento]]+Tabla1[[#This Row],[Neto]]</f>
        <v>418</v>
      </c>
      <c r="J377" s="9">
        <v>146.30000000000001</v>
      </c>
      <c r="K377" s="9">
        <v>271.7</v>
      </c>
      <c r="L377" s="9">
        <v>36.335859999999997</v>
      </c>
      <c r="M377" s="24">
        <f>+Tabla1[[#This Row],[Costo Venta]]/Tabla1[[#This Row],[Cantidad]]</f>
        <v>1.6516299999999999</v>
      </c>
      <c r="N377" s="3">
        <v>0.17499999999999999</v>
      </c>
      <c r="O377" s="8">
        <f>+Tabla1[[#This Row],[Conversión]]*Tabla1[[#This Row],[Cantidad]]</f>
        <v>3.8499999999999996</v>
      </c>
      <c r="P377" s="43">
        <f>Tabla1[[#This Row],[Neto]]-Tabla1[[#This Row],[Costo Venta]]</f>
        <v>235.36413999999999</v>
      </c>
    </row>
    <row r="378" spans="1:16" x14ac:dyDescent="0.25">
      <c r="A378" s="48">
        <v>45330</v>
      </c>
      <c r="B378" s="1" t="s">
        <v>1</v>
      </c>
      <c r="C378" s="1" t="s">
        <v>81</v>
      </c>
      <c r="D378" s="1" t="s">
        <v>527</v>
      </c>
      <c r="E378" s="1" t="s">
        <v>67</v>
      </c>
      <c r="F378" s="1" t="s">
        <v>9</v>
      </c>
      <c r="G378" s="2">
        <v>3</v>
      </c>
      <c r="H378" s="1" t="s">
        <v>523</v>
      </c>
      <c r="I378" s="44">
        <f>Tabla1[[#This Row],[Descuento]]+Tabla1[[#This Row],[Neto]]</f>
        <v>57</v>
      </c>
      <c r="J378" s="9">
        <v>19.95</v>
      </c>
      <c r="K378" s="9">
        <v>37.049999999999997</v>
      </c>
      <c r="L378" s="9">
        <v>5.0549340000000003</v>
      </c>
      <c r="M378" s="24">
        <f>+Tabla1[[#This Row],[Costo Venta]]/Tabla1[[#This Row],[Cantidad]]</f>
        <v>1.6849780000000001</v>
      </c>
      <c r="N378" s="3">
        <v>0.17499999999999999</v>
      </c>
      <c r="O378" s="8">
        <f>+Tabla1[[#This Row],[Conversión]]*Tabla1[[#This Row],[Cantidad]]</f>
        <v>0.52499999999999991</v>
      </c>
      <c r="P378" s="43">
        <f>Tabla1[[#This Row],[Neto]]-Tabla1[[#This Row],[Costo Venta]]</f>
        <v>31.995065999999998</v>
      </c>
    </row>
    <row r="379" spans="1:16" x14ac:dyDescent="0.25">
      <c r="A379" s="48">
        <v>45519</v>
      </c>
      <c r="B379" s="1" t="s">
        <v>1</v>
      </c>
      <c r="C379" s="1" t="s">
        <v>65</v>
      </c>
      <c r="D379" s="1" t="s">
        <v>528</v>
      </c>
      <c r="E379" s="1" t="s">
        <v>67</v>
      </c>
      <c r="F379" s="1" t="s">
        <v>20</v>
      </c>
      <c r="G379" s="2">
        <v>42</v>
      </c>
      <c r="H379" s="1" t="s">
        <v>523</v>
      </c>
      <c r="I379" s="44">
        <f>Tabla1[[#This Row],[Descuento]]+Tabla1[[#This Row],[Neto]]</f>
        <v>834.95600000000002</v>
      </c>
      <c r="J379" s="9">
        <v>292.23599999999999</v>
      </c>
      <c r="K379" s="9">
        <v>542.72</v>
      </c>
      <c r="L379" s="9">
        <v>73.609536000000006</v>
      </c>
      <c r="M379" s="24">
        <f>+Tabla1[[#This Row],[Costo Venta]]/Tabla1[[#This Row],[Cantidad]]</f>
        <v>1.7526080000000002</v>
      </c>
      <c r="N379" s="3">
        <v>0.17499999999999999</v>
      </c>
      <c r="O379" s="8">
        <f>+Tabla1[[#This Row],[Conversión]]*Tabla1[[#This Row],[Cantidad]]</f>
        <v>7.35</v>
      </c>
      <c r="P379" s="43">
        <f>Tabla1[[#This Row],[Neto]]-Tabla1[[#This Row],[Costo Venta]]</f>
        <v>469.11046400000004</v>
      </c>
    </row>
    <row r="380" spans="1:16" x14ac:dyDescent="0.25">
      <c r="A380" s="48">
        <v>45531</v>
      </c>
      <c r="B380" s="1" t="s">
        <v>1</v>
      </c>
      <c r="C380" s="1" t="s">
        <v>65</v>
      </c>
      <c r="D380" s="1" t="s">
        <v>529</v>
      </c>
      <c r="E380" s="1" t="s">
        <v>67</v>
      </c>
      <c r="F380" s="1" t="s">
        <v>20</v>
      </c>
      <c r="G380" s="2">
        <v>3</v>
      </c>
      <c r="H380" s="1" t="s">
        <v>523</v>
      </c>
      <c r="I380" s="44">
        <f>Tabla1[[#This Row],[Descuento]]+Tabla1[[#This Row],[Neto]]</f>
        <v>59.644000000000005</v>
      </c>
      <c r="J380" s="9">
        <v>20.873999999999999</v>
      </c>
      <c r="K380" s="9">
        <v>38.770000000000003</v>
      </c>
      <c r="L380" s="9">
        <v>5.2578240000000003</v>
      </c>
      <c r="M380" s="24">
        <f>+Tabla1[[#This Row],[Costo Venta]]/Tabla1[[#This Row],[Cantidad]]</f>
        <v>1.7526080000000002</v>
      </c>
      <c r="N380" s="3">
        <v>0.17499999999999999</v>
      </c>
      <c r="O380" s="8">
        <f>+Tabla1[[#This Row],[Conversión]]*Tabla1[[#This Row],[Cantidad]]</f>
        <v>0.52499999999999991</v>
      </c>
      <c r="P380" s="43">
        <f>Tabla1[[#This Row],[Neto]]-Tabla1[[#This Row],[Costo Venta]]</f>
        <v>33.512176000000004</v>
      </c>
    </row>
    <row r="381" spans="1:16" x14ac:dyDescent="0.25">
      <c r="A381" s="48">
        <v>45804</v>
      </c>
      <c r="B381" s="1" t="s">
        <v>1</v>
      </c>
      <c r="C381" s="1" t="s">
        <v>65</v>
      </c>
      <c r="D381" s="1" t="s">
        <v>530</v>
      </c>
      <c r="E381" s="1" t="s">
        <v>71</v>
      </c>
      <c r="F381" s="1" t="s">
        <v>47</v>
      </c>
      <c r="G381" s="2">
        <v>32</v>
      </c>
      <c r="H381" s="1" t="s">
        <v>523</v>
      </c>
      <c r="I381" s="44">
        <f>Tabla1[[#This Row],[Descuento]]+Tabla1[[#This Row],[Neto]]</f>
        <v>636.16200000000003</v>
      </c>
      <c r="J381" s="9">
        <v>286.27199999999999</v>
      </c>
      <c r="K381" s="9">
        <v>349.89</v>
      </c>
      <c r="L381" s="9">
        <v>56.083455999999998</v>
      </c>
      <c r="M381" s="24">
        <f>+Tabla1[[#This Row],[Costo Venta]]/Tabla1[[#This Row],[Cantidad]]</f>
        <v>1.7526079999999999</v>
      </c>
      <c r="N381" s="3">
        <v>0.17499999999999999</v>
      </c>
      <c r="O381" s="8">
        <f>+Tabla1[[#This Row],[Conversión]]*Tabla1[[#This Row],[Cantidad]]</f>
        <v>5.6</v>
      </c>
      <c r="P381" s="43">
        <f>Tabla1[[#This Row],[Neto]]-Tabla1[[#This Row],[Costo Venta]]</f>
        <v>293.80654399999997</v>
      </c>
    </row>
    <row r="382" spans="1:16" x14ac:dyDescent="0.25">
      <c r="A382" s="48">
        <v>44991</v>
      </c>
      <c r="B382" s="1" t="s">
        <v>1</v>
      </c>
      <c r="C382" s="1" t="s">
        <v>109</v>
      </c>
      <c r="D382" s="1" t="s">
        <v>531</v>
      </c>
      <c r="E382" s="1" t="s">
        <v>67</v>
      </c>
      <c r="F382" s="1" t="s">
        <v>9</v>
      </c>
      <c r="G382" s="2">
        <v>76</v>
      </c>
      <c r="H382" s="51" t="s">
        <v>532</v>
      </c>
      <c r="I382" s="44">
        <f>Tabla1[[#This Row],[Descuento]]+Tabla1[[#This Row],[Neto]]</f>
        <v>1444</v>
      </c>
      <c r="J382" s="9">
        <v>505.4</v>
      </c>
      <c r="K382" s="9">
        <v>938.6</v>
      </c>
      <c r="L382" s="9">
        <v>183.640928</v>
      </c>
      <c r="M382" s="24">
        <f>+Tabla1[[#This Row],[Costo Venta]]/Tabla1[[#This Row],[Cantidad]]</f>
        <v>2.416328</v>
      </c>
      <c r="N382" s="3">
        <v>0.17499999999999999</v>
      </c>
      <c r="O382" s="8">
        <f>+Tabla1[[#This Row],[Conversión]]*Tabla1[[#This Row],[Cantidad]]</f>
        <v>13.299999999999999</v>
      </c>
      <c r="P382" s="43">
        <f>Tabla1[[#This Row],[Neto]]-Tabla1[[#This Row],[Costo Venta]]</f>
        <v>754.95907199999999</v>
      </c>
    </row>
    <row r="383" spans="1:16" x14ac:dyDescent="0.25">
      <c r="A383" s="48">
        <v>45075</v>
      </c>
      <c r="B383" s="1" t="s">
        <v>1</v>
      </c>
      <c r="C383" s="1" t="s">
        <v>109</v>
      </c>
      <c r="D383" s="1" t="s">
        <v>533</v>
      </c>
      <c r="E383" s="1" t="s">
        <v>67</v>
      </c>
      <c r="F383" s="1" t="s">
        <v>9</v>
      </c>
      <c r="G383" s="2">
        <v>72</v>
      </c>
      <c r="H383" s="51" t="s">
        <v>532</v>
      </c>
      <c r="I383" s="44">
        <f>Tabla1[[#This Row],[Descuento]]+Tabla1[[#This Row],[Neto]]</f>
        <v>1368</v>
      </c>
      <c r="J383" s="9">
        <v>478.8</v>
      </c>
      <c r="K383" s="9">
        <v>889.2</v>
      </c>
      <c r="L383" s="9">
        <v>190.63115999999999</v>
      </c>
      <c r="M383" s="24">
        <f>+Tabla1[[#This Row],[Costo Venta]]/Tabla1[[#This Row],[Cantidad]]</f>
        <v>2.6476549999999999</v>
      </c>
      <c r="N383" s="3">
        <v>0.17499999999999999</v>
      </c>
      <c r="O383" s="8">
        <f>+Tabla1[[#This Row],[Conversión]]*Tabla1[[#This Row],[Cantidad]]</f>
        <v>12.6</v>
      </c>
      <c r="P383" s="43">
        <f>Tabla1[[#This Row],[Neto]]-Tabla1[[#This Row],[Costo Venta]]</f>
        <v>698.56884000000002</v>
      </c>
    </row>
    <row r="384" spans="1:16" x14ac:dyDescent="0.25">
      <c r="A384" s="48">
        <v>45169</v>
      </c>
      <c r="B384" s="1" t="s">
        <v>1</v>
      </c>
      <c r="C384" s="1" t="s">
        <v>81</v>
      </c>
      <c r="D384" s="1" t="s">
        <v>534</v>
      </c>
      <c r="E384" s="1" t="s">
        <v>67</v>
      </c>
      <c r="F384" s="1" t="s">
        <v>9</v>
      </c>
      <c r="G384" s="2">
        <v>34</v>
      </c>
      <c r="H384" s="51" t="s">
        <v>532</v>
      </c>
      <c r="I384" s="44">
        <f>Tabla1[[#This Row],[Descuento]]+Tabla1[[#This Row],[Neto]]</f>
        <v>646</v>
      </c>
      <c r="J384" s="9">
        <v>226.1</v>
      </c>
      <c r="K384" s="9">
        <v>419.9</v>
      </c>
      <c r="L384" s="9">
        <v>97.978853999999998</v>
      </c>
      <c r="M384" s="24">
        <f>+Tabla1[[#This Row],[Costo Venta]]/Tabla1[[#This Row],[Cantidad]]</f>
        <v>2.8817309999999998</v>
      </c>
      <c r="N384" s="3">
        <v>0.17499999999999999</v>
      </c>
      <c r="O384" s="8">
        <f>+Tabla1[[#This Row],[Conversión]]*Tabla1[[#This Row],[Cantidad]]</f>
        <v>5.9499999999999993</v>
      </c>
      <c r="P384" s="43">
        <f>Tabla1[[#This Row],[Neto]]-Tabla1[[#This Row],[Costo Venta]]</f>
        <v>321.92114599999996</v>
      </c>
    </row>
    <row r="385" spans="1:16" x14ac:dyDescent="0.25">
      <c r="A385" s="48">
        <v>45189</v>
      </c>
      <c r="B385" s="1" t="s">
        <v>1</v>
      </c>
      <c r="C385" s="1" t="s">
        <v>81</v>
      </c>
      <c r="D385" s="1" t="s">
        <v>535</v>
      </c>
      <c r="E385" s="1" t="s">
        <v>67</v>
      </c>
      <c r="F385" s="1" t="s">
        <v>9</v>
      </c>
      <c r="G385" s="2">
        <v>60</v>
      </c>
      <c r="H385" s="51" t="s">
        <v>532</v>
      </c>
      <c r="I385" s="44">
        <f>Tabla1[[#This Row],[Descuento]]+Tabla1[[#This Row],[Neto]]</f>
        <v>1140</v>
      </c>
      <c r="J385" s="9">
        <v>399</v>
      </c>
      <c r="K385" s="9">
        <v>741</v>
      </c>
      <c r="L385" s="9">
        <v>175.17125999999999</v>
      </c>
      <c r="M385" s="24">
        <f>+Tabla1[[#This Row],[Costo Venta]]/Tabla1[[#This Row],[Cantidad]]</f>
        <v>2.919521</v>
      </c>
      <c r="N385" s="3">
        <v>0.17499999999999999</v>
      </c>
      <c r="O385" s="8">
        <f>+Tabla1[[#This Row],[Conversión]]*Tabla1[[#This Row],[Cantidad]]</f>
        <v>10.5</v>
      </c>
      <c r="P385" s="43">
        <f>Tabla1[[#This Row],[Neto]]-Tabla1[[#This Row],[Costo Venta]]</f>
        <v>565.82874000000004</v>
      </c>
    </row>
    <row r="386" spans="1:16" x14ac:dyDescent="0.25">
      <c r="A386" s="48">
        <v>45198</v>
      </c>
      <c r="B386" s="1" t="s">
        <v>1</v>
      </c>
      <c r="C386" s="1" t="s">
        <v>81</v>
      </c>
      <c r="D386" s="1" t="s">
        <v>536</v>
      </c>
      <c r="E386" s="1" t="s">
        <v>67</v>
      </c>
      <c r="F386" s="1" t="s">
        <v>9</v>
      </c>
      <c r="G386" s="2">
        <v>17</v>
      </c>
      <c r="H386" s="51" t="s">
        <v>532</v>
      </c>
      <c r="I386" s="44">
        <f>Tabla1[[#This Row],[Descuento]]+Tabla1[[#This Row],[Neto]]</f>
        <v>323</v>
      </c>
      <c r="J386" s="9">
        <v>113.05</v>
      </c>
      <c r="K386" s="9">
        <v>209.95</v>
      </c>
      <c r="L386" s="9">
        <v>49.631856999999997</v>
      </c>
      <c r="M386" s="24">
        <f>+Tabla1[[#This Row],[Costo Venta]]/Tabla1[[#This Row],[Cantidad]]</f>
        <v>2.9195209999999996</v>
      </c>
      <c r="N386" s="3">
        <v>0.17499999999999999</v>
      </c>
      <c r="O386" s="8">
        <f>+Tabla1[[#This Row],[Conversión]]*Tabla1[[#This Row],[Cantidad]]</f>
        <v>2.9749999999999996</v>
      </c>
      <c r="P386" s="43">
        <f>Tabla1[[#This Row],[Neto]]-Tabla1[[#This Row],[Costo Venta]]</f>
        <v>160.31814299999999</v>
      </c>
    </row>
    <row r="387" spans="1:16" x14ac:dyDescent="0.25">
      <c r="A387" s="48">
        <v>45291</v>
      </c>
      <c r="B387" s="1" t="s">
        <v>1</v>
      </c>
      <c r="C387" s="1" t="s">
        <v>214</v>
      </c>
      <c r="D387" s="1" t="s">
        <v>537</v>
      </c>
      <c r="E387" s="1" t="s">
        <v>71</v>
      </c>
      <c r="F387" s="1" t="s">
        <v>23</v>
      </c>
      <c r="G387" s="2">
        <v>48</v>
      </c>
      <c r="H387" s="51" t="s">
        <v>532</v>
      </c>
      <c r="I387" s="44">
        <f>Tabla1[[#This Row],[Descuento]]+Tabla1[[#This Row],[Neto]]</f>
        <v>912</v>
      </c>
      <c r="J387" s="9">
        <v>228</v>
      </c>
      <c r="K387" s="9">
        <v>684</v>
      </c>
      <c r="L387" s="9">
        <v>138.174576</v>
      </c>
      <c r="M387" s="24">
        <f>+Tabla1[[#This Row],[Costo Venta]]/Tabla1[[#This Row],[Cantidad]]</f>
        <v>2.8786369999999999</v>
      </c>
      <c r="N387" s="3">
        <v>0.17499999999999999</v>
      </c>
      <c r="O387" s="8">
        <f>+Tabla1[[#This Row],[Conversión]]*Tabla1[[#This Row],[Cantidad]]</f>
        <v>8.3999999999999986</v>
      </c>
      <c r="P387" s="43">
        <f>Tabla1[[#This Row],[Neto]]-Tabla1[[#This Row],[Costo Venta]]</f>
        <v>545.825424</v>
      </c>
    </row>
    <row r="388" spans="1:16" x14ac:dyDescent="0.25">
      <c r="A388" s="48">
        <v>45448</v>
      </c>
      <c r="B388" s="1" t="s">
        <v>1</v>
      </c>
      <c r="C388" s="1" t="s">
        <v>81</v>
      </c>
      <c r="D388" s="1" t="s">
        <v>538</v>
      </c>
      <c r="E388" s="1" t="s">
        <v>67</v>
      </c>
      <c r="F388" s="1" t="s">
        <v>9</v>
      </c>
      <c r="G388" s="2">
        <v>36</v>
      </c>
      <c r="H388" s="51" t="s">
        <v>532</v>
      </c>
      <c r="I388" s="44">
        <f>Tabla1[[#This Row],[Descuento]]+Tabla1[[#This Row],[Neto]]</f>
        <v>715.678</v>
      </c>
      <c r="J388" s="9">
        <v>250.488</v>
      </c>
      <c r="K388" s="9">
        <v>465.19</v>
      </c>
      <c r="L388" s="9">
        <v>98.89452</v>
      </c>
      <c r="M388" s="24">
        <f>+Tabla1[[#This Row],[Costo Venta]]/Tabla1[[#This Row],[Cantidad]]</f>
        <v>2.7470699999999999</v>
      </c>
      <c r="N388" s="3">
        <v>0.17499999999999999</v>
      </c>
      <c r="O388" s="8">
        <f>+Tabla1[[#This Row],[Conversión]]*Tabla1[[#This Row],[Cantidad]]</f>
        <v>6.3</v>
      </c>
      <c r="P388" s="43">
        <f>Tabla1[[#This Row],[Neto]]-Tabla1[[#This Row],[Costo Venta]]</f>
        <v>366.29548</v>
      </c>
    </row>
    <row r="389" spans="1:16" x14ac:dyDescent="0.25">
      <c r="A389" s="48">
        <v>45484</v>
      </c>
      <c r="B389" s="1" t="s">
        <v>1</v>
      </c>
      <c r="C389" s="1" t="s">
        <v>29</v>
      </c>
      <c r="D389" s="1" t="s">
        <v>539</v>
      </c>
      <c r="E389" s="1" t="s">
        <v>132</v>
      </c>
      <c r="F389" s="1" t="s">
        <v>32</v>
      </c>
      <c r="G389" s="2">
        <v>38</v>
      </c>
      <c r="H389" s="51" t="s">
        <v>532</v>
      </c>
      <c r="I389" s="44">
        <f>Tabla1[[#This Row],[Descuento]]+Tabla1[[#This Row],[Neto]]</f>
        <v>793.43599999999992</v>
      </c>
      <c r="J389" s="9">
        <v>119.01600000000001</v>
      </c>
      <c r="K389" s="9">
        <v>674.42</v>
      </c>
      <c r="L389" s="9">
        <v>104.480468</v>
      </c>
      <c r="M389" s="24">
        <f>+Tabla1[[#This Row],[Costo Venta]]/Tabla1[[#This Row],[Cantidad]]</f>
        <v>2.7494860000000001</v>
      </c>
      <c r="N389" s="3">
        <v>0.17499999999999999</v>
      </c>
      <c r="O389" s="8">
        <f>+Tabla1[[#This Row],[Conversión]]*Tabla1[[#This Row],[Cantidad]]</f>
        <v>6.6499999999999995</v>
      </c>
      <c r="P389" s="43">
        <f>Tabla1[[#This Row],[Neto]]-Tabla1[[#This Row],[Costo Venta]]</f>
        <v>569.93953199999999</v>
      </c>
    </row>
    <row r="390" spans="1:16" x14ac:dyDescent="0.25">
      <c r="A390" s="48">
        <v>45537</v>
      </c>
      <c r="B390" s="1" t="s">
        <v>1</v>
      </c>
      <c r="C390" s="1" t="s">
        <v>65</v>
      </c>
      <c r="D390" s="1" t="s">
        <v>540</v>
      </c>
      <c r="E390" s="1" t="s">
        <v>67</v>
      </c>
      <c r="F390" s="1" t="s">
        <v>9</v>
      </c>
      <c r="G390" s="2">
        <v>14</v>
      </c>
      <c r="H390" s="51" t="s">
        <v>532</v>
      </c>
      <c r="I390" s="44">
        <f>Tabla1[[#This Row],[Descuento]]+Tabla1[[#This Row],[Neto]]</f>
        <v>278.32400000000001</v>
      </c>
      <c r="J390" s="9">
        <v>125.244</v>
      </c>
      <c r="K390" s="9">
        <v>153.08000000000001</v>
      </c>
      <c r="L390" s="9">
        <v>38.492804</v>
      </c>
      <c r="M390" s="24">
        <f>+Tabla1[[#This Row],[Costo Venta]]/Tabla1[[#This Row],[Cantidad]]</f>
        <v>2.7494860000000001</v>
      </c>
      <c r="N390" s="3">
        <v>0.17499999999999999</v>
      </c>
      <c r="O390" s="8">
        <f>+Tabla1[[#This Row],[Conversión]]*Tabla1[[#This Row],[Cantidad]]</f>
        <v>2.4499999999999997</v>
      </c>
      <c r="P390" s="43">
        <f>Tabla1[[#This Row],[Neto]]-Tabla1[[#This Row],[Costo Venta]]</f>
        <v>114.58719600000001</v>
      </c>
    </row>
    <row r="391" spans="1:16" x14ac:dyDescent="0.25">
      <c r="A391" s="48">
        <v>45561</v>
      </c>
      <c r="B391" s="1" t="s">
        <v>1</v>
      </c>
      <c r="C391" s="1" t="s">
        <v>65</v>
      </c>
      <c r="D391" s="1" t="s">
        <v>541</v>
      </c>
      <c r="E391" s="1" t="s">
        <v>67</v>
      </c>
      <c r="F391" s="1" t="s">
        <v>9</v>
      </c>
      <c r="G391" s="2">
        <v>26</v>
      </c>
      <c r="H391" s="51" t="s">
        <v>532</v>
      </c>
      <c r="I391" s="44">
        <f>Tabla1[[#This Row],[Descuento]]+Tabla1[[#This Row],[Neto]]</f>
        <v>516.87599999999998</v>
      </c>
      <c r="J391" s="9">
        <v>232.596</v>
      </c>
      <c r="K391" s="9">
        <v>284.27999999999997</v>
      </c>
      <c r="L391" s="9">
        <v>71.328243999999998</v>
      </c>
      <c r="M391" s="24">
        <f>+Tabla1[[#This Row],[Costo Venta]]/Tabla1[[#This Row],[Cantidad]]</f>
        <v>2.7433939999999999</v>
      </c>
      <c r="N391" s="3">
        <v>0.17499999999999999</v>
      </c>
      <c r="O391" s="8">
        <f>+Tabla1[[#This Row],[Conversión]]*Tabla1[[#This Row],[Cantidad]]</f>
        <v>4.55</v>
      </c>
      <c r="P391" s="43">
        <f>Tabla1[[#This Row],[Neto]]-Tabla1[[#This Row],[Costo Venta]]</f>
        <v>212.95175599999999</v>
      </c>
    </row>
    <row r="392" spans="1:16" x14ac:dyDescent="0.25">
      <c r="A392" s="48">
        <v>45565</v>
      </c>
      <c r="B392" s="1" t="s">
        <v>1</v>
      </c>
      <c r="C392" s="1" t="s">
        <v>65</v>
      </c>
      <c r="D392" s="1" t="s">
        <v>542</v>
      </c>
      <c r="E392" s="1" t="s">
        <v>67</v>
      </c>
      <c r="F392" s="1" t="s">
        <v>20</v>
      </c>
      <c r="G392" s="2">
        <v>16</v>
      </c>
      <c r="H392" s="51" t="s">
        <v>532</v>
      </c>
      <c r="I392" s="44">
        <f>Tabla1[[#This Row],[Descuento]]+Tabla1[[#This Row],[Neto]]</f>
        <v>318.07799999999997</v>
      </c>
      <c r="J392" s="9">
        <v>111.328</v>
      </c>
      <c r="K392" s="9">
        <v>206.75</v>
      </c>
      <c r="L392" s="9">
        <v>43.894303999999998</v>
      </c>
      <c r="M392" s="24">
        <f>+Tabla1[[#This Row],[Costo Venta]]/Tabla1[[#This Row],[Cantidad]]</f>
        <v>2.7433939999999999</v>
      </c>
      <c r="N392" s="3">
        <v>0.17499999999999999</v>
      </c>
      <c r="O392" s="8">
        <f>+Tabla1[[#This Row],[Conversión]]*Tabla1[[#This Row],[Cantidad]]</f>
        <v>2.8</v>
      </c>
      <c r="P392" s="43">
        <f>Tabla1[[#This Row],[Neto]]-Tabla1[[#This Row],[Costo Venta]]</f>
        <v>162.85569599999999</v>
      </c>
    </row>
    <row r="393" spans="1:16" x14ac:dyDescent="0.25">
      <c r="A393" s="48">
        <v>45575</v>
      </c>
      <c r="B393" s="1" t="s">
        <v>1</v>
      </c>
      <c r="C393" s="1" t="s">
        <v>143</v>
      </c>
      <c r="D393" s="1" t="s">
        <v>337</v>
      </c>
      <c r="E393" s="1" t="s">
        <v>137</v>
      </c>
      <c r="F393" s="1" t="s">
        <v>38</v>
      </c>
      <c r="G393" s="2">
        <v>1</v>
      </c>
      <c r="H393" s="51" t="s">
        <v>532</v>
      </c>
      <c r="I393" s="44">
        <f>Tabla1[[#This Row],[Descuento]]+Tabla1[[#This Row],[Neto]]</f>
        <v>19.88</v>
      </c>
      <c r="J393" s="9">
        <v>19.88</v>
      </c>
      <c r="K393" s="9">
        <v>0</v>
      </c>
      <c r="L393" s="9">
        <v>2.7269749999999999</v>
      </c>
      <c r="M393" s="24">
        <f>+Tabla1[[#This Row],[Costo Venta]]/Tabla1[[#This Row],[Cantidad]]</f>
        <v>2.7269749999999999</v>
      </c>
      <c r="N393" s="3">
        <v>0.17499999999999999</v>
      </c>
      <c r="O393" s="8">
        <f>+Tabla1[[#This Row],[Conversión]]*Tabla1[[#This Row],[Cantidad]]</f>
        <v>0.17499999999999999</v>
      </c>
      <c r="P393" s="43">
        <f>Tabla1[[#This Row],[Neto]]-Tabla1[[#This Row],[Costo Venta]]</f>
        <v>-2.7269749999999999</v>
      </c>
    </row>
    <row r="394" spans="1:16" x14ac:dyDescent="0.25">
      <c r="A394" s="48">
        <v>45583</v>
      </c>
      <c r="B394" s="1" t="s">
        <v>1</v>
      </c>
      <c r="C394" s="1" t="s">
        <v>65</v>
      </c>
      <c r="D394" s="1" t="s">
        <v>543</v>
      </c>
      <c r="E394" s="1" t="s">
        <v>67</v>
      </c>
      <c r="F394" s="1" t="s">
        <v>9</v>
      </c>
      <c r="G394" s="2">
        <v>60</v>
      </c>
      <c r="H394" s="51" t="s">
        <v>532</v>
      </c>
      <c r="I394" s="44">
        <f>Tabla1[[#This Row],[Descuento]]+Tabla1[[#This Row],[Neto]]</f>
        <v>1192.8</v>
      </c>
      <c r="J394" s="9">
        <v>536.76</v>
      </c>
      <c r="K394" s="9">
        <v>656.04</v>
      </c>
      <c r="L394" s="9">
        <v>163.61850000000001</v>
      </c>
      <c r="M394" s="24">
        <f>+Tabla1[[#This Row],[Costo Venta]]/Tabla1[[#This Row],[Cantidad]]</f>
        <v>2.7269750000000004</v>
      </c>
      <c r="N394" s="3">
        <v>0.17499999999999999</v>
      </c>
      <c r="O394" s="8">
        <f>+Tabla1[[#This Row],[Conversión]]*Tabla1[[#This Row],[Cantidad]]</f>
        <v>10.5</v>
      </c>
      <c r="P394" s="43">
        <f>Tabla1[[#This Row],[Neto]]-Tabla1[[#This Row],[Costo Venta]]</f>
        <v>492.42149999999992</v>
      </c>
    </row>
    <row r="395" spans="1:16" x14ac:dyDescent="0.25">
      <c r="A395" s="48">
        <v>45589</v>
      </c>
      <c r="B395" s="1" t="s">
        <v>1</v>
      </c>
      <c r="C395" s="1" t="s">
        <v>65</v>
      </c>
      <c r="D395" s="1" t="s">
        <v>339</v>
      </c>
      <c r="E395" s="1" t="s">
        <v>71</v>
      </c>
      <c r="F395" s="1" t="s">
        <v>30</v>
      </c>
      <c r="G395" s="2">
        <v>44</v>
      </c>
      <c r="H395" s="51" t="s">
        <v>532</v>
      </c>
      <c r="I395" s="44">
        <f>Tabla1[[#This Row],[Descuento]]+Tabla1[[#This Row],[Neto]]</f>
        <v>874.71600000000001</v>
      </c>
      <c r="J395" s="9">
        <v>43.735999999999997</v>
      </c>
      <c r="K395" s="9">
        <v>830.98</v>
      </c>
      <c r="L395" s="9">
        <v>109.34</v>
      </c>
      <c r="M395" s="24">
        <f>+Tabla1[[#This Row],[Costo Venta]]/Tabla1[[#This Row],[Cantidad]]</f>
        <v>2.4849999999999999</v>
      </c>
      <c r="N395" s="3">
        <v>0.17499999999999999</v>
      </c>
      <c r="O395" s="8">
        <f>+Tabla1[[#This Row],[Conversión]]*Tabla1[[#This Row],[Cantidad]]</f>
        <v>7.6999999999999993</v>
      </c>
      <c r="P395" s="43">
        <f>Tabla1[[#This Row],[Neto]]-Tabla1[[#This Row],[Costo Venta]]</f>
        <v>721.64</v>
      </c>
    </row>
    <row r="396" spans="1:16" x14ac:dyDescent="0.25">
      <c r="A396" s="48">
        <v>45594</v>
      </c>
      <c r="B396" s="1" t="s">
        <v>1</v>
      </c>
      <c r="C396" s="1" t="s">
        <v>65</v>
      </c>
      <c r="D396" s="1" t="s">
        <v>544</v>
      </c>
      <c r="E396" s="1" t="s">
        <v>67</v>
      </c>
      <c r="F396" s="1" t="s">
        <v>9</v>
      </c>
      <c r="G396" s="2">
        <v>34</v>
      </c>
      <c r="H396" s="51" t="s">
        <v>532</v>
      </c>
      <c r="I396" s="44">
        <f>Tabla1[[#This Row],[Descuento]]+Tabla1[[#This Row],[Neto]]</f>
        <v>675.92399999999998</v>
      </c>
      <c r="J396" s="9">
        <v>304.16399999999999</v>
      </c>
      <c r="K396" s="9">
        <v>371.76</v>
      </c>
      <c r="L396" s="9">
        <v>86.367140000000006</v>
      </c>
      <c r="M396" s="24">
        <f>+Tabla1[[#This Row],[Costo Venta]]/Tabla1[[#This Row],[Cantidad]]</f>
        <v>2.5402100000000001</v>
      </c>
      <c r="N396" s="3">
        <v>0.17499999999999999</v>
      </c>
      <c r="O396" s="8">
        <f>+Tabla1[[#This Row],[Conversión]]*Tabla1[[#This Row],[Cantidad]]</f>
        <v>5.9499999999999993</v>
      </c>
      <c r="P396" s="43">
        <f>Tabla1[[#This Row],[Neto]]-Tabla1[[#This Row],[Costo Venta]]</f>
        <v>285.39285999999998</v>
      </c>
    </row>
    <row r="397" spans="1:16" x14ac:dyDescent="0.25">
      <c r="A397" s="48">
        <v>45594</v>
      </c>
      <c r="B397" s="1" t="s">
        <v>1</v>
      </c>
      <c r="C397" s="1" t="s">
        <v>65</v>
      </c>
      <c r="D397" s="1" t="s">
        <v>545</v>
      </c>
      <c r="E397" s="1" t="s">
        <v>67</v>
      </c>
      <c r="F397" s="1" t="s">
        <v>20</v>
      </c>
      <c r="G397" s="2">
        <v>16</v>
      </c>
      <c r="H397" s="51" t="s">
        <v>532</v>
      </c>
      <c r="I397" s="44">
        <f>Tabla1[[#This Row],[Descuento]]+Tabla1[[#This Row],[Neto]]</f>
        <v>318.07799999999997</v>
      </c>
      <c r="J397" s="9">
        <v>111.328</v>
      </c>
      <c r="K397" s="9">
        <v>206.75</v>
      </c>
      <c r="L397" s="9">
        <v>40.643360000000001</v>
      </c>
      <c r="M397" s="24">
        <f>+Tabla1[[#This Row],[Costo Venta]]/Tabla1[[#This Row],[Cantidad]]</f>
        <v>2.5402100000000001</v>
      </c>
      <c r="N397" s="3">
        <v>0.17499999999999999</v>
      </c>
      <c r="O397" s="8">
        <f>+Tabla1[[#This Row],[Conversión]]*Tabla1[[#This Row],[Cantidad]]</f>
        <v>2.8</v>
      </c>
      <c r="P397" s="43">
        <f>Tabla1[[#This Row],[Neto]]-Tabla1[[#This Row],[Costo Venta]]</f>
        <v>166.10664</v>
      </c>
    </row>
    <row r="398" spans="1:16" x14ac:dyDescent="0.25">
      <c r="A398" s="48">
        <v>45628</v>
      </c>
      <c r="B398" s="1" t="s">
        <v>1</v>
      </c>
      <c r="C398" s="1" t="s">
        <v>65</v>
      </c>
      <c r="D398" s="1" t="s">
        <v>546</v>
      </c>
      <c r="E398" s="1" t="s">
        <v>67</v>
      </c>
      <c r="F398" s="1" t="s">
        <v>20</v>
      </c>
      <c r="G398" s="2">
        <v>81</v>
      </c>
      <c r="H398" s="51" t="s">
        <v>532</v>
      </c>
      <c r="I398" s="44">
        <f>Tabla1[[#This Row],[Descuento]]+Tabla1[[#This Row],[Neto]]</f>
        <v>1610.2759999999998</v>
      </c>
      <c r="J398" s="9">
        <v>724.62599999999998</v>
      </c>
      <c r="K398" s="9">
        <v>885.65</v>
      </c>
      <c r="L398" s="9">
        <v>207.393291</v>
      </c>
      <c r="M398" s="24">
        <f>+Tabla1[[#This Row],[Costo Venta]]/Tabla1[[#This Row],[Cantidad]]</f>
        <v>2.5604110000000002</v>
      </c>
      <c r="N398" s="3">
        <v>0.17499999999999999</v>
      </c>
      <c r="O398" s="8">
        <f>+Tabla1[[#This Row],[Conversión]]*Tabla1[[#This Row],[Cantidad]]</f>
        <v>14.174999999999999</v>
      </c>
      <c r="P398" s="43">
        <f>Tabla1[[#This Row],[Neto]]-Tabla1[[#This Row],[Costo Venta]]</f>
        <v>678.256709</v>
      </c>
    </row>
    <row r="399" spans="1:16" x14ac:dyDescent="0.25">
      <c r="A399" s="48">
        <v>45639</v>
      </c>
      <c r="B399" s="1" t="s">
        <v>1</v>
      </c>
      <c r="C399" s="1" t="s">
        <v>143</v>
      </c>
      <c r="D399" s="1" t="s">
        <v>353</v>
      </c>
      <c r="E399" s="1" t="s">
        <v>132</v>
      </c>
      <c r="F399" s="1" t="s">
        <v>29</v>
      </c>
      <c r="G399" s="2">
        <v>62</v>
      </c>
      <c r="H399" s="51" t="s">
        <v>532</v>
      </c>
      <c r="I399" s="44">
        <f>Tabla1[[#This Row],[Descuento]]+Tabla1[[#This Row],[Neto]]</f>
        <v>1232.558</v>
      </c>
      <c r="J399" s="9">
        <v>369.76799999999997</v>
      </c>
      <c r="K399" s="9">
        <v>862.79</v>
      </c>
      <c r="L399" s="9">
        <v>158.74548200000001</v>
      </c>
      <c r="M399" s="24">
        <f>+Tabla1[[#This Row],[Costo Venta]]/Tabla1[[#This Row],[Cantidad]]</f>
        <v>2.5604110000000002</v>
      </c>
      <c r="N399" s="3">
        <v>0.17499999999999999</v>
      </c>
      <c r="O399" s="8">
        <f>+Tabla1[[#This Row],[Conversión]]*Tabla1[[#This Row],[Cantidad]]</f>
        <v>10.85</v>
      </c>
      <c r="P399" s="43">
        <f>Tabla1[[#This Row],[Neto]]-Tabla1[[#This Row],[Costo Venta]]</f>
        <v>704.04451799999993</v>
      </c>
    </row>
    <row r="400" spans="1:16" x14ac:dyDescent="0.25">
      <c r="A400" s="48">
        <v>45674</v>
      </c>
      <c r="B400" s="1" t="s">
        <v>1</v>
      </c>
      <c r="C400" s="1" t="s">
        <v>65</v>
      </c>
      <c r="D400" s="1" t="s">
        <v>361</v>
      </c>
      <c r="E400" s="1" t="s">
        <v>137</v>
      </c>
      <c r="F400" s="1" t="s">
        <v>38</v>
      </c>
      <c r="G400" s="2">
        <v>47</v>
      </c>
      <c r="H400" s="51" t="s">
        <v>532</v>
      </c>
      <c r="I400" s="44">
        <f>Tabla1[[#This Row],[Descuento]]+Tabla1[[#This Row],[Neto]]</f>
        <v>934.36400000000003</v>
      </c>
      <c r="J400" s="9">
        <v>140.154</v>
      </c>
      <c r="K400" s="9">
        <v>794.21</v>
      </c>
      <c r="L400" s="9">
        <v>70.770343999999994</v>
      </c>
      <c r="M400" s="24">
        <f>+Tabla1[[#This Row],[Costo Venta]]/Tabla1[[#This Row],[Cantidad]]</f>
        <v>1.505752</v>
      </c>
      <c r="N400" s="3">
        <v>0.17499999999999999</v>
      </c>
      <c r="O400" s="8">
        <f>+Tabla1[[#This Row],[Conversión]]*Tabla1[[#This Row],[Cantidad]]</f>
        <v>8.2249999999999996</v>
      </c>
      <c r="P400" s="43">
        <f>Tabla1[[#This Row],[Neto]]-Tabla1[[#This Row],[Costo Venta]]</f>
        <v>723.43965600000001</v>
      </c>
    </row>
    <row r="401" spans="1:16" x14ac:dyDescent="0.25">
      <c r="A401" s="48">
        <v>45698</v>
      </c>
      <c r="B401" s="1" t="s">
        <v>1</v>
      </c>
      <c r="C401" s="1" t="s">
        <v>65</v>
      </c>
      <c r="D401" s="1" t="s">
        <v>547</v>
      </c>
      <c r="E401" s="1" t="s">
        <v>67</v>
      </c>
      <c r="F401" s="1" t="s">
        <v>9</v>
      </c>
      <c r="G401" s="2">
        <v>21</v>
      </c>
      <c r="H401" s="51" t="s">
        <v>532</v>
      </c>
      <c r="I401" s="44">
        <f>Tabla1[[#This Row],[Descuento]]+Tabla1[[#This Row],[Neto]]</f>
        <v>417.476</v>
      </c>
      <c r="J401" s="9">
        <v>187.86600000000001</v>
      </c>
      <c r="K401" s="9">
        <v>229.61</v>
      </c>
      <c r="L401" s="9">
        <v>31.922331</v>
      </c>
      <c r="M401" s="24">
        <f>+Tabla1[[#This Row],[Costo Venta]]/Tabla1[[#This Row],[Cantidad]]</f>
        <v>1.520111</v>
      </c>
      <c r="N401" s="3">
        <v>0.17499999999999999</v>
      </c>
      <c r="O401" s="8">
        <f>+Tabla1[[#This Row],[Conversión]]*Tabla1[[#This Row],[Cantidad]]</f>
        <v>3.6749999999999998</v>
      </c>
      <c r="P401" s="43">
        <f>Tabla1[[#This Row],[Neto]]-Tabla1[[#This Row],[Costo Venta]]</f>
        <v>197.68766900000003</v>
      </c>
    </row>
    <row r="402" spans="1:16" x14ac:dyDescent="0.25">
      <c r="A402" s="48">
        <v>45699</v>
      </c>
      <c r="B402" s="1" t="s">
        <v>1</v>
      </c>
      <c r="C402" s="1" t="s">
        <v>65</v>
      </c>
      <c r="D402" s="1" t="s">
        <v>548</v>
      </c>
      <c r="E402" s="1" t="s">
        <v>67</v>
      </c>
      <c r="F402" s="1" t="s">
        <v>9</v>
      </c>
      <c r="G402" s="2">
        <v>20</v>
      </c>
      <c r="H402" s="51" t="s">
        <v>532</v>
      </c>
      <c r="I402" s="44">
        <f>Tabla1[[#This Row],[Descuento]]+Tabla1[[#This Row],[Neto]]</f>
        <v>397.6</v>
      </c>
      <c r="J402" s="9">
        <v>178.92</v>
      </c>
      <c r="K402" s="9">
        <v>218.68</v>
      </c>
      <c r="L402" s="9">
        <v>32.110439999999997</v>
      </c>
      <c r="M402" s="24">
        <f>+Tabla1[[#This Row],[Costo Venta]]/Tabla1[[#This Row],[Cantidad]]</f>
        <v>1.6055219999999999</v>
      </c>
      <c r="N402" s="3">
        <v>0.17499999999999999</v>
      </c>
      <c r="O402" s="8">
        <f>+Tabla1[[#This Row],[Conversión]]*Tabla1[[#This Row],[Cantidad]]</f>
        <v>3.5</v>
      </c>
      <c r="P402" s="43">
        <f>Tabla1[[#This Row],[Neto]]-Tabla1[[#This Row],[Costo Venta]]</f>
        <v>186.56956000000002</v>
      </c>
    </row>
    <row r="403" spans="1:16" x14ac:dyDescent="0.25">
      <c r="A403" s="48">
        <v>45721</v>
      </c>
      <c r="B403" s="1" t="s">
        <v>1</v>
      </c>
      <c r="C403" s="1" t="s">
        <v>65</v>
      </c>
      <c r="D403" s="1" t="s">
        <v>369</v>
      </c>
      <c r="E403" s="1" t="s">
        <v>67</v>
      </c>
      <c r="F403" s="1" t="s">
        <v>43</v>
      </c>
      <c r="G403" s="2">
        <v>40</v>
      </c>
      <c r="H403" s="51" t="s">
        <v>532</v>
      </c>
      <c r="I403" s="44">
        <f>Tabla1[[#This Row],[Descuento]]+Tabla1[[#This Row],[Neto]]</f>
        <v>795.2</v>
      </c>
      <c r="J403" s="9">
        <v>238.56</v>
      </c>
      <c r="K403" s="9">
        <v>556.64</v>
      </c>
      <c r="L403" s="9">
        <v>64.657560000000004</v>
      </c>
      <c r="M403" s="24">
        <f>+Tabla1[[#This Row],[Costo Venta]]/Tabla1[[#This Row],[Cantidad]]</f>
        <v>1.6164390000000002</v>
      </c>
      <c r="N403" s="3">
        <v>0.17499999999999999</v>
      </c>
      <c r="O403" s="8">
        <f>+Tabla1[[#This Row],[Conversión]]*Tabla1[[#This Row],[Cantidad]]</f>
        <v>7</v>
      </c>
      <c r="P403" s="43">
        <f>Tabla1[[#This Row],[Neto]]-Tabla1[[#This Row],[Costo Venta]]</f>
        <v>491.98244</v>
      </c>
    </row>
    <row r="404" spans="1:16" x14ac:dyDescent="0.25">
      <c r="A404" s="48">
        <v>45749</v>
      </c>
      <c r="B404" s="1" t="s">
        <v>1</v>
      </c>
      <c r="C404" s="1" t="s">
        <v>65</v>
      </c>
      <c r="D404" s="1" t="s">
        <v>549</v>
      </c>
      <c r="E404" s="1" t="s">
        <v>67</v>
      </c>
      <c r="F404" s="1" t="s">
        <v>41</v>
      </c>
      <c r="G404" s="2">
        <v>84</v>
      </c>
      <c r="H404" s="51" t="s">
        <v>532</v>
      </c>
      <c r="I404" s="44">
        <f>Tabla1[[#This Row],[Descuento]]+Tabla1[[#This Row],[Neto]]</f>
        <v>1669.9160000000002</v>
      </c>
      <c r="J404" s="9">
        <v>500.976</v>
      </c>
      <c r="K404" s="9">
        <v>1168.94</v>
      </c>
      <c r="L404" s="9">
        <v>129.72708</v>
      </c>
      <c r="M404" s="24">
        <f>+Tabla1[[#This Row],[Costo Venta]]/Tabla1[[#This Row],[Cantidad]]</f>
        <v>1.54437</v>
      </c>
      <c r="N404" s="3">
        <v>0.17499999999999999</v>
      </c>
      <c r="O404" s="8">
        <f>+Tabla1[[#This Row],[Conversión]]*Tabla1[[#This Row],[Cantidad]]</f>
        <v>14.7</v>
      </c>
      <c r="P404" s="43">
        <f>Tabla1[[#This Row],[Neto]]-Tabla1[[#This Row],[Costo Venta]]</f>
        <v>1039.2129199999999</v>
      </c>
    </row>
    <row r="405" spans="1:16" x14ac:dyDescent="0.25">
      <c r="A405" s="48">
        <v>45797</v>
      </c>
      <c r="B405" s="1" t="s">
        <v>1</v>
      </c>
      <c r="C405" s="1" t="s">
        <v>65</v>
      </c>
      <c r="D405" s="1" t="s">
        <v>550</v>
      </c>
      <c r="E405" s="1" t="s">
        <v>67</v>
      </c>
      <c r="F405" s="1" t="s">
        <v>9</v>
      </c>
      <c r="G405" s="2">
        <v>24</v>
      </c>
      <c r="H405" s="51" t="s">
        <v>532</v>
      </c>
      <c r="I405" s="44">
        <f>Tabla1[[#This Row],[Descuento]]+Tabla1[[#This Row],[Neto]]</f>
        <v>477.12400000000002</v>
      </c>
      <c r="J405" s="9">
        <v>214.70400000000001</v>
      </c>
      <c r="K405" s="9">
        <v>262.42</v>
      </c>
      <c r="L405" s="9">
        <v>45.901944</v>
      </c>
      <c r="M405" s="24">
        <f>+Tabla1[[#This Row],[Costo Venta]]/Tabla1[[#This Row],[Cantidad]]</f>
        <v>1.9125810000000001</v>
      </c>
      <c r="N405" s="3">
        <v>0.17499999999999999</v>
      </c>
      <c r="O405" s="8">
        <f>+Tabla1[[#This Row],[Conversión]]*Tabla1[[#This Row],[Cantidad]]</f>
        <v>4.1999999999999993</v>
      </c>
      <c r="P405" s="43">
        <f>Tabla1[[#This Row],[Neto]]-Tabla1[[#This Row],[Costo Venta]]</f>
        <v>216.518056</v>
      </c>
    </row>
    <row r="406" spans="1:16" x14ac:dyDescent="0.25">
      <c r="A406" s="48">
        <v>45799</v>
      </c>
      <c r="B406" s="1" t="s">
        <v>1</v>
      </c>
      <c r="C406" s="1" t="s">
        <v>65</v>
      </c>
      <c r="D406" s="1" t="s">
        <v>379</v>
      </c>
      <c r="E406" s="1" t="s">
        <v>71</v>
      </c>
      <c r="F406" s="1" t="s">
        <v>45</v>
      </c>
      <c r="G406" s="2">
        <v>36</v>
      </c>
      <c r="H406" s="51" t="s">
        <v>532</v>
      </c>
      <c r="I406" s="44">
        <f>Tabla1[[#This Row],[Descuento]]+Tabla1[[#This Row],[Neto]]</f>
        <v>715.68399999999997</v>
      </c>
      <c r="J406" s="9">
        <v>214.70400000000001</v>
      </c>
      <c r="K406" s="9">
        <v>500.98</v>
      </c>
      <c r="L406" s="9">
        <v>68.852915999999993</v>
      </c>
      <c r="M406" s="24">
        <f>+Tabla1[[#This Row],[Costo Venta]]/Tabla1[[#This Row],[Cantidad]]</f>
        <v>1.9125809999999999</v>
      </c>
      <c r="N406" s="3">
        <v>0.17499999999999999</v>
      </c>
      <c r="O406" s="8">
        <f>+Tabla1[[#This Row],[Conversión]]*Tabla1[[#This Row],[Cantidad]]</f>
        <v>6.3</v>
      </c>
      <c r="P406" s="43">
        <f>Tabla1[[#This Row],[Neto]]-Tabla1[[#This Row],[Costo Venta]]</f>
        <v>432.12708400000002</v>
      </c>
    </row>
    <row r="407" spans="1:16" x14ac:dyDescent="0.25">
      <c r="A407" s="48">
        <v>45854</v>
      </c>
      <c r="B407" s="1" t="s">
        <v>1</v>
      </c>
      <c r="C407" s="1" t="s">
        <v>65</v>
      </c>
      <c r="D407" s="1" t="s">
        <v>551</v>
      </c>
      <c r="E407" s="1" t="s">
        <v>132</v>
      </c>
      <c r="F407" s="1" t="s">
        <v>46</v>
      </c>
      <c r="G407" s="2">
        <v>3</v>
      </c>
      <c r="H407" s="51" t="s">
        <v>532</v>
      </c>
      <c r="I407" s="44">
        <f>Tabla1[[#This Row],[Descuento]]+Tabla1[[#This Row],[Neto]]</f>
        <v>59.635999999999996</v>
      </c>
      <c r="J407" s="9">
        <v>8.9459999999999997</v>
      </c>
      <c r="K407" s="9">
        <v>50.69</v>
      </c>
      <c r="L407" s="9">
        <v>5.8671119999999997</v>
      </c>
      <c r="M407" s="24">
        <f>+Tabla1[[#This Row],[Costo Venta]]/Tabla1[[#This Row],[Cantidad]]</f>
        <v>1.9557039999999999</v>
      </c>
      <c r="N407" s="3">
        <v>0.17499999999999999</v>
      </c>
      <c r="O407" s="8">
        <f>+Tabla1[[#This Row],[Conversión]]*Tabla1[[#This Row],[Cantidad]]</f>
        <v>0.52499999999999991</v>
      </c>
      <c r="P407" s="43">
        <f>Tabla1[[#This Row],[Neto]]-Tabla1[[#This Row],[Costo Venta]]</f>
        <v>44.822887999999999</v>
      </c>
    </row>
    <row r="408" spans="1:16" x14ac:dyDescent="0.25">
      <c r="A408" s="48">
        <v>45908</v>
      </c>
      <c r="B408" s="1" t="s">
        <v>1</v>
      </c>
      <c r="C408" s="1" t="s">
        <v>65</v>
      </c>
      <c r="D408" s="1" t="s">
        <v>552</v>
      </c>
      <c r="E408" s="1" t="s">
        <v>67</v>
      </c>
      <c r="F408" s="1" t="s">
        <v>9</v>
      </c>
      <c r="G408" s="2">
        <v>36</v>
      </c>
      <c r="H408" s="51" t="s">
        <v>532</v>
      </c>
      <c r="I408" s="44">
        <f>Tabla1[[#This Row],[Descuento]]+Tabla1[[#This Row],[Neto]]</f>
        <v>715.67599999999993</v>
      </c>
      <c r="J408" s="9">
        <v>322.05599999999998</v>
      </c>
      <c r="K408" s="9">
        <v>393.62</v>
      </c>
      <c r="L408" s="9">
        <v>69.950519999999997</v>
      </c>
      <c r="M408" s="24">
        <f>+Tabla1[[#This Row],[Costo Venta]]/Tabla1[[#This Row],[Cantidad]]</f>
        <v>1.9430699999999999</v>
      </c>
      <c r="N408" s="3">
        <v>0.17499999999999999</v>
      </c>
      <c r="O408" s="8">
        <f>+Tabla1[[#This Row],[Conversión]]*Tabla1[[#This Row],[Cantidad]]</f>
        <v>6.3</v>
      </c>
      <c r="P408" s="43">
        <f>Tabla1[[#This Row],[Neto]]-Tabla1[[#This Row],[Costo Venta]]</f>
        <v>323.66948000000002</v>
      </c>
    </row>
    <row r="409" spans="1:16" x14ac:dyDescent="0.25">
      <c r="A409" s="48">
        <v>45917</v>
      </c>
      <c r="B409" s="1" t="s">
        <v>1</v>
      </c>
      <c r="C409" s="1" t="s">
        <v>65</v>
      </c>
      <c r="D409" s="1" t="s">
        <v>553</v>
      </c>
      <c r="E409" s="1" t="s">
        <v>67</v>
      </c>
      <c r="F409" s="1" t="s">
        <v>9</v>
      </c>
      <c r="G409" s="2">
        <v>47</v>
      </c>
      <c r="H409" s="51" t="s">
        <v>532</v>
      </c>
      <c r="I409" s="45">
        <f>Tabla1[[#This Row],[Descuento]]+Tabla1[[#This Row],[Neto]]</f>
        <v>934.36199999999997</v>
      </c>
      <c r="J409" s="9">
        <v>420.46199999999999</v>
      </c>
      <c r="K409" s="9">
        <v>513.9</v>
      </c>
      <c r="L409" s="9">
        <v>118.864316</v>
      </c>
      <c r="M409" s="27">
        <v>2.04</v>
      </c>
      <c r="N409" s="3">
        <v>0.17499999999999999</v>
      </c>
      <c r="O409" s="8">
        <f>+Tabla1[[#This Row],[Conversión]]*Tabla1[[#This Row],[Cantidad]]</f>
        <v>8.2249999999999996</v>
      </c>
      <c r="P409" s="43">
        <f>Tabla1[[#This Row],[Neto]]-Tabla1[[#This Row],[Costo Venta]]</f>
        <v>395.03568399999995</v>
      </c>
    </row>
    <row r="410" spans="1:16" x14ac:dyDescent="0.25">
      <c r="A410" s="48">
        <v>45922</v>
      </c>
      <c r="B410" s="1" t="s">
        <v>1</v>
      </c>
      <c r="C410" s="1" t="s">
        <v>65</v>
      </c>
      <c r="D410" s="1" t="s">
        <v>554</v>
      </c>
      <c r="E410" s="1" t="s">
        <v>67</v>
      </c>
      <c r="F410" s="1" t="s">
        <v>9</v>
      </c>
      <c r="G410" s="2">
        <v>10</v>
      </c>
      <c r="H410" s="51" t="s">
        <v>532</v>
      </c>
      <c r="I410" s="44">
        <f>Tabla1[[#This Row],[Descuento]]+Tabla1[[#This Row],[Neto]]</f>
        <v>198.8</v>
      </c>
      <c r="J410" s="9">
        <v>89.46</v>
      </c>
      <c r="K410" s="9">
        <v>109.34</v>
      </c>
      <c r="L410" s="9">
        <v>20.446149999999999</v>
      </c>
      <c r="M410" s="24">
        <f>+Tabla1[[#This Row],[Costo Venta]]/Tabla1[[#This Row],[Cantidad]]</f>
        <v>2.0446149999999998</v>
      </c>
      <c r="N410" s="3">
        <v>0.17499999999999999</v>
      </c>
      <c r="O410" s="8">
        <f>+Tabla1[[#This Row],[Conversión]]*Tabla1[[#This Row],[Cantidad]]</f>
        <v>1.75</v>
      </c>
      <c r="P410" s="43">
        <f>Tabla1[[#This Row],[Neto]]-Tabla1[[#This Row],[Costo Venta]]</f>
        <v>88.89385</v>
      </c>
    </row>
    <row r="411" spans="1:16" x14ac:dyDescent="0.25">
      <c r="A411" s="48">
        <v>44958</v>
      </c>
      <c r="B411" s="1" t="s">
        <v>1</v>
      </c>
      <c r="C411" s="1" t="s">
        <v>109</v>
      </c>
      <c r="D411" s="1" t="s">
        <v>555</v>
      </c>
      <c r="E411" s="1" t="s">
        <v>67</v>
      </c>
      <c r="F411" s="1" t="s">
        <v>24</v>
      </c>
      <c r="G411" s="2">
        <v>10</v>
      </c>
      <c r="H411" s="51" t="s">
        <v>556</v>
      </c>
      <c r="I411" s="44">
        <f>Tabla1[[#This Row],[Descuento]]+Tabla1[[#This Row],[Neto]]</f>
        <v>350</v>
      </c>
      <c r="J411" s="9">
        <v>105</v>
      </c>
      <c r="K411" s="9">
        <v>245</v>
      </c>
      <c r="L411" s="9">
        <v>24.9</v>
      </c>
      <c r="M411" s="24">
        <f>+Tabla1[[#This Row],[Costo Venta]]/Tabla1[[#This Row],[Cantidad]]</f>
        <v>2.4899999999999998</v>
      </c>
      <c r="N411" s="3">
        <v>0.17499999999999999</v>
      </c>
      <c r="O411" s="8">
        <f>+Tabla1[[#This Row],[Conversión]]*Tabla1[[#This Row],[Cantidad]]</f>
        <v>1.75</v>
      </c>
      <c r="P411" s="43">
        <f>Tabla1[[#This Row],[Neto]]-Tabla1[[#This Row],[Costo Venta]]</f>
        <v>220.1</v>
      </c>
    </row>
    <row r="412" spans="1:16" x14ac:dyDescent="0.25">
      <c r="A412" s="48">
        <v>45098</v>
      </c>
      <c r="B412" s="1" t="s">
        <v>1</v>
      </c>
      <c r="C412" s="1" t="s">
        <v>65</v>
      </c>
      <c r="D412" s="1" t="s">
        <v>557</v>
      </c>
      <c r="E412" s="1" t="s">
        <v>67</v>
      </c>
      <c r="F412" s="1" t="s">
        <v>9</v>
      </c>
      <c r="G412" s="2">
        <v>30</v>
      </c>
      <c r="H412" s="51" t="s">
        <v>556</v>
      </c>
      <c r="I412" s="44">
        <f>Tabla1[[#This Row],[Descuento]]+Tabla1[[#This Row],[Neto]]</f>
        <v>1050</v>
      </c>
      <c r="J412" s="9">
        <v>367.5</v>
      </c>
      <c r="K412" s="9">
        <v>682.5</v>
      </c>
      <c r="L412" s="9">
        <v>94.23</v>
      </c>
      <c r="M412" s="24">
        <f>+Tabla1[[#This Row],[Costo Venta]]/Tabla1[[#This Row],[Cantidad]]</f>
        <v>3.141</v>
      </c>
      <c r="N412" s="3">
        <v>0.17499999999999999</v>
      </c>
      <c r="O412" s="8">
        <f>+Tabla1[[#This Row],[Conversión]]*Tabla1[[#This Row],[Cantidad]]</f>
        <v>5.25</v>
      </c>
      <c r="P412" s="43">
        <f>Tabla1[[#This Row],[Neto]]-Tabla1[[#This Row],[Costo Venta]]</f>
        <v>588.27</v>
      </c>
    </row>
    <row r="413" spans="1:16" x14ac:dyDescent="0.25">
      <c r="A413" s="48">
        <v>45203</v>
      </c>
      <c r="B413" s="1" t="s">
        <v>1</v>
      </c>
      <c r="C413" s="1" t="s">
        <v>29</v>
      </c>
      <c r="D413" s="1" t="s">
        <v>514</v>
      </c>
      <c r="E413" s="1" t="s">
        <v>67</v>
      </c>
      <c r="F413" s="1" t="s">
        <v>9</v>
      </c>
      <c r="G413" s="2">
        <v>35</v>
      </c>
      <c r="H413" s="51" t="s">
        <v>556</v>
      </c>
      <c r="I413" s="44">
        <f>Tabla1[[#This Row],[Descuento]]+Tabla1[[#This Row],[Neto]]</f>
        <v>1225</v>
      </c>
      <c r="J413" s="9">
        <v>428.75</v>
      </c>
      <c r="K413" s="9">
        <v>796.25</v>
      </c>
      <c r="L413" s="9">
        <v>113.181005</v>
      </c>
      <c r="M413" s="24">
        <f>+Tabla1[[#This Row],[Costo Venta]]/Tabla1[[#This Row],[Cantidad]]</f>
        <v>3.233743</v>
      </c>
      <c r="N413" s="3">
        <v>0.17499999999999999</v>
      </c>
      <c r="O413" s="8">
        <f>+Tabla1[[#This Row],[Conversión]]*Tabla1[[#This Row],[Cantidad]]</f>
        <v>6.125</v>
      </c>
      <c r="P413" s="43">
        <f>Tabla1[[#This Row],[Neto]]-Tabla1[[#This Row],[Costo Venta]]</f>
        <v>683.06899499999997</v>
      </c>
    </row>
    <row r="414" spans="1:16" x14ac:dyDescent="0.25">
      <c r="A414" s="48">
        <v>45061</v>
      </c>
      <c r="B414" s="1" t="s">
        <v>1</v>
      </c>
      <c r="C414" s="1" t="s">
        <v>109</v>
      </c>
      <c r="D414" s="1" t="s">
        <v>558</v>
      </c>
      <c r="E414" s="1" t="s">
        <v>67</v>
      </c>
      <c r="F414" s="1" t="s">
        <v>20</v>
      </c>
      <c r="G414" s="2">
        <v>53</v>
      </c>
      <c r="H414" s="1" t="s">
        <v>559</v>
      </c>
      <c r="I414" s="44">
        <f>Tabla1[[#This Row],[Descuento]]+Tabla1[[#This Row],[Neto]]</f>
        <v>1855</v>
      </c>
      <c r="J414" s="9">
        <v>649.25</v>
      </c>
      <c r="K414" s="9">
        <v>1205.75</v>
      </c>
      <c r="L414" s="9">
        <v>96.998427000000007</v>
      </c>
      <c r="M414" s="24">
        <f>+Tabla1[[#This Row],[Costo Venta]]/Tabla1[[#This Row],[Cantidad]]</f>
        <v>1.8301590000000001</v>
      </c>
      <c r="N414" s="3">
        <v>0.17499999999999999</v>
      </c>
      <c r="O414" s="8">
        <f>+Tabla1[[#This Row],[Conversión]]*Tabla1[[#This Row],[Cantidad]]</f>
        <v>9.2749999999999986</v>
      </c>
      <c r="P414" s="43">
        <f>Tabla1[[#This Row],[Neto]]-Tabla1[[#This Row],[Costo Venta]]</f>
        <v>1108.751573</v>
      </c>
    </row>
    <row r="415" spans="1:16" x14ac:dyDescent="0.25">
      <c r="A415" s="48">
        <v>45075</v>
      </c>
      <c r="B415" s="1" t="s">
        <v>1</v>
      </c>
      <c r="C415" s="1" t="s">
        <v>109</v>
      </c>
      <c r="D415" s="1" t="s">
        <v>533</v>
      </c>
      <c r="E415" s="1" t="s">
        <v>67</v>
      </c>
      <c r="F415" s="1" t="s">
        <v>9</v>
      </c>
      <c r="G415" s="2">
        <v>6</v>
      </c>
      <c r="H415" s="51" t="s">
        <v>560</v>
      </c>
      <c r="I415" s="44">
        <f>Tabla1[[#This Row],[Descuento]]+Tabla1[[#This Row],[Neto]]</f>
        <v>210</v>
      </c>
      <c r="J415" s="9">
        <v>73.5</v>
      </c>
      <c r="K415" s="9">
        <v>136.5</v>
      </c>
      <c r="L415" s="9">
        <v>16.249998000000001</v>
      </c>
      <c r="M415" s="24">
        <f>+Tabla1[[#This Row],[Costo Venta]]/Tabla1[[#This Row],[Cantidad]]</f>
        <v>2.7083330000000001</v>
      </c>
      <c r="N415" s="3">
        <v>0.17499999999999999</v>
      </c>
      <c r="O415" s="8">
        <f>+Tabla1[[#This Row],[Conversión]]*Tabla1[[#This Row],[Cantidad]]</f>
        <v>1.0499999999999998</v>
      </c>
      <c r="P415" s="43">
        <f>Tabla1[[#This Row],[Neto]]-Tabla1[[#This Row],[Costo Venta]]</f>
        <v>120.25000199999999</v>
      </c>
    </row>
    <row r="416" spans="1:16" x14ac:dyDescent="0.25">
      <c r="A416" s="48">
        <v>45484</v>
      </c>
      <c r="B416" s="1" t="s">
        <v>1</v>
      </c>
      <c r="C416" s="1" t="s">
        <v>29</v>
      </c>
      <c r="D416" s="1" t="s">
        <v>539</v>
      </c>
      <c r="E416" s="1" t="s">
        <v>132</v>
      </c>
      <c r="F416" s="1" t="s">
        <v>32</v>
      </c>
      <c r="G416" s="2">
        <v>17</v>
      </c>
      <c r="H416" s="51" t="s">
        <v>560</v>
      </c>
      <c r="I416" s="44">
        <f>Tabla1[[#This Row],[Descuento]]+Tabla1[[#This Row],[Neto]]</f>
        <v>466.48199999999997</v>
      </c>
      <c r="J416" s="9">
        <v>69.971999999999994</v>
      </c>
      <c r="K416" s="9">
        <v>396.51</v>
      </c>
      <c r="L416" s="9">
        <v>46.437199999999997</v>
      </c>
      <c r="M416" s="24">
        <f>+Tabla1[[#This Row],[Costo Venta]]/Tabla1[[#This Row],[Cantidad]]</f>
        <v>2.7315999999999998</v>
      </c>
      <c r="N416" s="3">
        <v>0.17499999999999999</v>
      </c>
      <c r="O416" s="8">
        <f>+Tabla1[[#This Row],[Conversión]]*Tabla1[[#This Row],[Cantidad]]</f>
        <v>2.9749999999999996</v>
      </c>
      <c r="P416" s="43">
        <f>Tabla1[[#This Row],[Neto]]-Tabla1[[#This Row],[Costo Venta]]</f>
        <v>350.07279999999997</v>
      </c>
    </row>
    <row r="417" spans="1:16" x14ac:dyDescent="0.25">
      <c r="A417" s="48">
        <v>45908</v>
      </c>
      <c r="B417" s="1" t="s">
        <v>1</v>
      </c>
      <c r="C417" s="1" t="s">
        <v>65</v>
      </c>
      <c r="D417" s="1" t="s">
        <v>552</v>
      </c>
      <c r="E417" s="1" t="s">
        <v>67</v>
      </c>
      <c r="F417" s="1" t="s">
        <v>9</v>
      </c>
      <c r="G417" s="2">
        <v>6</v>
      </c>
      <c r="H417" s="51" t="s">
        <v>560</v>
      </c>
      <c r="I417" s="44">
        <f>Tabla1[[#This Row],[Descuento]]+Tabla1[[#This Row],[Neto]]</f>
        <v>155.27600000000001</v>
      </c>
      <c r="J417" s="9">
        <v>69.876000000000005</v>
      </c>
      <c r="K417" s="9">
        <v>85.4</v>
      </c>
      <c r="L417" s="9">
        <v>16.389600000000002</v>
      </c>
      <c r="M417" s="24">
        <f>+Tabla1[[#This Row],[Costo Venta]]/Tabla1[[#This Row],[Cantidad]]</f>
        <v>2.7316000000000003</v>
      </c>
      <c r="N417" s="3">
        <v>0.17499999999999999</v>
      </c>
      <c r="O417" s="8">
        <f>+Tabla1[[#This Row],[Conversión]]*Tabla1[[#This Row],[Cantidad]]</f>
        <v>1.0499999999999998</v>
      </c>
      <c r="P417" s="43">
        <f>Tabla1[[#This Row],[Neto]]-Tabla1[[#This Row],[Costo Venta]]</f>
        <v>69.010400000000004</v>
      </c>
    </row>
    <row r="418" spans="1:16" x14ac:dyDescent="0.25">
      <c r="A418" s="48">
        <v>45098</v>
      </c>
      <c r="B418" s="1" t="s">
        <v>1</v>
      </c>
      <c r="C418" s="1" t="s">
        <v>65</v>
      </c>
      <c r="D418" s="1" t="s">
        <v>557</v>
      </c>
      <c r="E418" s="1" t="s">
        <v>67</v>
      </c>
      <c r="F418" s="1" t="s">
        <v>9</v>
      </c>
      <c r="G418" s="2">
        <v>2</v>
      </c>
      <c r="H418" s="51" t="s">
        <v>561</v>
      </c>
      <c r="I418" s="44">
        <f>Tabla1[[#This Row],[Descuento]]+Tabla1[[#This Row],[Neto]]</f>
        <v>70</v>
      </c>
      <c r="J418" s="9">
        <v>24.5</v>
      </c>
      <c r="K418" s="9">
        <v>45.5</v>
      </c>
      <c r="L418" s="9">
        <v>6.5640000000000001</v>
      </c>
      <c r="M418" s="24">
        <f>+Tabla1[[#This Row],[Costo Venta]]/Tabla1[[#This Row],[Cantidad]]</f>
        <v>3.282</v>
      </c>
      <c r="N418" s="3">
        <v>0.17499999999999999</v>
      </c>
      <c r="O418" s="8">
        <f>+Tabla1[[#This Row],[Conversión]]*Tabla1[[#This Row],[Cantidad]]</f>
        <v>0.35</v>
      </c>
      <c r="P418" s="43">
        <f>Tabla1[[#This Row],[Neto]]-Tabla1[[#This Row],[Costo Venta]]</f>
        <v>38.936</v>
      </c>
    </row>
    <row r="419" spans="1:16" x14ac:dyDescent="0.25">
      <c r="A419" s="48">
        <v>45106</v>
      </c>
      <c r="B419" s="1" t="s">
        <v>1</v>
      </c>
      <c r="C419" s="1" t="s">
        <v>65</v>
      </c>
      <c r="D419" s="1" t="s">
        <v>562</v>
      </c>
      <c r="E419" s="1" t="s">
        <v>67</v>
      </c>
      <c r="F419" s="1" t="s">
        <v>9</v>
      </c>
      <c r="G419" s="2">
        <v>3</v>
      </c>
      <c r="H419" s="51" t="s">
        <v>561</v>
      </c>
      <c r="I419" s="44">
        <f>Tabla1[[#This Row],[Descuento]]+Tabla1[[#This Row],[Neto]]</f>
        <v>105</v>
      </c>
      <c r="J419" s="9">
        <v>36.75</v>
      </c>
      <c r="K419" s="9">
        <v>68.25</v>
      </c>
      <c r="L419" s="9">
        <v>9.8460000000000001</v>
      </c>
      <c r="M419" s="24">
        <f>+Tabla1[[#This Row],[Costo Venta]]/Tabla1[[#This Row],[Cantidad]]</f>
        <v>3.282</v>
      </c>
      <c r="N419" s="3">
        <v>0.17499999999999999</v>
      </c>
      <c r="O419" s="8">
        <f>+Tabla1[[#This Row],[Conversión]]*Tabla1[[#This Row],[Cantidad]]</f>
        <v>0.52499999999999991</v>
      </c>
      <c r="P419" s="43">
        <f>Tabla1[[#This Row],[Neto]]-Tabla1[[#This Row],[Costo Venta]]</f>
        <v>58.403999999999996</v>
      </c>
    </row>
    <row r="420" spans="1:16" x14ac:dyDescent="0.25">
      <c r="A420" s="48">
        <v>45058</v>
      </c>
      <c r="B420" s="1" t="s">
        <v>1</v>
      </c>
      <c r="C420" s="1" t="s">
        <v>81</v>
      </c>
      <c r="D420" s="1" t="s">
        <v>499</v>
      </c>
      <c r="E420" s="1" t="s">
        <v>137</v>
      </c>
      <c r="F420" s="1" t="s">
        <v>19</v>
      </c>
      <c r="G420" s="2">
        <v>2</v>
      </c>
      <c r="H420" s="1" t="s">
        <v>563</v>
      </c>
      <c r="I420" s="44">
        <f>Tabla1[[#This Row],[Descuento]]+Tabla1[[#This Row],[Neto]]</f>
        <v>70</v>
      </c>
      <c r="J420" s="9">
        <v>0</v>
      </c>
      <c r="K420" s="9">
        <v>70</v>
      </c>
      <c r="L420" s="9">
        <v>2.38</v>
      </c>
      <c r="M420" s="24">
        <f>+Tabla1[[#This Row],[Costo Venta]]/Tabla1[[#This Row],[Cantidad]]</f>
        <v>1.19</v>
      </c>
      <c r="N420" s="3">
        <v>0.123</v>
      </c>
      <c r="O420" s="8">
        <f>+Tabla1[[#This Row],[Conversión]]*Tabla1[[#This Row],[Cantidad]]</f>
        <v>0.246</v>
      </c>
      <c r="P420" s="43">
        <f>Tabla1[[#This Row],[Neto]]-Tabla1[[#This Row],[Costo Venta]]</f>
        <v>67.62</v>
      </c>
    </row>
    <row r="421" spans="1:16" x14ac:dyDescent="0.25">
      <c r="A421" s="48">
        <v>44942</v>
      </c>
      <c r="B421" s="1" t="s">
        <v>1</v>
      </c>
      <c r="C421" s="1" t="s">
        <v>109</v>
      </c>
      <c r="D421" s="1" t="s">
        <v>420</v>
      </c>
      <c r="E421" s="1" t="s">
        <v>67</v>
      </c>
      <c r="F421" s="1" t="s">
        <v>9</v>
      </c>
      <c r="G421" s="2">
        <v>2</v>
      </c>
      <c r="H421" s="51" t="s">
        <v>564</v>
      </c>
      <c r="I421" s="44">
        <f>Tabla1[[#This Row],[Descuento]]+Tabla1[[#This Row],[Neto]]</f>
        <v>70</v>
      </c>
      <c r="J421" s="9">
        <v>24.5</v>
      </c>
      <c r="K421" s="9">
        <v>45.5</v>
      </c>
      <c r="L421" s="9">
        <v>3.67</v>
      </c>
      <c r="M421" s="24">
        <f>+Tabla1[[#This Row],[Costo Venta]]/Tabla1[[#This Row],[Cantidad]]</f>
        <v>1.835</v>
      </c>
      <c r="N421" s="3">
        <v>0.123</v>
      </c>
      <c r="O421" s="8">
        <f>+Tabla1[[#This Row],[Conversión]]*Tabla1[[#This Row],[Cantidad]]</f>
        <v>0.246</v>
      </c>
      <c r="P421" s="43">
        <f>Tabla1[[#This Row],[Neto]]-Tabla1[[#This Row],[Costo Venta]]</f>
        <v>41.83</v>
      </c>
    </row>
    <row r="422" spans="1:16" x14ac:dyDescent="0.25">
      <c r="A422" s="48">
        <v>45132</v>
      </c>
      <c r="B422" s="1" t="s">
        <v>1</v>
      </c>
      <c r="C422" s="1" t="s">
        <v>65</v>
      </c>
      <c r="D422" s="1" t="s">
        <v>512</v>
      </c>
      <c r="E422" s="1" t="s">
        <v>67</v>
      </c>
      <c r="F422" s="1" t="s">
        <v>9</v>
      </c>
      <c r="G422" s="2">
        <v>2</v>
      </c>
      <c r="H422" s="51" t="s">
        <v>564</v>
      </c>
      <c r="I422" s="44">
        <f>Tabla1[[#This Row],[Descuento]]+Tabla1[[#This Row],[Neto]]</f>
        <v>70</v>
      </c>
      <c r="J422" s="9">
        <v>24.5</v>
      </c>
      <c r="K422" s="9">
        <v>45.5</v>
      </c>
      <c r="L422" s="9">
        <v>2.6</v>
      </c>
      <c r="M422" s="24">
        <f>+Tabla1[[#This Row],[Costo Venta]]/Tabla1[[#This Row],[Cantidad]]</f>
        <v>1.3</v>
      </c>
      <c r="N422" s="3">
        <v>0.123</v>
      </c>
      <c r="O422" s="8">
        <f>+Tabla1[[#This Row],[Conversión]]*Tabla1[[#This Row],[Cantidad]]</f>
        <v>0.246</v>
      </c>
      <c r="P422" s="43">
        <f>Tabla1[[#This Row],[Neto]]-Tabla1[[#This Row],[Costo Venta]]</f>
        <v>42.9</v>
      </c>
    </row>
    <row r="423" spans="1:16" x14ac:dyDescent="0.25">
      <c r="A423" s="48">
        <v>45203</v>
      </c>
      <c r="B423" s="1" t="s">
        <v>1</v>
      </c>
      <c r="C423" s="1" t="s">
        <v>29</v>
      </c>
      <c r="D423" s="1" t="s">
        <v>514</v>
      </c>
      <c r="E423" s="1" t="s">
        <v>67</v>
      </c>
      <c r="F423" s="1" t="s">
        <v>9</v>
      </c>
      <c r="G423" s="2">
        <v>5</v>
      </c>
      <c r="H423" s="51" t="s">
        <v>564</v>
      </c>
      <c r="I423" s="44">
        <f>Tabla1[[#This Row],[Descuento]]+Tabla1[[#This Row],[Neto]]</f>
        <v>175</v>
      </c>
      <c r="J423" s="9">
        <v>61.25</v>
      </c>
      <c r="K423" s="9">
        <v>113.75</v>
      </c>
      <c r="L423" s="9">
        <v>6.5</v>
      </c>
      <c r="M423" s="24">
        <f>+Tabla1[[#This Row],[Costo Venta]]/Tabla1[[#This Row],[Cantidad]]</f>
        <v>1.3</v>
      </c>
      <c r="N423" s="3">
        <v>0.123</v>
      </c>
      <c r="O423" s="8">
        <f>+Tabla1[[#This Row],[Conversión]]*Tabla1[[#This Row],[Cantidad]]</f>
        <v>0.61499999999999999</v>
      </c>
      <c r="P423" s="43">
        <f>Tabla1[[#This Row],[Neto]]-Tabla1[[#This Row],[Costo Venta]]</f>
        <v>107.25</v>
      </c>
    </row>
    <row r="424" spans="1:16" x14ac:dyDescent="0.25">
      <c r="A424" s="48">
        <v>45274</v>
      </c>
      <c r="B424" s="1" t="s">
        <v>1</v>
      </c>
      <c r="C424" s="1" t="s">
        <v>81</v>
      </c>
      <c r="D424" s="1" t="s">
        <v>516</v>
      </c>
      <c r="E424" s="1" t="s">
        <v>67</v>
      </c>
      <c r="F424" s="1" t="s">
        <v>9</v>
      </c>
      <c r="G424" s="2">
        <v>1</v>
      </c>
      <c r="H424" s="51" t="s">
        <v>564</v>
      </c>
      <c r="I424" s="44">
        <f>Tabla1[[#This Row],[Descuento]]+Tabla1[[#This Row],[Neto]]</f>
        <v>35</v>
      </c>
      <c r="J424" s="9">
        <v>12.25</v>
      </c>
      <c r="K424" s="9">
        <v>22.75</v>
      </c>
      <c r="L424" s="9">
        <v>1.3</v>
      </c>
      <c r="M424" s="24">
        <f>+Tabla1[[#This Row],[Costo Venta]]/Tabla1[[#This Row],[Cantidad]]</f>
        <v>1.3</v>
      </c>
      <c r="N424" s="3">
        <v>0.123</v>
      </c>
      <c r="O424" s="8">
        <f>+Tabla1[[#This Row],[Conversión]]*Tabla1[[#This Row],[Cantidad]]</f>
        <v>0.123</v>
      </c>
      <c r="P424" s="43">
        <f>Tabla1[[#This Row],[Neto]]-Tabla1[[#This Row],[Costo Venta]]</f>
        <v>21.45</v>
      </c>
    </row>
    <row r="425" spans="1:16" x14ac:dyDescent="0.25">
      <c r="A425" s="48">
        <v>45189</v>
      </c>
      <c r="B425" s="1" t="s">
        <v>1</v>
      </c>
      <c r="C425" s="1" t="s">
        <v>81</v>
      </c>
      <c r="D425" s="1" t="s">
        <v>535</v>
      </c>
      <c r="E425" s="1" t="s">
        <v>67</v>
      </c>
      <c r="F425" s="1" t="s">
        <v>9</v>
      </c>
      <c r="G425" s="2">
        <v>1</v>
      </c>
      <c r="H425" s="51" t="s">
        <v>565</v>
      </c>
      <c r="I425" s="44">
        <f>Tabla1[[#This Row],[Descuento]]+Tabla1[[#This Row],[Neto]]</f>
        <v>35</v>
      </c>
      <c r="J425" s="9">
        <v>12.25</v>
      </c>
      <c r="K425" s="9">
        <v>22.75</v>
      </c>
      <c r="L425" s="9">
        <v>2.99</v>
      </c>
      <c r="M425" s="24">
        <f>+Tabla1[[#This Row],[Costo Venta]]/Tabla1[[#This Row],[Cantidad]]</f>
        <v>2.99</v>
      </c>
      <c r="N425" s="3">
        <v>0.123</v>
      </c>
      <c r="O425" s="8">
        <f>+Tabla1[[#This Row],[Conversión]]*Tabla1[[#This Row],[Cantidad]]</f>
        <v>0.123</v>
      </c>
      <c r="P425" s="43">
        <f>Tabla1[[#This Row],[Neto]]-Tabla1[[#This Row],[Costo Venta]]</f>
        <v>19.759999999999998</v>
      </c>
    </row>
    <row r="426" spans="1:16" x14ac:dyDescent="0.25">
      <c r="A426" s="48">
        <v>45291</v>
      </c>
      <c r="B426" s="1" t="s">
        <v>1</v>
      </c>
      <c r="C426" s="1" t="s">
        <v>214</v>
      </c>
      <c r="D426" s="1" t="s">
        <v>537</v>
      </c>
      <c r="E426" s="1" t="s">
        <v>71</v>
      </c>
      <c r="F426" s="1" t="s">
        <v>23</v>
      </c>
      <c r="G426" s="2">
        <v>1</v>
      </c>
      <c r="H426" s="51" t="s">
        <v>565</v>
      </c>
      <c r="I426" s="44">
        <f>Tabla1[[#This Row],[Descuento]]+Tabla1[[#This Row],[Neto]]</f>
        <v>35</v>
      </c>
      <c r="J426" s="9">
        <v>8.75</v>
      </c>
      <c r="K426" s="9">
        <v>26.25</v>
      </c>
      <c r="L426" s="9">
        <v>2.99</v>
      </c>
      <c r="M426" s="24">
        <f>+Tabla1[[#This Row],[Costo Venta]]/Tabla1[[#This Row],[Cantidad]]</f>
        <v>2.99</v>
      </c>
      <c r="N426" s="3">
        <v>0.123</v>
      </c>
      <c r="O426" s="8">
        <f>+Tabla1[[#This Row],[Conversión]]*Tabla1[[#This Row],[Cantidad]]</f>
        <v>0.123</v>
      </c>
      <c r="P426" s="43">
        <f>Tabla1[[#This Row],[Neto]]-Tabla1[[#This Row],[Costo Venta]]</f>
        <v>23.259999999999998</v>
      </c>
    </row>
    <row r="427" spans="1:16" x14ac:dyDescent="0.25">
      <c r="A427" s="48">
        <v>45448</v>
      </c>
      <c r="B427" s="1" t="s">
        <v>1</v>
      </c>
      <c r="C427" s="1" t="s">
        <v>81</v>
      </c>
      <c r="D427" s="1" t="s">
        <v>538</v>
      </c>
      <c r="E427" s="1" t="s">
        <v>67</v>
      </c>
      <c r="F427" s="1" t="s">
        <v>9</v>
      </c>
      <c r="G427" s="2">
        <v>3</v>
      </c>
      <c r="H427" s="51" t="s">
        <v>565</v>
      </c>
      <c r="I427" s="44">
        <f>Tabla1[[#This Row],[Descuento]]+Tabla1[[#This Row],[Neto]]</f>
        <v>77.644000000000005</v>
      </c>
      <c r="J427" s="9">
        <v>27.173999999999999</v>
      </c>
      <c r="K427" s="9">
        <v>50.47</v>
      </c>
      <c r="L427" s="9">
        <v>7.62</v>
      </c>
      <c r="M427" s="24">
        <f>+Tabla1[[#This Row],[Costo Venta]]/Tabla1[[#This Row],[Cantidad]]</f>
        <v>2.54</v>
      </c>
      <c r="N427" s="3">
        <v>0.123</v>
      </c>
      <c r="O427" s="8">
        <f>+Tabla1[[#This Row],[Conversión]]*Tabla1[[#This Row],[Cantidad]]</f>
        <v>0.36899999999999999</v>
      </c>
      <c r="P427" s="43">
        <f>Tabla1[[#This Row],[Neto]]-Tabla1[[#This Row],[Costo Venta]]</f>
        <v>42.85</v>
      </c>
    </row>
    <row r="428" spans="1:16" x14ac:dyDescent="0.25">
      <c r="A428" s="48">
        <v>45583</v>
      </c>
      <c r="B428" s="1" t="s">
        <v>1</v>
      </c>
      <c r="C428" s="1" t="s">
        <v>65</v>
      </c>
      <c r="D428" s="1" t="s">
        <v>543</v>
      </c>
      <c r="E428" s="1" t="s">
        <v>67</v>
      </c>
      <c r="F428" s="1" t="s">
        <v>9</v>
      </c>
      <c r="G428" s="2">
        <v>1</v>
      </c>
      <c r="H428" s="51" t="s">
        <v>565</v>
      </c>
      <c r="I428" s="44">
        <f>Tabla1[[#This Row],[Descuento]]+Tabla1[[#This Row],[Neto]]</f>
        <v>25.876000000000001</v>
      </c>
      <c r="J428" s="9">
        <v>11.646000000000001</v>
      </c>
      <c r="K428" s="9">
        <v>14.23</v>
      </c>
      <c r="L428" s="9">
        <v>2.5299999999999998</v>
      </c>
      <c r="M428" s="24">
        <f>+Tabla1[[#This Row],[Costo Venta]]/Tabla1[[#This Row],[Cantidad]]</f>
        <v>2.5299999999999998</v>
      </c>
      <c r="N428" s="3">
        <v>0.123</v>
      </c>
      <c r="O428" s="8">
        <f>+Tabla1[[#This Row],[Conversión]]*Tabla1[[#This Row],[Cantidad]]</f>
        <v>0.123</v>
      </c>
      <c r="P428" s="43">
        <f>Tabla1[[#This Row],[Neto]]-Tabla1[[#This Row],[Costo Venta]]</f>
        <v>11.700000000000001</v>
      </c>
    </row>
    <row r="429" spans="1:16" x14ac:dyDescent="0.25">
      <c r="A429" s="48">
        <v>45589</v>
      </c>
      <c r="B429" s="1" t="s">
        <v>1</v>
      </c>
      <c r="C429" s="1" t="s">
        <v>65</v>
      </c>
      <c r="D429" s="1" t="s">
        <v>339</v>
      </c>
      <c r="E429" s="1" t="s">
        <v>71</v>
      </c>
      <c r="F429" s="1" t="s">
        <v>30</v>
      </c>
      <c r="G429" s="2">
        <v>2</v>
      </c>
      <c r="H429" s="51" t="s">
        <v>565</v>
      </c>
      <c r="I429" s="44">
        <f>Tabla1[[#This Row],[Descuento]]+Tabla1[[#This Row],[Neto]]</f>
        <v>51.758000000000003</v>
      </c>
      <c r="J429" s="9">
        <v>2.5880000000000001</v>
      </c>
      <c r="K429" s="9">
        <v>49.17</v>
      </c>
      <c r="L429" s="9">
        <v>5.0488879999999998</v>
      </c>
      <c r="M429" s="24">
        <f>+Tabla1[[#This Row],[Costo Venta]]/Tabla1[[#This Row],[Cantidad]]</f>
        <v>2.5244439999999999</v>
      </c>
      <c r="N429" s="3">
        <v>0.123</v>
      </c>
      <c r="O429" s="8">
        <f>+Tabla1[[#This Row],[Conversión]]*Tabla1[[#This Row],[Cantidad]]</f>
        <v>0.246</v>
      </c>
      <c r="P429" s="43">
        <f>Tabla1[[#This Row],[Neto]]-Tabla1[[#This Row],[Costo Venta]]</f>
        <v>44.121112000000004</v>
      </c>
    </row>
    <row r="430" spans="1:16" x14ac:dyDescent="0.25">
      <c r="A430" s="48">
        <v>45628</v>
      </c>
      <c r="B430" s="1" t="s">
        <v>1</v>
      </c>
      <c r="C430" s="1" t="s">
        <v>65</v>
      </c>
      <c r="D430" s="1" t="s">
        <v>546</v>
      </c>
      <c r="E430" s="1" t="s">
        <v>67</v>
      </c>
      <c r="F430" s="1" t="s">
        <v>20</v>
      </c>
      <c r="G430" s="2">
        <v>2</v>
      </c>
      <c r="H430" s="51" t="s">
        <v>565</v>
      </c>
      <c r="I430" s="44">
        <f>Tabla1[[#This Row],[Descuento]]+Tabla1[[#This Row],[Neto]]</f>
        <v>51.762</v>
      </c>
      <c r="J430" s="9">
        <v>23.292000000000002</v>
      </c>
      <c r="K430" s="9">
        <v>28.47</v>
      </c>
      <c r="L430" s="9">
        <v>5.1109419999999997</v>
      </c>
      <c r="M430" s="24">
        <f>+Tabla1[[#This Row],[Costo Venta]]/Tabla1[[#This Row],[Cantidad]]</f>
        <v>2.5554709999999998</v>
      </c>
      <c r="N430" s="3">
        <v>0.123</v>
      </c>
      <c r="O430" s="8">
        <f>+Tabla1[[#This Row],[Conversión]]*Tabla1[[#This Row],[Cantidad]]</f>
        <v>0.246</v>
      </c>
      <c r="P430" s="43">
        <f>Tabla1[[#This Row],[Neto]]-Tabla1[[#This Row],[Costo Venta]]</f>
        <v>23.359057999999997</v>
      </c>
    </row>
    <row r="431" spans="1:16" x14ac:dyDescent="0.25">
      <c r="A431" s="48">
        <v>45058</v>
      </c>
      <c r="B431" s="1" t="s">
        <v>1</v>
      </c>
      <c r="C431" s="1" t="s">
        <v>81</v>
      </c>
      <c r="D431" s="1" t="s">
        <v>499</v>
      </c>
      <c r="E431" s="1" t="s">
        <v>137</v>
      </c>
      <c r="F431" s="1" t="s">
        <v>19</v>
      </c>
      <c r="G431" s="2">
        <v>6</v>
      </c>
      <c r="H431" s="1" t="s">
        <v>566</v>
      </c>
      <c r="I431" s="44">
        <f>Tabla1[[#This Row],[Descuento]]+Tabla1[[#This Row],[Neto]]</f>
        <v>210</v>
      </c>
      <c r="J431" s="9">
        <v>0</v>
      </c>
      <c r="K431" s="9">
        <v>210</v>
      </c>
      <c r="L431" s="9">
        <v>8.9700000000000006</v>
      </c>
      <c r="M431" s="24">
        <f>+Tabla1[[#This Row],[Costo Venta]]/Tabla1[[#This Row],[Cantidad]]</f>
        <v>1.4950000000000001</v>
      </c>
      <c r="N431" s="3">
        <v>0.123</v>
      </c>
      <c r="O431" s="8">
        <f>+Tabla1[[#This Row],[Conversión]]*Tabla1[[#This Row],[Cantidad]]</f>
        <v>0.73799999999999999</v>
      </c>
      <c r="P431" s="43">
        <f>Tabla1[[#This Row],[Neto]]-Tabla1[[#This Row],[Costo Venta]]</f>
        <v>201.03</v>
      </c>
    </row>
    <row r="432" spans="1:16" x14ac:dyDescent="0.25">
      <c r="A432" s="48">
        <v>45096</v>
      </c>
      <c r="B432" s="1" t="s">
        <v>1</v>
      </c>
      <c r="C432" s="1" t="s">
        <v>81</v>
      </c>
      <c r="D432" s="1" t="s">
        <v>501</v>
      </c>
      <c r="E432" s="1" t="s">
        <v>67</v>
      </c>
      <c r="F432" s="1" t="s">
        <v>26</v>
      </c>
      <c r="G432" s="2">
        <v>6</v>
      </c>
      <c r="H432" s="1" t="s">
        <v>566</v>
      </c>
      <c r="I432" s="44">
        <f>Tabla1[[#This Row],[Descuento]]+Tabla1[[#This Row],[Neto]]</f>
        <v>210</v>
      </c>
      <c r="J432" s="9">
        <v>63</v>
      </c>
      <c r="K432" s="9">
        <v>147</v>
      </c>
      <c r="L432" s="9">
        <v>8.9700000000000006</v>
      </c>
      <c r="M432" s="24">
        <f>+Tabla1[[#This Row],[Costo Venta]]/Tabla1[[#This Row],[Cantidad]]</f>
        <v>1.4950000000000001</v>
      </c>
      <c r="N432" s="3">
        <v>0.123</v>
      </c>
      <c r="O432" s="8">
        <f>+Tabla1[[#This Row],[Conversión]]*Tabla1[[#This Row],[Cantidad]]</f>
        <v>0.73799999999999999</v>
      </c>
      <c r="P432" s="43">
        <f>Tabla1[[#This Row],[Neto]]-Tabla1[[#This Row],[Costo Venta]]</f>
        <v>138.03</v>
      </c>
    </row>
    <row r="433" spans="1:16" x14ac:dyDescent="0.25">
      <c r="A433" s="48">
        <v>45222</v>
      </c>
      <c r="B433" s="1" t="s">
        <v>1</v>
      </c>
      <c r="C433" s="1" t="s">
        <v>81</v>
      </c>
      <c r="D433" s="1" t="s">
        <v>502</v>
      </c>
      <c r="E433" s="1" t="s">
        <v>67</v>
      </c>
      <c r="F433" s="1" t="s">
        <v>26</v>
      </c>
      <c r="G433" s="2">
        <v>1</v>
      </c>
      <c r="H433" s="1" t="s">
        <v>566</v>
      </c>
      <c r="I433" s="44">
        <f>Tabla1[[#This Row],[Descuento]]+Tabla1[[#This Row],[Neto]]</f>
        <v>35</v>
      </c>
      <c r="J433" s="9">
        <v>10.5</v>
      </c>
      <c r="K433" s="9">
        <v>24.5</v>
      </c>
      <c r="L433" s="9">
        <v>1.3666670000000001</v>
      </c>
      <c r="M433" s="24">
        <f>+Tabla1[[#This Row],[Costo Venta]]/Tabla1[[#This Row],[Cantidad]]</f>
        <v>1.3666670000000001</v>
      </c>
      <c r="N433" s="3">
        <v>0.123</v>
      </c>
      <c r="O433" s="8">
        <f>+Tabla1[[#This Row],[Conversión]]*Tabla1[[#This Row],[Cantidad]]</f>
        <v>0.123</v>
      </c>
      <c r="P433" s="43">
        <f>Tabla1[[#This Row],[Neto]]-Tabla1[[#This Row],[Costo Venta]]</f>
        <v>23.133333</v>
      </c>
    </row>
    <row r="434" spans="1:16" x14ac:dyDescent="0.25">
      <c r="A434" s="48">
        <v>44935</v>
      </c>
      <c r="B434" s="1" t="s">
        <v>1</v>
      </c>
      <c r="C434" s="1" t="s">
        <v>65</v>
      </c>
      <c r="D434" s="1" t="s">
        <v>114</v>
      </c>
      <c r="E434" s="1" t="s">
        <v>67</v>
      </c>
      <c r="F434" s="1" t="s">
        <v>15</v>
      </c>
      <c r="G434" s="2">
        <v>18</v>
      </c>
      <c r="H434" s="51" t="s">
        <v>567</v>
      </c>
      <c r="I434" s="44">
        <f>Tabla1[[#This Row],[Descuento]]+Tabla1[[#This Row],[Neto]]</f>
        <v>630</v>
      </c>
      <c r="J434" s="9">
        <v>126</v>
      </c>
      <c r="K434" s="9">
        <v>504</v>
      </c>
      <c r="L434" s="9">
        <v>26.44875</v>
      </c>
      <c r="M434" s="24">
        <f>+Tabla1[[#This Row],[Costo Venta]]/Tabla1[[#This Row],[Cantidad]]</f>
        <v>1.4693750000000001</v>
      </c>
      <c r="N434" s="3">
        <v>0.123</v>
      </c>
      <c r="O434" s="8">
        <f>+Tabla1[[#This Row],[Conversión]]*Tabla1[[#This Row],[Cantidad]]</f>
        <v>2.214</v>
      </c>
      <c r="P434" s="43">
        <f>Tabla1[[#This Row],[Neto]]-Tabla1[[#This Row],[Costo Venta]]</f>
        <v>477.55124999999998</v>
      </c>
    </row>
    <row r="435" spans="1:16" x14ac:dyDescent="0.25">
      <c r="A435" s="48">
        <v>44942</v>
      </c>
      <c r="B435" s="1" t="s">
        <v>1</v>
      </c>
      <c r="C435" s="1" t="s">
        <v>109</v>
      </c>
      <c r="D435" s="1" t="s">
        <v>420</v>
      </c>
      <c r="E435" s="1" t="s">
        <v>67</v>
      </c>
      <c r="F435" s="1" t="s">
        <v>9</v>
      </c>
      <c r="G435" s="2">
        <v>6</v>
      </c>
      <c r="H435" s="51" t="s">
        <v>567</v>
      </c>
      <c r="I435" s="44">
        <f>Tabla1[[#This Row],[Descuento]]+Tabla1[[#This Row],[Neto]]</f>
        <v>210</v>
      </c>
      <c r="J435" s="9">
        <v>73.5</v>
      </c>
      <c r="K435" s="9">
        <v>136.5</v>
      </c>
      <c r="L435" s="9">
        <v>8.6999999999999993</v>
      </c>
      <c r="M435" s="24">
        <f>+Tabla1[[#This Row],[Costo Venta]]/Tabla1[[#This Row],[Cantidad]]</f>
        <v>1.45</v>
      </c>
      <c r="N435" s="3">
        <v>0.123</v>
      </c>
      <c r="O435" s="8">
        <f>+Tabla1[[#This Row],[Conversión]]*Tabla1[[#This Row],[Cantidad]]</f>
        <v>0.73799999999999999</v>
      </c>
      <c r="P435" s="43">
        <f>Tabla1[[#This Row],[Neto]]-Tabla1[[#This Row],[Costo Venta]]</f>
        <v>127.8</v>
      </c>
    </row>
    <row r="436" spans="1:16" x14ac:dyDescent="0.25">
      <c r="A436" s="48">
        <v>44949</v>
      </c>
      <c r="B436" s="1" t="s">
        <v>1</v>
      </c>
      <c r="C436" s="1" t="s">
        <v>115</v>
      </c>
      <c r="D436" s="1" t="s">
        <v>124</v>
      </c>
      <c r="E436" s="1" t="s">
        <v>71</v>
      </c>
      <c r="F436" s="1" t="s">
        <v>25</v>
      </c>
      <c r="G436" s="2">
        <v>4</v>
      </c>
      <c r="H436" s="51" t="s">
        <v>567</v>
      </c>
      <c r="I436" s="44">
        <f>Tabla1[[#This Row],[Descuento]]+Tabla1[[#This Row],[Neto]]</f>
        <v>140</v>
      </c>
      <c r="J436" s="9">
        <v>7</v>
      </c>
      <c r="K436" s="9">
        <v>133</v>
      </c>
      <c r="L436" s="9">
        <v>5.8</v>
      </c>
      <c r="M436" s="24">
        <f>+Tabla1[[#This Row],[Costo Venta]]/Tabla1[[#This Row],[Cantidad]]</f>
        <v>1.45</v>
      </c>
      <c r="N436" s="3">
        <v>0.123</v>
      </c>
      <c r="O436" s="8">
        <f>+Tabla1[[#This Row],[Conversión]]*Tabla1[[#This Row],[Cantidad]]</f>
        <v>0.49199999999999999</v>
      </c>
      <c r="P436" s="43">
        <f>Tabla1[[#This Row],[Neto]]-Tabla1[[#This Row],[Costo Venta]]</f>
        <v>127.2</v>
      </c>
    </row>
    <row r="437" spans="1:16" x14ac:dyDescent="0.25">
      <c r="A437" s="48">
        <v>45005</v>
      </c>
      <c r="B437" s="1" t="s">
        <v>1</v>
      </c>
      <c r="C437" s="1" t="s">
        <v>109</v>
      </c>
      <c r="D437" s="1" t="s">
        <v>504</v>
      </c>
      <c r="E437" s="1" t="s">
        <v>67</v>
      </c>
      <c r="F437" s="1" t="s">
        <v>9</v>
      </c>
      <c r="G437" s="2">
        <v>4</v>
      </c>
      <c r="H437" s="51" t="s">
        <v>567</v>
      </c>
      <c r="I437" s="44">
        <f>Tabla1[[#This Row],[Descuento]]+Tabla1[[#This Row],[Neto]]</f>
        <v>140</v>
      </c>
      <c r="J437" s="9">
        <v>49</v>
      </c>
      <c r="K437" s="9">
        <v>91</v>
      </c>
      <c r="L437" s="9">
        <v>8.9700000000000006</v>
      </c>
      <c r="M437" s="24">
        <f>+Tabla1[[#This Row],[Costo Venta]]/Tabla1[[#This Row],[Cantidad]]</f>
        <v>2.2425000000000002</v>
      </c>
      <c r="N437" s="3">
        <v>0.123</v>
      </c>
      <c r="O437" s="8">
        <f>+Tabla1[[#This Row],[Conversión]]*Tabla1[[#This Row],[Cantidad]]</f>
        <v>0.49199999999999999</v>
      </c>
      <c r="P437" s="43">
        <f>Tabla1[[#This Row],[Neto]]-Tabla1[[#This Row],[Costo Venta]]</f>
        <v>82.03</v>
      </c>
    </row>
    <row r="438" spans="1:16" x14ac:dyDescent="0.25">
      <c r="A438" s="48">
        <v>45005</v>
      </c>
      <c r="B438" s="1" t="s">
        <v>1</v>
      </c>
      <c r="C438" s="1" t="s">
        <v>109</v>
      </c>
      <c r="D438" s="1" t="s">
        <v>505</v>
      </c>
      <c r="E438" s="1" t="s">
        <v>67</v>
      </c>
      <c r="F438" s="1" t="s">
        <v>9</v>
      </c>
      <c r="G438" s="2">
        <v>4</v>
      </c>
      <c r="H438" s="51" t="s">
        <v>567</v>
      </c>
      <c r="I438" s="44">
        <f>Tabla1[[#This Row],[Descuento]]+Tabla1[[#This Row],[Neto]]</f>
        <v>140</v>
      </c>
      <c r="J438" s="9">
        <v>49</v>
      </c>
      <c r="K438" s="9">
        <v>91</v>
      </c>
      <c r="L438" s="9">
        <v>8.9700000000000006</v>
      </c>
      <c r="M438" s="24">
        <f>+Tabla1[[#This Row],[Costo Venta]]/Tabla1[[#This Row],[Cantidad]]</f>
        <v>2.2425000000000002</v>
      </c>
      <c r="N438" s="3">
        <v>0.123</v>
      </c>
      <c r="O438" s="8">
        <f>+Tabla1[[#This Row],[Conversión]]*Tabla1[[#This Row],[Cantidad]]</f>
        <v>0.49199999999999999</v>
      </c>
      <c r="P438" s="43">
        <f>Tabla1[[#This Row],[Neto]]-Tabla1[[#This Row],[Costo Venta]]</f>
        <v>82.03</v>
      </c>
    </row>
    <row r="439" spans="1:16" x14ac:dyDescent="0.25">
      <c r="A439" s="48">
        <v>45036</v>
      </c>
      <c r="B439" s="1" t="s">
        <v>1</v>
      </c>
      <c r="C439" s="1" t="s">
        <v>81</v>
      </c>
      <c r="D439" s="1" t="s">
        <v>168</v>
      </c>
      <c r="E439" s="1" t="s">
        <v>71</v>
      </c>
      <c r="F439" s="1" t="s">
        <v>12</v>
      </c>
      <c r="G439" s="2">
        <v>2</v>
      </c>
      <c r="H439" s="51" t="s">
        <v>567</v>
      </c>
      <c r="I439" s="44">
        <f>Tabla1[[#This Row],[Descuento]]+Tabla1[[#This Row],[Neto]]</f>
        <v>70</v>
      </c>
      <c r="J439" s="9">
        <v>0</v>
      </c>
      <c r="K439" s="9">
        <v>70</v>
      </c>
      <c r="L439" s="9">
        <v>3.22</v>
      </c>
      <c r="M439" s="24">
        <f>+Tabla1[[#This Row],[Costo Venta]]/Tabla1[[#This Row],[Cantidad]]</f>
        <v>1.61</v>
      </c>
      <c r="N439" s="3">
        <v>0.123</v>
      </c>
      <c r="O439" s="8">
        <f>+Tabla1[[#This Row],[Conversión]]*Tabla1[[#This Row],[Cantidad]]</f>
        <v>0.246</v>
      </c>
      <c r="P439" s="43">
        <f>Tabla1[[#This Row],[Neto]]-Tabla1[[#This Row],[Costo Venta]]</f>
        <v>66.78</v>
      </c>
    </row>
    <row r="440" spans="1:16" x14ac:dyDescent="0.25">
      <c r="A440" s="48">
        <v>45048</v>
      </c>
      <c r="B440" s="1" t="s">
        <v>1</v>
      </c>
      <c r="C440" s="1" t="s">
        <v>109</v>
      </c>
      <c r="D440" s="1" t="s">
        <v>507</v>
      </c>
      <c r="E440" s="1" t="s">
        <v>67</v>
      </c>
      <c r="F440" s="1" t="s">
        <v>9</v>
      </c>
      <c r="G440" s="2">
        <v>2</v>
      </c>
      <c r="H440" s="51" t="s">
        <v>567</v>
      </c>
      <c r="I440" s="44">
        <f>Tabla1[[#This Row],[Descuento]]+Tabla1[[#This Row],[Neto]]</f>
        <v>70</v>
      </c>
      <c r="J440" s="9">
        <v>24.5</v>
      </c>
      <c r="K440" s="9">
        <v>45.5</v>
      </c>
      <c r="L440" s="9">
        <v>2.9649999999999999</v>
      </c>
      <c r="M440" s="24">
        <f>+Tabla1[[#This Row],[Costo Venta]]/Tabla1[[#This Row],[Cantidad]]</f>
        <v>1.4824999999999999</v>
      </c>
      <c r="N440" s="3">
        <v>0.123</v>
      </c>
      <c r="O440" s="8">
        <f>+Tabla1[[#This Row],[Conversión]]*Tabla1[[#This Row],[Cantidad]]</f>
        <v>0.246</v>
      </c>
      <c r="P440" s="43">
        <f>Tabla1[[#This Row],[Neto]]-Tabla1[[#This Row],[Costo Venta]]</f>
        <v>42.534999999999997</v>
      </c>
    </row>
    <row r="441" spans="1:16" x14ac:dyDescent="0.25">
      <c r="A441" s="48">
        <v>45054</v>
      </c>
      <c r="B441" s="1" t="s">
        <v>1</v>
      </c>
      <c r="C441" s="1" t="s">
        <v>109</v>
      </c>
      <c r="D441" s="1" t="s">
        <v>568</v>
      </c>
      <c r="E441" s="1" t="s">
        <v>67</v>
      </c>
      <c r="F441" s="1" t="s">
        <v>9</v>
      </c>
      <c r="G441" s="2">
        <v>2</v>
      </c>
      <c r="H441" s="51" t="s">
        <v>567</v>
      </c>
      <c r="I441" s="44">
        <f>Tabla1[[#This Row],[Descuento]]+Tabla1[[#This Row],[Neto]]</f>
        <v>70</v>
      </c>
      <c r="J441" s="9">
        <v>24.5</v>
      </c>
      <c r="K441" s="9">
        <v>45.5</v>
      </c>
      <c r="L441" s="9">
        <v>2.9649999999999999</v>
      </c>
      <c r="M441" s="24">
        <f>+Tabla1[[#This Row],[Costo Venta]]/Tabla1[[#This Row],[Cantidad]]</f>
        <v>1.4824999999999999</v>
      </c>
      <c r="N441" s="3">
        <v>0.123</v>
      </c>
      <c r="O441" s="8">
        <f>+Tabla1[[#This Row],[Conversión]]*Tabla1[[#This Row],[Cantidad]]</f>
        <v>0.246</v>
      </c>
      <c r="P441" s="43">
        <f>Tabla1[[#This Row],[Neto]]-Tabla1[[#This Row],[Costo Venta]]</f>
        <v>42.534999999999997</v>
      </c>
    </row>
    <row r="442" spans="1:16" x14ac:dyDescent="0.25">
      <c r="A442" s="48">
        <v>45068</v>
      </c>
      <c r="B442" s="1" t="s">
        <v>1</v>
      </c>
      <c r="C442" s="1" t="s">
        <v>81</v>
      </c>
      <c r="D442" s="1" t="s">
        <v>188</v>
      </c>
      <c r="E442" s="1" t="s">
        <v>71</v>
      </c>
      <c r="F442" s="1" t="s">
        <v>11</v>
      </c>
      <c r="G442" s="2">
        <v>4</v>
      </c>
      <c r="H442" s="51" t="s">
        <v>567</v>
      </c>
      <c r="I442" s="44">
        <f>Tabla1[[#This Row],[Descuento]]+Tabla1[[#This Row],[Neto]]</f>
        <v>140</v>
      </c>
      <c r="J442" s="9">
        <v>14</v>
      </c>
      <c r="K442" s="9">
        <v>126</v>
      </c>
      <c r="L442" s="9">
        <v>13.88</v>
      </c>
      <c r="M442" s="24">
        <f>+Tabla1[[#This Row],[Costo Venta]]/Tabla1[[#This Row],[Cantidad]]</f>
        <v>3.47</v>
      </c>
      <c r="N442" s="3">
        <v>0.123</v>
      </c>
      <c r="O442" s="8">
        <f>+Tabla1[[#This Row],[Conversión]]*Tabla1[[#This Row],[Cantidad]]</f>
        <v>0.49199999999999999</v>
      </c>
      <c r="P442" s="43">
        <f>Tabla1[[#This Row],[Neto]]-Tabla1[[#This Row],[Costo Venta]]</f>
        <v>112.12</v>
      </c>
    </row>
    <row r="443" spans="1:16" x14ac:dyDescent="0.25">
      <c r="A443" s="48">
        <v>45096</v>
      </c>
      <c r="B443" s="1" t="s">
        <v>1</v>
      </c>
      <c r="C443" s="1" t="s">
        <v>65</v>
      </c>
      <c r="D443" s="1" t="s">
        <v>509</v>
      </c>
      <c r="E443" s="1" t="s">
        <v>71</v>
      </c>
      <c r="F443" s="1" t="s">
        <v>10</v>
      </c>
      <c r="G443" s="2">
        <v>4</v>
      </c>
      <c r="H443" s="51" t="s">
        <v>567</v>
      </c>
      <c r="I443" s="44">
        <f>Tabla1[[#This Row],[Descuento]]+Tabla1[[#This Row],[Neto]]</f>
        <v>140</v>
      </c>
      <c r="J443" s="9">
        <v>49</v>
      </c>
      <c r="K443" s="9">
        <v>91</v>
      </c>
      <c r="L443" s="9">
        <v>13.13</v>
      </c>
      <c r="M443" s="24">
        <f>+Tabla1[[#This Row],[Costo Venta]]/Tabla1[[#This Row],[Cantidad]]</f>
        <v>3.2825000000000002</v>
      </c>
      <c r="N443" s="3">
        <v>0.123</v>
      </c>
      <c r="O443" s="8">
        <f>+Tabla1[[#This Row],[Conversión]]*Tabla1[[#This Row],[Cantidad]]</f>
        <v>0.49199999999999999</v>
      </c>
      <c r="P443" s="43">
        <f>Tabla1[[#This Row],[Neto]]-Tabla1[[#This Row],[Costo Venta]]</f>
        <v>77.87</v>
      </c>
    </row>
    <row r="444" spans="1:16" x14ac:dyDescent="0.25">
      <c r="A444" s="48">
        <v>45110</v>
      </c>
      <c r="B444" s="1" t="s">
        <v>1</v>
      </c>
      <c r="C444" s="1" t="s">
        <v>81</v>
      </c>
      <c r="D444" s="1" t="s">
        <v>510</v>
      </c>
      <c r="E444" s="1" t="s">
        <v>137</v>
      </c>
      <c r="F444" s="1" t="s">
        <v>18</v>
      </c>
      <c r="G444" s="2">
        <v>4</v>
      </c>
      <c r="H444" s="51" t="s">
        <v>567</v>
      </c>
      <c r="I444" s="44">
        <f>Tabla1[[#This Row],[Descuento]]+Tabla1[[#This Row],[Neto]]</f>
        <v>140</v>
      </c>
      <c r="J444" s="9">
        <v>0</v>
      </c>
      <c r="K444" s="9">
        <v>140</v>
      </c>
      <c r="L444" s="9">
        <v>13.133331999999999</v>
      </c>
      <c r="M444" s="24">
        <f>+Tabla1[[#This Row],[Costo Venta]]/Tabla1[[#This Row],[Cantidad]]</f>
        <v>3.2833329999999998</v>
      </c>
      <c r="N444" s="3">
        <v>0.123</v>
      </c>
      <c r="O444" s="8">
        <f>+Tabla1[[#This Row],[Conversión]]*Tabla1[[#This Row],[Cantidad]]</f>
        <v>0.49199999999999999</v>
      </c>
      <c r="P444" s="43">
        <f>Tabla1[[#This Row],[Neto]]-Tabla1[[#This Row],[Costo Venta]]</f>
        <v>126.866668</v>
      </c>
    </row>
    <row r="445" spans="1:16" x14ac:dyDescent="0.25">
      <c r="A445" s="48">
        <v>45110</v>
      </c>
      <c r="B445" s="1" t="s">
        <v>1</v>
      </c>
      <c r="C445" s="1" t="s">
        <v>65</v>
      </c>
      <c r="D445" s="1" t="s">
        <v>511</v>
      </c>
      <c r="E445" s="1" t="s">
        <v>67</v>
      </c>
      <c r="F445" s="1" t="s">
        <v>9</v>
      </c>
      <c r="G445" s="2">
        <v>2</v>
      </c>
      <c r="H445" s="51" t="s">
        <v>567</v>
      </c>
      <c r="I445" s="44">
        <f>Tabla1[[#This Row],[Descuento]]+Tabla1[[#This Row],[Neto]]</f>
        <v>70</v>
      </c>
      <c r="J445" s="9">
        <v>24.5</v>
      </c>
      <c r="K445" s="9">
        <v>45.5</v>
      </c>
      <c r="L445" s="9">
        <v>6.5666659999999997</v>
      </c>
      <c r="M445" s="24">
        <f>+Tabla1[[#This Row],[Costo Venta]]/Tabla1[[#This Row],[Cantidad]]</f>
        <v>3.2833329999999998</v>
      </c>
      <c r="N445" s="3">
        <v>0.123</v>
      </c>
      <c r="O445" s="8">
        <f>+Tabla1[[#This Row],[Conversión]]*Tabla1[[#This Row],[Cantidad]]</f>
        <v>0.246</v>
      </c>
      <c r="P445" s="43">
        <f>Tabla1[[#This Row],[Neto]]-Tabla1[[#This Row],[Costo Venta]]</f>
        <v>38.933334000000002</v>
      </c>
    </row>
    <row r="446" spans="1:16" x14ac:dyDescent="0.25">
      <c r="A446" s="48">
        <v>45111</v>
      </c>
      <c r="B446" s="1" t="s">
        <v>1</v>
      </c>
      <c r="C446" s="1" t="s">
        <v>81</v>
      </c>
      <c r="D446" s="1" t="s">
        <v>204</v>
      </c>
      <c r="E446" s="1" t="s">
        <v>71</v>
      </c>
      <c r="F446" s="1" t="s">
        <v>14</v>
      </c>
      <c r="G446" s="2">
        <v>4</v>
      </c>
      <c r="H446" s="51" t="s">
        <v>567</v>
      </c>
      <c r="I446" s="44">
        <f>Tabla1[[#This Row],[Descuento]]+Tabla1[[#This Row],[Neto]]</f>
        <v>140</v>
      </c>
      <c r="J446" s="9">
        <v>16.8</v>
      </c>
      <c r="K446" s="9">
        <v>123.2</v>
      </c>
      <c r="L446" s="9">
        <v>13.133331999999999</v>
      </c>
      <c r="M446" s="24">
        <f>+Tabla1[[#This Row],[Costo Venta]]/Tabla1[[#This Row],[Cantidad]]</f>
        <v>3.2833329999999998</v>
      </c>
      <c r="N446" s="3">
        <v>0.123</v>
      </c>
      <c r="O446" s="8">
        <f>+Tabla1[[#This Row],[Conversión]]*Tabla1[[#This Row],[Cantidad]]</f>
        <v>0.49199999999999999</v>
      </c>
      <c r="P446" s="43">
        <f>Tabla1[[#This Row],[Neto]]-Tabla1[[#This Row],[Costo Venta]]</f>
        <v>110.06666800000001</v>
      </c>
    </row>
    <row r="447" spans="1:16" x14ac:dyDescent="0.25">
      <c r="A447" s="48">
        <v>45132</v>
      </c>
      <c r="B447" s="1" t="s">
        <v>1</v>
      </c>
      <c r="C447" s="1" t="s">
        <v>65</v>
      </c>
      <c r="D447" s="1" t="s">
        <v>512</v>
      </c>
      <c r="E447" s="1" t="s">
        <v>67</v>
      </c>
      <c r="F447" s="1" t="s">
        <v>9</v>
      </c>
      <c r="G447" s="2">
        <v>6</v>
      </c>
      <c r="H447" s="51" t="s">
        <v>567</v>
      </c>
      <c r="I447" s="44">
        <f>Tabla1[[#This Row],[Descuento]]+Tabla1[[#This Row],[Neto]]</f>
        <v>210</v>
      </c>
      <c r="J447" s="9">
        <v>73.5</v>
      </c>
      <c r="K447" s="9">
        <v>136.5</v>
      </c>
      <c r="L447" s="9">
        <v>19.699998000000001</v>
      </c>
      <c r="M447" s="24">
        <f>+Tabla1[[#This Row],[Costo Venta]]/Tabla1[[#This Row],[Cantidad]]</f>
        <v>3.2833330000000003</v>
      </c>
      <c r="N447" s="3">
        <v>0.123</v>
      </c>
      <c r="O447" s="8">
        <f>+Tabla1[[#This Row],[Conversión]]*Tabla1[[#This Row],[Cantidad]]</f>
        <v>0.73799999999999999</v>
      </c>
      <c r="P447" s="43">
        <f>Tabla1[[#This Row],[Neto]]-Tabla1[[#This Row],[Costo Venta]]</f>
        <v>116.80000200000001</v>
      </c>
    </row>
    <row r="448" spans="1:16" x14ac:dyDescent="0.25">
      <c r="A448" s="48">
        <v>45139</v>
      </c>
      <c r="B448" s="1" t="s">
        <v>1</v>
      </c>
      <c r="C448" s="1" t="s">
        <v>81</v>
      </c>
      <c r="D448" s="1" t="s">
        <v>513</v>
      </c>
      <c r="E448" s="1" t="s">
        <v>67</v>
      </c>
      <c r="F448" s="1" t="s">
        <v>9</v>
      </c>
      <c r="G448" s="2">
        <v>3</v>
      </c>
      <c r="H448" s="51" t="s">
        <v>567</v>
      </c>
      <c r="I448" s="44">
        <f>Tabla1[[#This Row],[Descuento]]+Tabla1[[#This Row],[Neto]]</f>
        <v>105</v>
      </c>
      <c r="J448" s="9">
        <v>36.75</v>
      </c>
      <c r="K448" s="9">
        <v>68.25</v>
      </c>
      <c r="L448" s="9">
        <v>9.8499990000000004</v>
      </c>
      <c r="M448" s="24">
        <f>+Tabla1[[#This Row],[Costo Venta]]/Tabla1[[#This Row],[Cantidad]]</f>
        <v>3.2833330000000003</v>
      </c>
      <c r="N448" s="3">
        <v>0.123</v>
      </c>
      <c r="O448" s="8">
        <f>+Tabla1[[#This Row],[Conversión]]*Tabla1[[#This Row],[Cantidad]]</f>
        <v>0.36899999999999999</v>
      </c>
      <c r="P448" s="43">
        <f>Tabla1[[#This Row],[Neto]]-Tabla1[[#This Row],[Costo Venta]]</f>
        <v>58.400001000000003</v>
      </c>
    </row>
    <row r="449" spans="1:16" x14ac:dyDescent="0.25">
      <c r="A449" s="48">
        <v>45250</v>
      </c>
      <c r="B449" s="1" t="s">
        <v>1</v>
      </c>
      <c r="C449" s="1" t="s">
        <v>29</v>
      </c>
      <c r="D449" s="1" t="s">
        <v>515</v>
      </c>
      <c r="E449" s="1" t="s">
        <v>67</v>
      </c>
      <c r="F449" s="1" t="s">
        <v>9</v>
      </c>
      <c r="G449" s="2">
        <v>3</v>
      </c>
      <c r="H449" s="51" t="s">
        <v>567</v>
      </c>
      <c r="I449" s="44">
        <f>Tabla1[[#This Row],[Descuento]]+Tabla1[[#This Row],[Neto]]</f>
        <v>105</v>
      </c>
      <c r="J449" s="9">
        <v>36.75</v>
      </c>
      <c r="K449" s="9">
        <v>68.25</v>
      </c>
      <c r="L449" s="9">
        <v>9.6099990000000002</v>
      </c>
      <c r="M449" s="24">
        <f>+Tabla1[[#This Row],[Costo Venta]]/Tabla1[[#This Row],[Cantidad]]</f>
        <v>3.2033330000000002</v>
      </c>
      <c r="N449" s="3">
        <v>0.123</v>
      </c>
      <c r="O449" s="8">
        <f>+Tabla1[[#This Row],[Conversión]]*Tabla1[[#This Row],[Cantidad]]</f>
        <v>0.36899999999999999</v>
      </c>
      <c r="P449" s="43">
        <f>Tabla1[[#This Row],[Neto]]-Tabla1[[#This Row],[Costo Venta]]</f>
        <v>58.640000999999998</v>
      </c>
    </row>
    <row r="450" spans="1:16" x14ac:dyDescent="0.25">
      <c r="A450" s="48">
        <v>45274</v>
      </c>
      <c r="B450" s="1" t="s">
        <v>1</v>
      </c>
      <c r="C450" s="1" t="s">
        <v>81</v>
      </c>
      <c r="D450" s="1" t="s">
        <v>516</v>
      </c>
      <c r="E450" s="1" t="s">
        <v>67</v>
      </c>
      <c r="F450" s="1" t="s">
        <v>9</v>
      </c>
      <c r="G450" s="2">
        <v>5</v>
      </c>
      <c r="H450" s="51" t="s">
        <v>567</v>
      </c>
      <c r="I450" s="44">
        <f>Tabla1[[#This Row],[Descuento]]+Tabla1[[#This Row],[Neto]]</f>
        <v>175</v>
      </c>
      <c r="J450" s="9">
        <v>61.25</v>
      </c>
      <c r="K450" s="9">
        <v>113.75</v>
      </c>
      <c r="L450" s="9">
        <v>16.208335000000002</v>
      </c>
      <c r="M450" s="24">
        <f>+Tabla1[[#This Row],[Costo Venta]]/Tabla1[[#This Row],[Cantidad]]</f>
        <v>3.2416670000000005</v>
      </c>
      <c r="N450" s="3">
        <v>0.123</v>
      </c>
      <c r="O450" s="8">
        <f>+Tabla1[[#This Row],[Conversión]]*Tabla1[[#This Row],[Cantidad]]</f>
        <v>0.61499999999999999</v>
      </c>
      <c r="P450" s="43">
        <f>Tabla1[[#This Row],[Neto]]-Tabla1[[#This Row],[Costo Venta]]</f>
        <v>97.541664999999995</v>
      </c>
    </row>
    <row r="451" spans="1:16" x14ac:dyDescent="0.25">
      <c r="A451" s="48">
        <v>45434</v>
      </c>
      <c r="B451" s="1" t="s">
        <v>1</v>
      </c>
      <c r="C451" s="1" t="s">
        <v>81</v>
      </c>
      <c r="D451" s="1" t="s">
        <v>519</v>
      </c>
      <c r="E451" s="1" t="s">
        <v>67</v>
      </c>
      <c r="F451" s="1" t="s">
        <v>20</v>
      </c>
      <c r="G451" s="2">
        <v>2</v>
      </c>
      <c r="H451" s="51" t="s">
        <v>567</v>
      </c>
      <c r="I451" s="44">
        <f>Tabla1[[#This Row],[Descuento]]+Tabla1[[#This Row],[Neto]]</f>
        <v>51.756</v>
      </c>
      <c r="J451" s="9">
        <v>18.116</v>
      </c>
      <c r="K451" s="9">
        <v>33.64</v>
      </c>
      <c r="L451" s="9">
        <v>6.1725000000000003</v>
      </c>
      <c r="M451" s="24">
        <f>+Tabla1[[#This Row],[Costo Venta]]/Tabla1[[#This Row],[Cantidad]]</f>
        <v>3.0862500000000002</v>
      </c>
      <c r="N451" s="3">
        <v>0.123</v>
      </c>
      <c r="O451" s="8">
        <f>+Tabla1[[#This Row],[Conversión]]*Tabla1[[#This Row],[Cantidad]]</f>
        <v>0.246</v>
      </c>
      <c r="P451" s="43">
        <f>Tabla1[[#This Row],[Neto]]-Tabla1[[#This Row],[Costo Venta]]</f>
        <v>27.467500000000001</v>
      </c>
    </row>
    <row r="452" spans="1:16" x14ac:dyDescent="0.25">
      <c r="A452" s="48">
        <v>45615</v>
      </c>
      <c r="B452" s="1" t="s">
        <v>1</v>
      </c>
      <c r="C452" s="1" t="s">
        <v>65</v>
      </c>
      <c r="D452" s="1" t="s">
        <v>521</v>
      </c>
      <c r="E452" s="1" t="s">
        <v>67</v>
      </c>
      <c r="F452" s="1" t="s">
        <v>20</v>
      </c>
      <c r="G452" s="2">
        <v>6</v>
      </c>
      <c r="H452" s="51" t="s">
        <v>567</v>
      </c>
      <c r="I452" s="44">
        <f>Tabla1[[#This Row],[Descuento]]+Tabla1[[#This Row],[Neto]]</f>
        <v>155.27800000000002</v>
      </c>
      <c r="J452" s="9">
        <v>54.347999999999999</v>
      </c>
      <c r="K452" s="9">
        <v>100.93</v>
      </c>
      <c r="L452" s="9">
        <v>16.293216000000001</v>
      </c>
      <c r="M452" s="24">
        <f>+Tabla1[[#This Row],[Costo Venta]]/Tabla1[[#This Row],[Cantidad]]</f>
        <v>2.7155360000000002</v>
      </c>
      <c r="N452" s="3">
        <v>0.123</v>
      </c>
      <c r="O452" s="8">
        <f>+Tabla1[[#This Row],[Conversión]]*Tabla1[[#This Row],[Cantidad]]</f>
        <v>0.73799999999999999</v>
      </c>
      <c r="P452" s="43">
        <f>Tabla1[[#This Row],[Neto]]-Tabla1[[#This Row],[Costo Venta]]</f>
        <v>84.636784000000006</v>
      </c>
    </row>
    <row r="453" spans="1:16" x14ac:dyDescent="0.25">
      <c r="A453" s="48">
        <v>45887</v>
      </c>
      <c r="B453" s="1" t="s">
        <v>1</v>
      </c>
      <c r="C453" s="1" t="s">
        <v>65</v>
      </c>
      <c r="D453" s="1" t="s">
        <v>394</v>
      </c>
      <c r="E453" s="1" t="s">
        <v>67</v>
      </c>
      <c r="F453" s="1" t="s">
        <v>40</v>
      </c>
      <c r="G453" s="2">
        <v>4</v>
      </c>
      <c r="H453" s="51" t="s">
        <v>567</v>
      </c>
      <c r="I453" s="44">
        <f>Tabla1[[#This Row],[Descuento]]+Tabla1[[#This Row],[Neto]]</f>
        <v>103.52</v>
      </c>
      <c r="J453" s="9">
        <v>25.88</v>
      </c>
      <c r="K453" s="9">
        <v>77.64</v>
      </c>
      <c r="L453" s="9">
        <v>10.889764</v>
      </c>
      <c r="M453" s="24">
        <f>+Tabla1[[#This Row],[Costo Venta]]/Tabla1[[#This Row],[Cantidad]]</f>
        <v>2.7224409999999999</v>
      </c>
      <c r="N453" s="3">
        <v>0.123</v>
      </c>
      <c r="O453" s="8">
        <f>+Tabla1[[#This Row],[Conversión]]*Tabla1[[#This Row],[Cantidad]]</f>
        <v>0.49199999999999999</v>
      </c>
      <c r="P453" s="43">
        <f>Tabla1[[#This Row],[Neto]]-Tabla1[[#This Row],[Costo Venta]]</f>
        <v>66.750236000000001</v>
      </c>
    </row>
    <row r="454" spans="1:16" x14ac:dyDescent="0.25">
      <c r="A454" s="48">
        <v>45001</v>
      </c>
      <c r="B454" s="1" t="s">
        <v>1</v>
      </c>
      <c r="C454" s="1" t="s">
        <v>109</v>
      </c>
      <c r="D454" s="1" t="s">
        <v>522</v>
      </c>
      <c r="E454" s="1" t="s">
        <v>67</v>
      </c>
      <c r="F454" s="1" t="s">
        <v>20</v>
      </c>
      <c r="G454" s="2">
        <v>2</v>
      </c>
      <c r="H454" s="1" t="s">
        <v>569</v>
      </c>
      <c r="I454" s="44">
        <f>Tabla1[[#This Row],[Descuento]]+Tabla1[[#This Row],[Neto]]</f>
        <v>70</v>
      </c>
      <c r="J454" s="9">
        <v>24.5</v>
      </c>
      <c r="K454" s="9">
        <v>45.5</v>
      </c>
      <c r="L454" s="9">
        <v>2.2799999999999998</v>
      </c>
      <c r="M454" s="24">
        <f>+Tabla1[[#This Row],[Costo Venta]]/Tabla1[[#This Row],[Cantidad]]</f>
        <v>1.1399999999999999</v>
      </c>
      <c r="N454" s="3">
        <v>0.123</v>
      </c>
      <c r="O454" s="8">
        <f>+Tabla1[[#This Row],[Conversión]]*Tabla1[[#This Row],[Cantidad]]</f>
        <v>0.246</v>
      </c>
      <c r="P454" s="43">
        <f>Tabla1[[#This Row],[Neto]]-Tabla1[[#This Row],[Costo Venta]]</f>
        <v>43.22</v>
      </c>
    </row>
    <row r="455" spans="1:16" x14ac:dyDescent="0.25">
      <c r="A455" s="48">
        <v>45175</v>
      </c>
      <c r="B455" s="1" t="s">
        <v>1</v>
      </c>
      <c r="C455" s="1" t="s">
        <v>214</v>
      </c>
      <c r="D455" s="1" t="s">
        <v>237</v>
      </c>
      <c r="E455" s="1" t="s">
        <v>71</v>
      </c>
      <c r="F455" s="1" t="s">
        <v>17</v>
      </c>
      <c r="G455" s="2">
        <v>4</v>
      </c>
      <c r="H455" s="1" t="s">
        <v>569</v>
      </c>
      <c r="I455" s="44">
        <f>Tabla1[[#This Row],[Descuento]]+Tabla1[[#This Row],[Neto]]</f>
        <v>140</v>
      </c>
      <c r="J455" s="9">
        <v>0</v>
      </c>
      <c r="K455" s="9">
        <v>140</v>
      </c>
      <c r="L455" s="9">
        <v>4.68</v>
      </c>
      <c r="M455" s="24">
        <f>+Tabla1[[#This Row],[Costo Venta]]/Tabla1[[#This Row],[Cantidad]]</f>
        <v>1.17</v>
      </c>
      <c r="N455" s="3">
        <v>0.123</v>
      </c>
      <c r="O455" s="8">
        <f>+Tabla1[[#This Row],[Conversión]]*Tabla1[[#This Row],[Cantidad]]</f>
        <v>0.49199999999999999</v>
      </c>
      <c r="P455" s="43">
        <f>Tabla1[[#This Row],[Neto]]-Tabla1[[#This Row],[Costo Venta]]</f>
        <v>135.32</v>
      </c>
    </row>
    <row r="456" spans="1:16" x14ac:dyDescent="0.25">
      <c r="A456" s="48">
        <v>45250</v>
      </c>
      <c r="B456" s="1" t="s">
        <v>1</v>
      </c>
      <c r="C456" s="1" t="s">
        <v>81</v>
      </c>
      <c r="D456" s="1" t="s">
        <v>525</v>
      </c>
      <c r="E456" s="1" t="s">
        <v>67</v>
      </c>
      <c r="F456" s="1" t="s">
        <v>9</v>
      </c>
      <c r="G456" s="2">
        <v>2</v>
      </c>
      <c r="H456" s="1" t="s">
        <v>569</v>
      </c>
      <c r="I456" s="44">
        <f>Tabla1[[#This Row],[Descuento]]+Tabla1[[#This Row],[Neto]]</f>
        <v>70</v>
      </c>
      <c r="J456" s="9">
        <v>24.5</v>
      </c>
      <c r="K456" s="9">
        <v>45.5</v>
      </c>
      <c r="L456" s="9">
        <v>2.3112499999999998</v>
      </c>
      <c r="M456" s="24">
        <f>+Tabla1[[#This Row],[Costo Venta]]/Tabla1[[#This Row],[Cantidad]]</f>
        <v>1.1556249999999999</v>
      </c>
      <c r="N456" s="3">
        <v>0.123</v>
      </c>
      <c r="O456" s="8">
        <f>+Tabla1[[#This Row],[Conversión]]*Tabla1[[#This Row],[Cantidad]]</f>
        <v>0.246</v>
      </c>
      <c r="P456" s="43">
        <f>Tabla1[[#This Row],[Neto]]-Tabla1[[#This Row],[Costo Venta]]</f>
        <v>43.188749999999999</v>
      </c>
    </row>
    <row r="457" spans="1:16" x14ac:dyDescent="0.25">
      <c r="A457" s="48">
        <v>45272</v>
      </c>
      <c r="B457" s="1" t="s">
        <v>1</v>
      </c>
      <c r="C457" s="1" t="s">
        <v>81</v>
      </c>
      <c r="D457" s="1" t="s">
        <v>526</v>
      </c>
      <c r="E457" s="1" t="s">
        <v>67</v>
      </c>
      <c r="F457" s="1" t="s">
        <v>20</v>
      </c>
      <c r="G457" s="2">
        <v>2</v>
      </c>
      <c r="H457" s="1" t="s">
        <v>569</v>
      </c>
      <c r="I457" s="44">
        <f>Tabla1[[#This Row],[Descuento]]+Tabla1[[#This Row],[Neto]]</f>
        <v>70</v>
      </c>
      <c r="J457" s="9">
        <v>24.5</v>
      </c>
      <c r="K457" s="9">
        <v>45.5</v>
      </c>
      <c r="L457" s="9">
        <v>2.3087499999999999</v>
      </c>
      <c r="M457" s="24">
        <f>+Tabla1[[#This Row],[Costo Venta]]/Tabla1[[#This Row],[Cantidad]]</f>
        <v>1.1543749999999999</v>
      </c>
      <c r="N457" s="3">
        <v>0.123</v>
      </c>
      <c r="O457" s="8">
        <f>+Tabla1[[#This Row],[Conversión]]*Tabla1[[#This Row],[Cantidad]]</f>
        <v>0.246</v>
      </c>
      <c r="P457" s="43">
        <f>Tabla1[[#This Row],[Neto]]-Tabla1[[#This Row],[Costo Venta]]</f>
        <v>43.191249999999997</v>
      </c>
    </row>
    <row r="458" spans="1:16" x14ac:dyDescent="0.25">
      <c r="A458" s="48">
        <v>45519</v>
      </c>
      <c r="B458" s="1" t="s">
        <v>1</v>
      </c>
      <c r="C458" s="1" t="s">
        <v>65</v>
      </c>
      <c r="D458" s="1" t="s">
        <v>528</v>
      </c>
      <c r="E458" s="1" t="s">
        <v>67</v>
      </c>
      <c r="F458" s="1" t="s">
        <v>20</v>
      </c>
      <c r="G458" s="2">
        <v>5</v>
      </c>
      <c r="H458" s="1" t="s">
        <v>569</v>
      </c>
      <c r="I458" s="44">
        <f>Tabla1[[#This Row],[Descuento]]+Tabla1[[#This Row],[Neto]]</f>
        <v>129.4</v>
      </c>
      <c r="J458" s="9">
        <v>45.29</v>
      </c>
      <c r="K458" s="9">
        <v>84.11</v>
      </c>
      <c r="L458" s="9">
        <v>7.7732150000000004</v>
      </c>
      <c r="M458" s="24">
        <f>+Tabla1[[#This Row],[Costo Venta]]/Tabla1[[#This Row],[Cantidad]]</f>
        <v>1.554643</v>
      </c>
      <c r="N458" s="3">
        <v>0.123</v>
      </c>
      <c r="O458" s="8">
        <f>+Tabla1[[#This Row],[Conversión]]*Tabla1[[#This Row],[Cantidad]]</f>
        <v>0.61499999999999999</v>
      </c>
      <c r="P458" s="43">
        <f>Tabla1[[#This Row],[Neto]]-Tabla1[[#This Row],[Costo Venta]]</f>
        <v>76.336784999999992</v>
      </c>
    </row>
    <row r="459" spans="1:16" x14ac:dyDescent="0.25">
      <c r="A459" s="48">
        <v>45804</v>
      </c>
      <c r="B459" s="1" t="s">
        <v>1</v>
      </c>
      <c r="C459" s="1" t="s">
        <v>65</v>
      </c>
      <c r="D459" s="1" t="s">
        <v>530</v>
      </c>
      <c r="E459" s="1" t="s">
        <v>71</v>
      </c>
      <c r="F459" s="1" t="s">
        <v>47</v>
      </c>
      <c r="G459" s="2">
        <v>3</v>
      </c>
      <c r="H459" s="1" t="s">
        <v>569</v>
      </c>
      <c r="I459" s="44">
        <f>Tabla1[[#This Row],[Descuento]]+Tabla1[[#This Row],[Neto]]</f>
        <v>59.637999999999998</v>
      </c>
      <c r="J459" s="9">
        <v>26.838000000000001</v>
      </c>
      <c r="K459" s="9">
        <v>32.799999999999997</v>
      </c>
      <c r="L459" s="9">
        <v>4.6639290000000004</v>
      </c>
      <c r="M459" s="24">
        <f>+Tabla1[[#This Row],[Costo Venta]]/Tabla1[[#This Row],[Cantidad]]</f>
        <v>1.5546430000000002</v>
      </c>
      <c r="N459" s="3">
        <v>0.123</v>
      </c>
      <c r="O459" s="8">
        <f>+Tabla1[[#This Row],[Conversión]]*Tabla1[[#This Row],[Cantidad]]</f>
        <v>0.36899999999999999</v>
      </c>
      <c r="P459" s="43">
        <f>Tabla1[[#This Row],[Neto]]-Tabla1[[#This Row],[Costo Venta]]</f>
        <v>28.136070999999998</v>
      </c>
    </row>
    <row r="460" spans="1:16" x14ac:dyDescent="0.25">
      <c r="A460" s="48">
        <v>44991</v>
      </c>
      <c r="B460" s="1" t="s">
        <v>1</v>
      </c>
      <c r="C460" s="1" t="s">
        <v>109</v>
      </c>
      <c r="D460" s="1" t="s">
        <v>531</v>
      </c>
      <c r="E460" s="1" t="s">
        <v>67</v>
      </c>
      <c r="F460" s="1" t="s">
        <v>9</v>
      </c>
      <c r="G460" s="2">
        <v>4</v>
      </c>
      <c r="H460" s="51" t="s">
        <v>570</v>
      </c>
      <c r="I460" s="44">
        <f>Tabla1[[#This Row],[Descuento]]+Tabla1[[#This Row],[Neto]]</f>
        <v>140</v>
      </c>
      <c r="J460" s="9">
        <v>49</v>
      </c>
      <c r="K460" s="9">
        <v>91</v>
      </c>
      <c r="L460" s="9">
        <v>6.82</v>
      </c>
      <c r="M460" s="24">
        <f>+Tabla1[[#This Row],[Costo Venta]]/Tabla1[[#This Row],[Cantidad]]</f>
        <v>1.7050000000000001</v>
      </c>
      <c r="N460" s="3">
        <v>0.123</v>
      </c>
      <c r="O460" s="8">
        <f>+Tabla1[[#This Row],[Conversión]]*Tabla1[[#This Row],[Cantidad]]</f>
        <v>0.49199999999999999</v>
      </c>
      <c r="P460" s="43">
        <f>Tabla1[[#This Row],[Neto]]-Tabla1[[#This Row],[Costo Venta]]</f>
        <v>84.18</v>
      </c>
    </row>
    <row r="461" spans="1:16" x14ac:dyDescent="0.25">
      <c r="A461" s="48">
        <v>45169</v>
      </c>
      <c r="B461" s="1" t="s">
        <v>1</v>
      </c>
      <c r="C461" s="1" t="s">
        <v>81</v>
      </c>
      <c r="D461" s="1" t="s">
        <v>534</v>
      </c>
      <c r="E461" s="1" t="s">
        <v>67</v>
      </c>
      <c r="F461" s="1" t="s">
        <v>9</v>
      </c>
      <c r="G461" s="2">
        <v>4</v>
      </c>
      <c r="H461" s="51" t="s">
        <v>570</v>
      </c>
      <c r="I461" s="44">
        <f>Tabla1[[#This Row],[Descuento]]+Tabla1[[#This Row],[Neto]]</f>
        <v>140</v>
      </c>
      <c r="J461" s="9">
        <v>49</v>
      </c>
      <c r="K461" s="9">
        <v>91</v>
      </c>
      <c r="L461" s="9">
        <v>7.18</v>
      </c>
      <c r="M461" s="24">
        <f>+Tabla1[[#This Row],[Costo Venta]]/Tabla1[[#This Row],[Cantidad]]</f>
        <v>1.7949999999999999</v>
      </c>
      <c r="N461" s="3">
        <v>0.123</v>
      </c>
      <c r="O461" s="8">
        <f>+Tabla1[[#This Row],[Conversión]]*Tabla1[[#This Row],[Cantidad]]</f>
        <v>0.49199999999999999</v>
      </c>
      <c r="P461" s="43">
        <f>Tabla1[[#This Row],[Neto]]-Tabla1[[#This Row],[Costo Venta]]</f>
        <v>83.82</v>
      </c>
    </row>
    <row r="462" spans="1:16" x14ac:dyDescent="0.25">
      <c r="A462" s="48">
        <v>45189</v>
      </c>
      <c r="B462" s="1" t="s">
        <v>1</v>
      </c>
      <c r="C462" s="1" t="s">
        <v>81</v>
      </c>
      <c r="D462" s="1" t="s">
        <v>535</v>
      </c>
      <c r="E462" s="1" t="s">
        <v>67</v>
      </c>
      <c r="F462" s="1" t="s">
        <v>9</v>
      </c>
      <c r="G462" s="2">
        <v>5</v>
      </c>
      <c r="H462" s="51" t="s">
        <v>570</v>
      </c>
      <c r="I462" s="44">
        <f>Tabla1[[#This Row],[Descuento]]+Tabla1[[#This Row],[Neto]]</f>
        <v>175</v>
      </c>
      <c r="J462" s="9">
        <v>61.25</v>
      </c>
      <c r="K462" s="9">
        <v>113.75</v>
      </c>
      <c r="L462" s="9">
        <v>9.0666650000000004</v>
      </c>
      <c r="M462" s="24">
        <f>+Tabla1[[#This Row],[Costo Venta]]/Tabla1[[#This Row],[Cantidad]]</f>
        <v>1.8133330000000001</v>
      </c>
      <c r="N462" s="3">
        <v>0.123</v>
      </c>
      <c r="O462" s="8">
        <f>+Tabla1[[#This Row],[Conversión]]*Tabla1[[#This Row],[Cantidad]]</f>
        <v>0.61499999999999999</v>
      </c>
      <c r="P462" s="43">
        <f>Tabla1[[#This Row],[Neto]]-Tabla1[[#This Row],[Costo Venta]]</f>
        <v>104.683335</v>
      </c>
    </row>
    <row r="463" spans="1:16" x14ac:dyDescent="0.25">
      <c r="A463" s="48">
        <v>45291</v>
      </c>
      <c r="B463" s="1" t="s">
        <v>1</v>
      </c>
      <c r="C463" s="1" t="s">
        <v>214</v>
      </c>
      <c r="D463" s="1" t="s">
        <v>537</v>
      </c>
      <c r="E463" s="1" t="s">
        <v>71</v>
      </c>
      <c r="F463" s="1" t="s">
        <v>23</v>
      </c>
      <c r="G463" s="2">
        <v>5</v>
      </c>
      <c r="H463" s="51" t="s">
        <v>570</v>
      </c>
      <c r="I463" s="44">
        <f>Tabla1[[#This Row],[Descuento]]+Tabla1[[#This Row],[Neto]]</f>
        <v>175</v>
      </c>
      <c r="J463" s="9">
        <v>43.75</v>
      </c>
      <c r="K463" s="9">
        <v>131.25</v>
      </c>
      <c r="L463" s="9">
        <v>9.7388899999999996</v>
      </c>
      <c r="M463" s="24">
        <f>+Tabla1[[#This Row],[Costo Venta]]/Tabla1[[#This Row],[Cantidad]]</f>
        <v>1.947778</v>
      </c>
      <c r="N463" s="3">
        <v>0.123</v>
      </c>
      <c r="O463" s="8">
        <f>+Tabla1[[#This Row],[Conversión]]*Tabla1[[#This Row],[Cantidad]]</f>
        <v>0.61499999999999999</v>
      </c>
      <c r="P463" s="43">
        <f>Tabla1[[#This Row],[Neto]]-Tabla1[[#This Row],[Costo Venta]]</f>
        <v>121.51111</v>
      </c>
    </row>
    <row r="464" spans="1:16" x14ac:dyDescent="0.25">
      <c r="A464" s="48">
        <v>45460</v>
      </c>
      <c r="B464" s="1" t="s">
        <v>1</v>
      </c>
      <c r="C464" s="1" t="s">
        <v>81</v>
      </c>
      <c r="D464" s="1" t="s">
        <v>571</v>
      </c>
      <c r="E464" s="1" t="s">
        <v>67</v>
      </c>
      <c r="F464" s="1" t="s">
        <v>9</v>
      </c>
      <c r="G464" s="2">
        <v>3</v>
      </c>
      <c r="H464" s="51" t="s">
        <v>570</v>
      </c>
      <c r="I464" s="44">
        <f>Tabla1[[#This Row],[Descuento]]+Tabla1[[#This Row],[Neto]]</f>
        <v>77.638000000000005</v>
      </c>
      <c r="J464" s="9">
        <v>34.938000000000002</v>
      </c>
      <c r="K464" s="9">
        <v>42.7</v>
      </c>
      <c r="L464" s="9">
        <v>7.1018160000000004</v>
      </c>
      <c r="M464" s="24">
        <f>+Tabla1[[#This Row],[Costo Venta]]/Tabla1[[#This Row],[Cantidad]]</f>
        <v>2.3672720000000003</v>
      </c>
      <c r="N464" s="3">
        <v>0.123</v>
      </c>
      <c r="O464" s="8">
        <f>+Tabla1[[#This Row],[Conversión]]*Tabla1[[#This Row],[Cantidad]]</f>
        <v>0.36899999999999999</v>
      </c>
      <c r="P464" s="43">
        <f>Tabla1[[#This Row],[Neto]]-Tabla1[[#This Row],[Costo Venta]]</f>
        <v>35.598184000000003</v>
      </c>
    </row>
    <row r="465" spans="1:16" x14ac:dyDescent="0.25">
      <c r="A465" s="48">
        <v>45537</v>
      </c>
      <c r="B465" s="1" t="s">
        <v>1</v>
      </c>
      <c r="C465" s="1" t="s">
        <v>65</v>
      </c>
      <c r="D465" s="1" t="s">
        <v>540</v>
      </c>
      <c r="E465" s="1" t="s">
        <v>67</v>
      </c>
      <c r="F465" s="1" t="s">
        <v>9</v>
      </c>
      <c r="G465" s="2">
        <v>1</v>
      </c>
      <c r="H465" s="51" t="s">
        <v>570</v>
      </c>
      <c r="I465" s="44">
        <f>Tabla1[[#This Row],[Descuento]]+Tabla1[[#This Row],[Neto]]</f>
        <v>25.876000000000001</v>
      </c>
      <c r="J465" s="9">
        <v>11.646000000000001</v>
      </c>
      <c r="K465" s="9">
        <v>14.23</v>
      </c>
      <c r="L465" s="9">
        <v>2.6029089999999999</v>
      </c>
      <c r="M465" s="24">
        <f>+Tabla1[[#This Row],[Costo Venta]]/Tabla1[[#This Row],[Cantidad]]</f>
        <v>2.6029089999999999</v>
      </c>
      <c r="N465" s="3">
        <v>0.123</v>
      </c>
      <c r="O465" s="8">
        <f>+Tabla1[[#This Row],[Conversión]]*Tabla1[[#This Row],[Cantidad]]</f>
        <v>0.123</v>
      </c>
      <c r="P465" s="43">
        <f>Tabla1[[#This Row],[Neto]]-Tabla1[[#This Row],[Costo Venta]]</f>
        <v>11.627091</v>
      </c>
    </row>
    <row r="466" spans="1:16" x14ac:dyDescent="0.25">
      <c r="A466" s="48">
        <v>45561</v>
      </c>
      <c r="B466" s="1" t="s">
        <v>1</v>
      </c>
      <c r="C466" s="1" t="s">
        <v>65</v>
      </c>
      <c r="D466" s="1" t="s">
        <v>541</v>
      </c>
      <c r="E466" s="1" t="s">
        <v>67</v>
      </c>
      <c r="F466" s="1" t="s">
        <v>9</v>
      </c>
      <c r="G466" s="2">
        <v>4</v>
      </c>
      <c r="H466" s="51" t="s">
        <v>570</v>
      </c>
      <c r="I466" s="44">
        <f>Tabla1[[#This Row],[Descuento]]+Tabla1[[#This Row],[Neto]]</f>
        <v>103.524</v>
      </c>
      <c r="J466" s="9">
        <v>46.584000000000003</v>
      </c>
      <c r="K466" s="9">
        <v>56.94</v>
      </c>
      <c r="L466" s="9">
        <v>10.52088</v>
      </c>
      <c r="M466" s="24">
        <f>+Tabla1[[#This Row],[Costo Venta]]/Tabla1[[#This Row],[Cantidad]]</f>
        <v>2.63022</v>
      </c>
      <c r="N466" s="3">
        <v>0.123</v>
      </c>
      <c r="O466" s="8">
        <f>+Tabla1[[#This Row],[Conversión]]*Tabla1[[#This Row],[Cantidad]]</f>
        <v>0.49199999999999999</v>
      </c>
      <c r="P466" s="43">
        <f>Tabla1[[#This Row],[Neto]]-Tabla1[[#This Row],[Costo Venta]]</f>
        <v>46.419119999999999</v>
      </c>
    </row>
    <row r="467" spans="1:16" x14ac:dyDescent="0.25">
      <c r="A467" s="48">
        <v>45565</v>
      </c>
      <c r="B467" s="1" t="s">
        <v>1</v>
      </c>
      <c r="C467" s="1" t="s">
        <v>65</v>
      </c>
      <c r="D467" s="1" t="s">
        <v>542</v>
      </c>
      <c r="E467" s="1" t="s">
        <v>67</v>
      </c>
      <c r="F467" s="1" t="s">
        <v>20</v>
      </c>
      <c r="G467" s="2">
        <v>4</v>
      </c>
      <c r="H467" s="51" t="s">
        <v>570</v>
      </c>
      <c r="I467" s="44">
        <f>Tabla1[[#This Row],[Descuento]]+Tabla1[[#This Row],[Neto]]</f>
        <v>103.52200000000001</v>
      </c>
      <c r="J467" s="9">
        <v>36.231999999999999</v>
      </c>
      <c r="K467" s="9">
        <v>67.290000000000006</v>
      </c>
      <c r="L467" s="9">
        <v>10.52088</v>
      </c>
      <c r="M467" s="24">
        <f>+Tabla1[[#This Row],[Costo Venta]]/Tabla1[[#This Row],[Cantidad]]</f>
        <v>2.63022</v>
      </c>
      <c r="N467" s="3">
        <v>0.123</v>
      </c>
      <c r="O467" s="8">
        <f>+Tabla1[[#This Row],[Conversión]]*Tabla1[[#This Row],[Cantidad]]</f>
        <v>0.49199999999999999</v>
      </c>
      <c r="P467" s="43">
        <f>Tabla1[[#This Row],[Neto]]-Tabla1[[#This Row],[Costo Venta]]</f>
        <v>56.769120000000008</v>
      </c>
    </row>
    <row r="468" spans="1:16" x14ac:dyDescent="0.25">
      <c r="A468" s="48">
        <v>45583</v>
      </c>
      <c r="B468" s="1" t="s">
        <v>1</v>
      </c>
      <c r="C468" s="1" t="s">
        <v>65</v>
      </c>
      <c r="D468" s="1" t="s">
        <v>543</v>
      </c>
      <c r="E468" s="1" t="s">
        <v>67</v>
      </c>
      <c r="F468" s="1" t="s">
        <v>9</v>
      </c>
      <c r="G468" s="2">
        <v>4</v>
      </c>
      <c r="H468" s="51" t="s">
        <v>570</v>
      </c>
      <c r="I468" s="44">
        <f>Tabla1[[#This Row],[Descuento]]+Tabla1[[#This Row],[Neto]]</f>
        <v>103.524</v>
      </c>
      <c r="J468" s="9">
        <v>46.584000000000003</v>
      </c>
      <c r="K468" s="9">
        <v>56.94</v>
      </c>
      <c r="L468" s="9">
        <v>10.596704000000001</v>
      </c>
      <c r="M468" s="24">
        <f>+Tabla1[[#This Row],[Costo Venta]]/Tabla1[[#This Row],[Cantidad]]</f>
        <v>2.6491760000000002</v>
      </c>
      <c r="N468" s="3">
        <v>0.123</v>
      </c>
      <c r="O468" s="8">
        <f>+Tabla1[[#This Row],[Conversión]]*Tabla1[[#This Row],[Cantidad]]</f>
        <v>0.49199999999999999</v>
      </c>
      <c r="P468" s="43">
        <f>Tabla1[[#This Row],[Neto]]-Tabla1[[#This Row],[Costo Venta]]</f>
        <v>46.343295999999995</v>
      </c>
    </row>
    <row r="469" spans="1:16" x14ac:dyDescent="0.25">
      <c r="A469" s="48">
        <v>45589</v>
      </c>
      <c r="B469" s="1" t="s">
        <v>1</v>
      </c>
      <c r="C469" s="1" t="s">
        <v>65</v>
      </c>
      <c r="D469" s="1" t="s">
        <v>339</v>
      </c>
      <c r="E469" s="1" t="s">
        <v>71</v>
      </c>
      <c r="F469" s="1" t="s">
        <v>30</v>
      </c>
      <c r="G469" s="2">
        <v>6</v>
      </c>
      <c r="H469" s="51" t="s">
        <v>570</v>
      </c>
      <c r="I469" s="44">
        <f>Tabla1[[#This Row],[Descuento]]+Tabla1[[#This Row],[Neto]]</f>
        <v>155.28400000000002</v>
      </c>
      <c r="J469" s="9">
        <v>7.7640000000000002</v>
      </c>
      <c r="K469" s="9">
        <v>147.52000000000001</v>
      </c>
      <c r="L469" s="9">
        <v>15.641909999999999</v>
      </c>
      <c r="M469" s="24">
        <f>+Tabla1[[#This Row],[Costo Venta]]/Tabla1[[#This Row],[Cantidad]]</f>
        <v>2.6069849999999999</v>
      </c>
      <c r="N469" s="3">
        <v>0.123</v>
      </c>
      <c r="O469" s="8">
        <f>+Tabla1[[#This Row],[Conversión]]*Tabla1[[#This Row],[Cantidad]]</f>
        <v>0.73799999999999999</v>
      </c>
      <c r="P469" s="43">
        <f>Tabla1[[#This Row],[Neto]]-Tabla1[[#This Row],[Costo Venta]]</f>
        <v>131.87809000000001</v>
      </c>
    </row>
    <row r="470" spans="1:16" x14ac:dyDescent="0.25">
      <c r="A470" s="48">
        <v>45594</v>
      </c>
      <c r="B470" s="1" t="s">
        <v>1</v>
      </c>
      <c r="C470" s="1" t="s">
        <v>65</v>
      </c>
      <c r="D470" s="1" t="s">
        <v>544</v>
      </c>
      <c r="E470" s="1" t="s">
        <v>67</v>
      </c>
      <c r="F470" s="1" t="s">
        <v>9</v>
      </c>
      <c r="G470" s="2">
        <v>4</v>
      </c>
      <c r="H470" s="51" t="s">
        <v>570</v>
      </c>
      <c r="I470" s="44">
        <f>Tabla1[[#This Row],[Descuento]]+Tabla1[[#This Row],[Neto]]</f>
        <v>103.524</v>
      </c>
      <c r="J470" s="9">
        <v>46.584000000000003</v>
      </c>
      <c r="K470" s="9">
        <v>56.94</v>
      </c>
      <c r="L470" s="9">
        <v>10.420676</v>
      </c>
      <c r="M470" s="24">
        <f>+Tabla1[[#This Row],[Costo Venta]]/Tabla1[[#This Row],[Cantidad]]</f>
        <v>2.6051690000000001</v>
      </c>
      <c r="N470" s="3">
        <v>0.123</v>
      </c>
      <c r="O470" s="8">
        <f>+Tabla1[[#This Row],[Conversión]]*Tabla1[[#This Row],[Cantidad]]</f>
        <v>0.49199999999999999</v>
      </c>
      <c r="P470" s="43">
        <f>Tabla1[[#This Row],[Neto]]-Tabla1[[#This Row],[Costo Venta]]</f>
        <v>46.519323999999997</v>
      </c>
    </row>
    <row r="471" spans="1:16" x14ac:dyDescent="0.25">
      <c r="A471" s="48">
        <v>45594</v>
      </c>
      <c r="B471" s="1" t="s">
        <v>1</v>
      </c>
      <c r="C471" s="1" t="s">
        <v>65</v>
      </c>
      <c r="D471" s="1" t="s">
        <v>545</v>
      </c>
      <c r="E471" s="1" t="s">
        <v>67</v>
      </c>
      <c r="F471" s="1" t="s">
        <v>20</v>
      </c>
      <c r="G471" s="2">
        <v>4</v>
      </c>
      <c r="H471" s="51" t="s">
        <v>570</v>
      </c>
      <c r="I471" s="44">
        <f>Tabla1[[#This Row],[Descuento]]+Tabla1[[#This Row],[Neto]]</f>
        <v>103.52200000000001</v>
      </c>
      <c r="J471" s="9">
        <v>36.231999999999999</v>
      </c>
      <c r="K471" s="9">
        <v>67.290000000000006</v>
      </c>
      <c r="L471" s="9">
        <v>10.420676</v>
      </c>
      <c r="M471" s="24">
        <f>+Tabla1[[#This Row],[Costo Venta]]/Tabla1[[#This Row],[Cantidad]]</f>
        <v>2.6051690000000001</v>
      </c>
      <c r="N471" s="3">
        <v>0.123</v>
      </c>
      <c r="O471" s="8">
        <f>+Tabla1[[#This Row],[Conversión]]*Tabla1[[#This Row],[Cantidad]]</f>
        <v>0.49199999999999999</v>
      </c>
      <c r="P471" s="43">
        <f>Tabla1[[#This Row],[Neto]]-Tabla1[[#This Row],[Costo Venta]]</f>
        <v>56.869324000000006</v>
      </c>
    </row>
    <row r="472" spans="1:16" x14ac:dyDescent="0.25">
      <c r="A472" s="48">
        <v>45628</v>
      </c>
      <c r="B472" s="1" t="s">
        <v>1</v>
      </c>
      <c r="C472" s="1" t="s">
        <v>65</v>
      </c>
      <c r="D472" s="1" t="s">
        <v>546</v>
      </c>
      <c r="E472" s="1" t="s">
        <v>67</v>
      </c>
      <c r="F472" s="1" t="s">
        <v>20</v>
      </c>
      <c r="G472" s="2">
        <v>5</v>
      </c>
      <c r="H472" s="51" t="s">
        <v>570</v>
      </c>
      <c r="I472" s="44">
        <f>Tabla1[[#This Row],[Descuento]]+Tabla1[[#This Row],[Neto]]</f>
        <v>129.4</v>
      </c>
      <c r="J472" s="9">
        <v>58.23</v>
      </c>
      <c r="K472" s="9">
        <v>71.17</v>
      </c>
      <c r="L472" s="9">
        <v>12.99386</v>
      </c>
      <c r="M472" s="24">
        <f>+Tabla1[[#This Row],[Costo Venta]]/Tabla1[[#This Row],[Cantidad]]</f>
        <v>2.5987719999999999</v>
      </c>
      <c r="N472" s="3">
        <v>0.123</v>
      </c>
      <c r="O472" s="8">
        <f>+Tabla1[[#This Row],[Conversión]]*Tabla1[[#This Row],[Cantidad]]</f>
        <v>0.61499999999999999</v>
      </c>
      <c r="P472" s="43">
        <f>Tabla1[[#This Row],[Neto]]-Tabla1[[#This Row],[Costo Venta]]</f>
        <v>58.176140000000004</v>
      </c>
    </row>
    <row r="473" spans="1:16" x14ac:dyDescent="0.25">
      <c r="A473" s="48">
        <v>45639</v>
      </c>
      <c r="B473" s="1" t="s">
        <v>1</v>
      </c>
      <c r="C473" s="1" t="s">
        <v>143</v>
      </c>
      <c r="D473" s="1" t="s">
        <v>353</v>
      </c>
      <c r="E473" s="1" t="s">
        <v>132</v>
      </c>
      <c r="F473" s="1" t="s">
        <v>29</v>
      </c>
      <c r="G473" s="2">
        <v>5</v>
      </c>
      <c r="H473" s="51" t="s">
        <v>570</v>
      </c>
      <c r="I473" s="44">
        <f>Tabla1[[#This Row],[Descuento]]+Tabla1[[#This Row],[Neto]]</f>
        <v>129.4</v>
      </c>
      <c r="J473" s="9">
        <v>38.82</v>
      </c>
      <c r="K473" s="9">
        <v>90.58</v>
      </c>
      <c r="L473" s="9">
        <v>12.99386</v>
      </c>
      <c r="M473" s="24">
        <f>+Tabla1[[#This Row],[Costo Venta]]/Tabla1[[#This Row],[Cantidad]]</f>
        <v>2.5987719999999999</v>
      </c>
      <c r="N473" s="3">
        <v>0.123</v>
      </c>
      <c r="O473" s="8">
        <f>+Tabla1[[#This Row],[Conversión]]*Tabla1[[#This Row],[Cantidad]]</f>
        <v>0.61499999999999999</v>
      </c>
      <c r="P473" s="43">
        <f>Tabla1[[#This Row],[Neto]]-Tabla1[[#This Row],[Costo Venta]]</f>
        <v>77.58614</v>
      </c>
    </row>
    <row r="474" spans="1:16" x14ac:dyDescent="0.25">
      <c r="A474" s="48">
        <v>45674</v>
      </c>
      <c r="B474" s="1" t="s">
        <v>1</v>
      </c>
      <c r="C474" s="1" t="s">
        <v>65</v>
      </c>
      <c r="D474" s="1" t="s">
        <v>361</v>
      </c>
      <c r="E474" s="1" t="s">
        <v>137</v>
      </c>
      <c r="F474" s="1" t="s">
        <v>38</v>
      </c>
      <c r="G474" s="2">
        <v>2</v>
      </c>
      <c r="H474" s="51" t="s">
        <v>570</v>
      </c>
      <c r="I474" s="44">
        <f>Tabla1[[#This Row],[Descuento]]+Tabla1[[#This Row],[Neto]]</f>
        <v>51.764000000000003</v>
      </c>
      <c r="J474" s="9">
        <v>7.7640000000000002</v>
      </c>
      <c r="K474" s="9">
        <v>44</v>
      </c>
      <c r="L474" s="9">
        <v>4.245914</v>
      </c>
      <c r="M474" s="24">
        <f>+Tabla1[[#This Row],[Costo Venta]]/Tabla1[[#This Row],[Cantidad]]</f>
        <v>2.122957</v>
      </c>
      <c r="N474" s="3">
        <v>0.123</v>
      </c>
      <c r="O474" s="8">
        <f>+Tabla1[[#This Row],[Conversión]]*Tabla1[[#This Row],[Cantidad]]</f>
        <v>0.246</v>
      </c>
      <c r="P474" s="43">
        <f>Tabla1[[#This Row],[Neto]]-Tabla1[[#This Row],[Costo Venta]]</f>
        <v>39.754086000000001</v>
      </c>
    </row>
    <row r="475" spans="1:16" x14ac:dyDescent="0.25">
      <c r="A475" s="48">
        <v>45698</v>
      </c>
      <c r="B475" s="1" t="s">
        <v>1</v>
      </c>
      <c r="C475" s="1" t="s">
        <v>65</v>
      </c>
      <c r="D475" s="1" t="s">
        <v>547</v>
      </c>
      <c r="E475" s="1" t="s">
        <v>67</v>
      </c>
      <c r="F475" s="1" t="s">
        <v>9</v>
      </c>
      <c r="G475" s="2">
        <v>2</v>
      </c>
      <c r="H475" s="51" t="s">
        <v>570</v>
      </c>
      <c r="I475" s="44">
        <f>Tabla1[[#This Row],[Descuento]]+Tabla1[[#This Row],[Neto]]</f>
        <v>51.762</v>
      </c>
      <c r="J475" s="9">
        <v>23.292000000000002</v>
      </c>
      <c r="K475" s="9">
        <v>28.47</v>
      </c>
      <c r="L475" s="9">
        <v>4.2054</v>
      </c>
      <c r="M475" s="24">
        <f>+Tabla1[[#This Row],[Costo Venta]]/Tabla1[[#This Row],[Cantidad]]</f>
        <v>2.1027</v>
      </c>
      <c r="N475" s="3">
        <v>0.123</v>
      </c>
      <c r="O475" s="8">
        <f>+Tabla1[[#This Row],[Conversión]]*Tabla1[[#This Row],[Cantidad]]</f>
        <v>0.246</v>
      </c>
      <c r="P475" s="43">
        <f>Tabla1[[#This Row],[Neto]]-Tabla1[[#This Row],[Costo Venta]]</f>
        <v>24.264599999999998</v>
      </c>
    </row>
    <row r="476" spans="1:16" x14ac:dyDescent="0.25">
      <c r="A476" s="48">
        <v>45699</v>
      </c>
      <c r="B476" s="1" t="s">
        <v>1</v>
      </c>
      <c r="C476" s="1" t="s">
        <v>65</v>
      </c>
      <c r="D476" s="1" t="s">
        <v>548</v>
      </c>
      <c r="E476" s="1" t="s">
        <v>67</v>
      </c>
      <c r="F476" s="1" t="s">
        <v>9</v>
      </c>
      <c r="G476" s="2">
        <v>5</v>
      </c>
      <c r="H476" s="51" t="s">
        <v>570</v>
      </c>
      <c r="I476" s="44">
        <f>Tabla1[[#This Row],[Descuento]]+Tabla1[[#This Row],[Neto]]</f>
        <v>129.4</v>
      </c>
      <c r="J476" s="9">
        <v>58.23</v>
      </c>
      <c r="K476" s="9">
        <v>71.17</v>
      </c>
      <c r="L476" s="9">
        <v>10.395334999999999</v>
      </c>
      <c r="M476" s="24">
        <f>+Tabla1[[#This Row],[Costo Venta]]/Tabla1[[#This Row],[Cantidad]]</f>
        <v>2.0790669999999998</v>
      </c>
      <c r="N476" s="3">
        <v>0.123</v>
      </c>
      <c r="O476" s="8">
        <f>+Tabla1[[#This Row],[Conversión]]*Tabla1[[#This Row],[Cantidad]]</f>
        <v>0.61499999999999999</v>
      </c>
      <c r="P476" s="43">
        <f>Tabla1[[#This Row],[Neto]]-Tabla1[[#This Row],[Costo Venta]]</f>
        <v>60.774664999999999</v>
      </c>
    </row>
    <row r="477" spans="1:16" x14ac:dyDescent="0.25">
      <c r="A477" s="48">
        <v>45721</v>
      </c>
      <c r="B477" s="1" t="s">
        <v>1</v>
      </c>
      <c r="C477" s="1" t="s">
        <v>65</v>
      </c>
      <c r="D477" s="1" t="s">
        <v>369</v>
      </c>
      <c r="E477" s="1" t="s">
        <v>67</v>
      </c>
      <c r="F477" s="1" t="s">
        <v>43</v>
      </c>
      <c r="G477" s="2">
        <v>4</v>
      </c>
      <c r="H477" s="51" t="s">
        <v>570</v>
      </c>
      <c r="I477" s="44">
        <f>Tabla1[[#This Row],[Descuento]]+Tabla1[[#This Row],[Neto]]</f>
        <v>103.51599999999999</v>
      </c>
      <c r="J477" s="9">
        <v>31.056000000000001</v>
      </c>
      <c r="K477" s="9">
        <v>72.459999999999994</v>
      </c>
      <c r="L477" s="9">
        <v>8.4712639999999997</v>
      </c>
      <c r="M477" s="24">
        <f>+Tabla1[[#This Row],[Costo Venta]]/Tabla1[[#This Row],[Cantidad]]</f>
        <v>2.1178159999999999</v>
      </c>
      <c r="N477" s="3">
        <v>0.123</v>
      </c>
      <c r="O477" s="8">
        <f>+Tabla1[[#This Row],[Conversión]]*Tabla1[[#This Row],[Cantidad]]</f>
        <v>0.49199999999999999</v>
      </c>
      <c r="P477" s="43">
        <f>Tabla1[[#This Row],[Neto]]-Tabla1[[#This Row],[Costo Venta]]</f>
        <v>63.988735999999996</v>
      </c>
    </row>
    <row r="478" spans="1:16" x14ac:dyDescent="0.25">
      <c r="A478" s="48">
        <v>45730</v>
      </c>
      <c r="B478" s="1" t="s">
        <v>1</v>
      </c>
      <c r="C478" s="1" t="s">
        <v>65</v>
      </c>
      <c r="D478" s="1" t="s">
        <v>572</v>
      </c>
      <c r="E478" s="1" t="s">
        <v>137</v>
      </c>
      <c r="F478" s="1" t="s">
        <v>38</v>
      </c>
      <c r="G478" s="2">
        <v>2</v>
      </c>
      <c r="H478" s="51" t="s">
        <v>570</v>
      </c>
      <c r="I478" s="44">
        <f>Tabla1[[#This Row],[Descuento]]+Tabla1[[#This Row],[Neto]]</f>
        <v>51.764000000000003</v>
      </c>
      <c r="J478" s="9">
        <v>7.7640000000000002</v>
      </c>
      <c r="K478" s="9">
        <v>44</v>
      </c>
      <c r="L478" s="9">
        <v>5.0774679999999996</v>
      </c>
      <c r="M478" s="24">
        <f>+Tabla1[[#This Row],[Costo Venta]]/Tabla1[[#This Row],[Cantidad]]</f>
        <v>2.5387339999999998</v>
      </c>
      <c r="N478" s="3">
        <v>0.123</v>
      </c>
      <c r="O478" s="8">
        <f>+Tabla1[[#This Row],[Conversión]]*Tabla1[[#This Row],[Cantidad]]</f>
        <v>0.246</v>
      </c>
      <c r="P478" s="43">
        <f>Tabla1[[#This Row],[Neto]]-Tabla1[[#This Row],[Costo Venta]]</f>
        <v>38.922532000000004</v>
      </c>
    </row>
    <row r="479" spans="1:16" x14ac:dyDescent="0.25">
      <c r="A479" s="48">
        <v>45749</v>
      </c>
      <c r="B479" s="1" t="s">
        <v>1</v>
      </c>
      <c r="C479" s="1" t="s">
        <v>65</v>
      </c>
      <c r="D479" s="1" t="s">
        <v>549</v>
      </c>
      <c r="E479" s="1" t="s">
        <v>67</v>
      </c>
      <c r="F479" s="1" t="s">
        <v>41</v>
      </c>
      <c r="G479" s="2">
        <v>4</v>
      </c>
      <c r="H479" s="51" t="s">
        <v>570</v>
      </c>
      <c r="I479" s="44">
        <f>Tabla1[[#This Row],[Descuento]]+Tabla1[[#This Row],[Neto]]</f>
        <v>103.51599999999999</v>
      </c>
      <c r="J479" s="9">
        <v>31.056000000000001</v>
      </c>
      <c r="K479" s="9">
        <v>72.459999999999994</v>
      </c>
      <c r="L479" s="9">
        <v>8.3402999999999992</v>
      </c>
      <c r="M479" s="24">
        <f>+Tabla1[[#This Row],[Costo Venta]]/Tabla1[[#This Row],[Cantidad]]</f>
        <v>2.0850749999999998</v>
      </c>
      <c r="N479" s="3">
        <v>0.123</v>
      </c>
      <c r="O479" s="8">
        <f>+Tabla1[[#This Row],[Conversión]]*Tabla1[[#This Row],[Cantidad]]</f>
        <v>0.49199999999999999</v>
      </c>
      <c r="P479" s="43">
        <f>Tabla1[[#This Row],[Neto]]-Tabla1[[#This Row],[Costo Venta]]</f>
        <v>64.119699999999995</v>
      </c>
    </row>
    <row r="480" spans="1:16" x14ac:dyDescent="0.25">
      <c r="A480" s="48">
        <v>45756</v>
      </c>
      <c r="B480" s="1" t="s">
        <v>1</v>
      </c>
      <c r="C480" s="1" t="s">
        <v>65</v>
      </c>
      <c r="D480" s="1" t="s">
        <v>573</v>
      </c>
      <c r="E480" s="1" t="s">
        <v>67</v>
      </c>
      <c r="F480" s="1" t="s">
        <v>20</v>
      </c>
      <c r="G480" s="2">
        <v>1</v>
      </c>
      <c r="H480" s="51" t="s">
        <v>570</v>
      </c>
      <c r="I480" s="44">
        <f>Tabla1[[#This Row],[Descuento]]+Tabla1[[#This Row],[Neto]]</f>
        <v>25.884</v>
      </c>
      <c r="J480" s="9">
        <v>7.7640000000000002</v>
      </c>
      <c r="K480" s="9">
        <v>18.12</v>
      </c>
      <c r="L480" s="9">
        <v>2.0711490000000001</v>
      </c>
      <c r="M480" s="24">
        <f>+Tabla1[[#This Row],[Costo Venta]]/Tabla1[[#This Row],[Cantidad]]</f>
        <v>2.0711490000000001</v>
      </c>
      <c r="N480" s="3">
        <v>0.123</v>
      </c>
      <c r="O480" s="8">
        <f>+Tabla1[[#This Row],[Conversión]]*Tabla1[[#This Row],[Cantidad]]</f>
        <v>0.123</v>
      </c>
      <c r="P480" s="43">
        <f>Tabla1[[#This Row],[Neto]]-Tabla1[[#This Row],[Costo Venta]]</f>
        <v>16.048850999999999</v>
      </c>
    </row>
    <row r="481" spans="1:16" x14ac:dyDescent="0.25">
      <c r="A481" s="48">
        <v>45797</v>
      </c>
      <c r="B481" s="1" t="s">
        <v>1</v>
      </c>
      <c r="C481" s="1" t="s">
        <v>65</v>
      </c>
      <c r="D481" s="1" t="s">
        <v>550</v>
      </c>
      <c r="E481" s="1" t="s">
        <v>67</v>
      </c>
      <c r="F481" s="1" t="s">
        <v>9</v>
      </c>
      <c r="G481" s="2">
        <v>2</v>
      </c>
      <c r="H481" s="51" t="s">
        <v>570</v>
      </c>
      <c r="I481" s="44">
        <f>Tabla1[[#This Row],[Descuento]]+Tabla1[[#This Row],[Neto]]</f>
        <v>51.762</v>
      </c>
      <c r="J481" s="9">
        <v>23.292000000000002</v>
      </c>
      <c r="K481" s="9">
        <v>28.47</v>
      </c>
      <c r="L481" s="9">
        <v>4.1372020000000003</v>
      </c>
      <c r="M481" s="24">
        <f>+Tabla1[[#This Row],[Costo Venta]]/Tabla1[[#This Row],[Cantidad]]</f>
        <v>2.0686010000000001</v>
      </c>
      <c r="N481" s="3">
        <v>0.123</v>
      </c>
      <c r="O481" s="8">
        <f>+Tabla1[[#This Row],[Conversión]]*Tabla1[[#This Row],[Cantidad]]</f>
        <v>0.246</v>
      </c>
      <c r="P481" s="43">
        <f>Tabla1[[#This Row],[Neto]]-Tabla1[[#This Row],[Costo Venta]]</f>
        <v>24.332797999999997</v>
      </c>
    </row>
    <row r="482" spans="1:16" x14ac:dyDescent="0.25">
      <c r="A482" s="48">
        <v>45799</v>
      </c>
      <c r="B482" s="1" t="s">
        <v>1</v>
      </c>
      <c r="C482" s="1" t="s">
        <v>65</v>
      </c>
      <c r="D482" s="1" t="s">
        <v>379</v>
      </c>
      <c r="E482" s="1" t="s">
        <v>71</v>
      </c>
      <c r="F482" s="1" t="s">
        <v>45</v>
      </c>
      <c r="G482" s="2">
        <v>4</v>
      </c>
      <c r="H482" s="51" t="s">
        <v>570</v>
      </c>
      <c r="I482" s="44">
        <f>Tabla1[[#This Row],[Descuento]]+Tabla1[[#This Row],[Neto]]</f>
        <v>103.51599999999999</v>
      </c>
      <c r="J482" s="9">
        <v>31.056000000000001</v>
      </c>
      <c r="K482" s="9">
        <v>72.459999999999994</v>
      </c>
      <c r="L482" s="9">
        <v>8.2744040000000005</v>
      </c>
      <c r="M482" s="24">
        <f>+Tabla1[[#This Row],[Costo Venta]]/Tabla1[[#This Row],[Cantidad]]</f>
        <v>2.0686010000000001</v>
      </c>
      <c r="N482" s="3">
        <v>0.123</v>
      </c>
      <c r="O482" s="8">
        <f>+Tabla1[[#This Row],[Conversión]]*Tabla1[[#This Row],[Cantidad]]</f>
        <v>0.49199999999999999</v>
      </c>
      <c r="P482" s="43">
        <f>Tabla1[[#This Row],[Neto]]-Tabla1[[#This Row],[Costo Venta]]</f>
        <v>64.18559599999999</v>
      </c>
    </row>
    <row r="483" spans="1:16" x14ac:dyDescent="0.25">
      <c r="A483" s="48">
        <v>45904</v>
      </c>
      <c r="B483" s="1" t="s">
        <v>1</v>
      </c>
      <c r="C483" s="1" t="s">
        <v>65</v>
      </c>
      <c r="D483" s="1" t="s">
        <v>574</v>
      </c>
      <c r="E483" s="1" t="s">
        <v>67</v>
      </c>
      <c r="F483" s="1" t="s">
        <v>9</v>
      </c>
      <c r="G483" s="2">
        <v>4</v>
      </c>
      <c r="H483" s="51" t="s">
        <v>570</v>
      </c>
      <c r="I483" s="44">
        <f>Tabla1[[#This Row],[Descuento]]+Tabla1[[#This Row],[Neto]]</f>
        <v>103.524</v>
      </c>
      <c r="J483" s="9">
        <v>46.584000000000003</v>
      </c>
      <c r="K483" s="9">
        <v>56.94</v>
      </c>
      <c r="L483" s="9">
        <v>8.1220440000000007</v>
      </c>
      <c r="M483" s="24">
        <f>+Tabla1[[#This Row],[Costo Venta]]/Tabla1[[#This Row],[Cantidad]]</f>
        <v>2.0305110000000002</v>
      </c>
      <c r="N483" s="3">
        <v>0.123</v>
      </c>
      <c r="O483" s="8">
        <f>+Tabla1[[#This Row],[Conversión]]*Tabla1[[#This Row],[Cantidad]]</f>
        <v>0.49199999999999999</v>
      </c>
      <c r="P483" s="43">
        <f>Tabla1[[#This Row],[Neto]]-Tabla1[[#This Row],[Costo Venta]]</f>
        <v>48.817955999999995</v>
      </c>
    </row>
    <row r="484" spans="1:16" x14ac:dyDescent="0.25">
      <c r="A484" s="48">
        <v>45908</v>
      </c>
      <c r="B484" s="1" t="s">
        <v>1</v>
      </c>
      <c r="C484" s="1" t="s">
        <v>65</v>
      </c>
      <c r="D484" s="1" t="s">
        <v>552</v>
      </c>
      <c r="E484" s="1" t="s">
        <v>67</v>
      </c>
      <c r="F484" s="1" t="s">
        <v>9</v>
      </c>
      <c r="G484" s="2">
        <v>3</v>
      </c>
      <c r="H484" s="51" t="s">
        <v>570</v>
      </c>
      <c r="I484" s="44">
        <f>Tabla1[[#This Row],[Descuento]]+Tabla1[[#This Row],[Neto]]</f>
        <v>77.638000000000005</v>
      </c>
      <c r="J484" s="9">
        <v>34.938000000000002</v>
      </c>
      <c r="K484" s="9">
        <v>42.7</v>
      </c>
      <c r="L484" s="9">
        <v>6.0915330000000001</v>
      </c>
      <c r="M484" s="24">
        <f>+Tabla1[[#This Row],[Costo Venta]]/Tabla1[[#This Row],[Cantidad]]</f>
        <v>2.0305110000000002</v>
      </c>
      <c r="N484" s="3">
        <v>0.123</v>
      </c>
      <c r="O484" s="8">
        <f>+Tabla1[[#This Row],[Conversión]]*Tabla1[[#This Row],[Cantidad]]</f>
        <v>0.36899999999999999</v>
      </c>
      <c r="P484" s="43">
        <f>Tabla1[[#This Row],[Neto]]-Tabla1[[#This Row],[Costo Venta]]</f>
        <v>36.608467000000005</v>
      </c>
    </row>
    <row r="485" spans="1:16" x14ac:dyDescent="0.25">
      <c r="A485" s="48">
        <v>45917</v>
      </c>
      <c r="B485" s="1" t="s">
        <v>1</v>
      </c>
      <c r="C485" s="1" t="s">
        <v>65</v>
      </c>
      <c r="D485" s="1" t="s">
        <v>553</v>
      </c>
      <c r="E485" s="1" t="s">
        <v>67</v>
      </c>
      <c r="F485" s="1" t="s">
        <v>9</v>
      </c>
      <c r="G485" s="2">
        <v>4</v>
      </c>
      <c r="H485" s="51" t="s">
        <v>570</v>
      </c>
      <c r="I485" s="44">
        <f>Tabla1[[#This Row],[Descuento]]+Tabla1[[#This Row],[Neto]]</f>
        <v>103.524</v>
      </c>
      <c r="J485" s="9">
        <v>46.584000000000003</v>
      </c>
      <c r="K485" s="9">
        <v>56.94</v>
      </c>
      <c r="L485" s="9">
        <v>8.1220440000000007</v>
      </c>
      <c r="M485" s="24">
        <f>+Tabla1[[#This Row],[Costo Venta]]/Tabla1[[#This Row],[Cantidad]]</f>
        <v>2.0305110000000002</v>
      </c>
      <c r="N485" s="3">
        <v>0.123</v>
      </c>
      <c r="O485" s="8">
        <f>+Tabla1[[#This Row],[Conversión]]*Tabla1[[#This Row],[Cantidad]]</f>
        <v>0.49199999999999999</v>
      </c>
      <c r="P485" s="43">
        <f>Tabla1[[#This Row],[Neto]]-Tabla1[[#This Row],[Costo Venta]]</f>
        <v>48.817955999999995</v>
      </c>
    </row>
    <row r="486" spans="1:16" x14ac:dyDescent="0.25">
      <c r="A486" s="48">
        <v>44958</v>
      </c>
      <c r="B486" s="1" t="s">
        <v>1</v>
      </c>
      <c r="C486" s="1" t="s">
        <v>109</v>
      </c>
      <c r="D486" s="1" t="s">
        <v>575</v>
      </c>
      <c r="E486" s="1" t="s">
        <v>67</v>
      </c>
      <c r="F486" s="1" t="s">
        <v>9</v>
      </c>
      <c r="G486" s="2">
        <v>44</v>
      </c>
      <c r="H486" s="1" t="s">
        <v>576</v>
      </c>
      <c r="I486" s="44">
        <f>Tabla1[[#This Row],[Descuento]]+Tabla1[[#This Row],[Neto]]</f>
        <v>1540</v>
      </c>
      <c r="J486" s="9">
        <v>539</v>
      </c>
      <c r="K486" s="9">
        <v>1001</v>
      </c>
      <c r="L486" s="9">
        <v>144.599356</v>
      </c>
      <c r="M486" s="24">
        <f>+Tabla1[[#This Row],[Costo Venta]]/Tabla1[[#This Row],[Cantidad]]</f>
        <v>3.286349</v>
      </c>
      <c r="N486" s="3">
        <v>0.5</v>
      </c>
      <c r="O486" s="8">
        <f>+Tabla1[[#This Row],[Conversión]]*Tabla1[[#This Row],[Cantidad]]</f>
        <v>22</v>
      </c>
      <c r="P486" s="43">
        <f>Tabla1[[#This Row],[Neto]]-Tabla1[[#This Row],[Costo Venta]]</f>
        <v>856.40064400000006</v>
      </c>
    </row>
    <row r="487" spans="1:16" x14ac:dyDescent="0.25">
      <c r="A487" s="48">
        <v>45030</v>
      </c>
      <c r="B487" s="1" t="s">
        <v>1</v>
      </c>
      <c r="C487" s="1" t="s">
        <v>109</v>
      </c>
      <c r="D487" s="1" t="s">
        <v>577</v>
      </c>
      <c r="E487" s="1" t="s">
        <v>67</v>
      </c>
      <c r="F487" s="1" t="s">
        <v>20</v>
      </c>
      <c r="G487" s="2">
        <v>13</v>
      </c>
      <c r="H487" s="1" t="s">
        <v>576</v>
      </c>
      <c r="I487" s="44">
        <f>Tabla1[[#This Row],[Descuento]]+Tabla1[[#This Row],[Neto]]</f>
        <v>455</v>
      </c>
      <c r="J487" s="9">
        <v>159.25</v>
      </c>
      <c r="K487" s="9">
        <v>295.75</v>
      </c>
      <c r="L487" s="9">
        <v>46.5075</v>
      </c>
      <c r="M487" s="24">
        <f>+Tabla1[[#This Row],[Costo Venta]]/Tabla1[[#This Row],[Cantidad]]</f>
        <v>3.5775000000000001</v>
      </c>
      <c r="N487" s="3">
        <v>0.5</v>
      </c>
      <c r="O487" s="8">
        <f>+Tabla1[[#This Row],[Conversión]]*Tabla1[[#This Row],[Cantidad]]</f>
        <v>6.5</v>
      </c>
      <c r="P487" s="43">
        <f>Tabla1[[#This Row],[Neto]]-Tabla1[[#This Row],[Costo Venta]]</f>
        <v>249.24250000000001</v>
      </c>
    </row>
    <row r="488" spans="1:16" x14ac:dyDescent="0.25">
      <c r="A488" s="48">
        <v>45054</v>
      </c>
      <c r="B488" s="1" t="s">
        <v>1</v>
      </c>
      <c r="C488" s="1" t="s">
        <v>109</v>
      </c>
      <c r="D488" s="1" t="s">
        <v>578</v>
      </c>
      <c r="E488" s="1" t="s">
        <v>67</v>
      </c>
      <c r="F488" s="1" t="s">
        <v>20</v>
      </c>
      <c r="G488" s="2">
        <v>4</v>
      </c>
      <c r="H488" s="1" t="s">
        <v>576</v>
      </c>
      <c r="I488" s="44">
        <f>Tabla1[[#This Row],[Descuento]]+Tabla1[[#This Row],[Neto]]</f>
        <v>140</v>
      </c>
      <c r="J488" s="9">
        <v>49</v>
      </c>
      <c r="K488" s="9">
        <v>91</v>
      </c>
      <c r="L488" s="9">
        <v>13.688000000000001</v>
      </c>
      <c r="M488" s="24">
        <f>+Tabla1[[#This Row],[Costo Venta]]/Tabla1[[#This Row],[Cantidad]]</f>
        <v>3.4220000000000002</v>
      </c>
      <c r="N488" s="3">
        <v>0.5</v>
      </c>
      <c r="O488" s="8">
        <f>+Tabla1[[#This Row],[Conversión]]*Tabla1[[#This Row],[Cantidad]]</f>
        <v>2</v>
      </c>
      <c r="P488" s="43">
        <f>Tabla1[[#This Row],[Neto]]-Tabla1[[#This Row],[Costo Venta]]</f>
        <v>77.311999999999998</v>
      </c>
    </row>
    <row r="489" spans="1:16" x14ac:dyDescent="0.25">
      <c r="A489" s="48">
        <v>45079</v>
      </c>
      <c r="B489" s="1" t="s">
        <v>1</v>
      </c>
      <c r="C489" s="1" t="s">
        <v>109</v>
      </c>
      <c r="D489" s="1" t="s">
        <v>579</v>
      </c>
      <c r="E489" s="1" t="s">
        <v>67</v>
      </c>
      <c r="F489" s="1" t="s">
        <v>20</v>
      </c>
      <c r="G489" s="2">
        <v>1</v>
      </c>
      <c r="H489" s="1" t="s">
        <v>576</v>
      </c>
      <c r="I489" s="44">
        <f>Tabla1[[#This Row],[Descuento]]+Tabla1[[#This Row],[Neto]]</f>
        <v>35</v>
      </c>
      <c r="J489" s="9">
        <v>12.25</v>
      </c>
      <c r="K489" s="9">
        <v>22.75</v>
      </c>
      <c r="L489" s="9">
        <v>3.4220000000000002</v>
      </c>
      <c r="M489" s="24">
        <f>+Tabla1[[#This Row],[Costo Venta]]/Tabla1[[#This Row],[Cantidad]]</f>
        <v>3.4220000000000002</v>
      </c>
      <c r="N489" s="3">
        <v>0.5</v>
      </c>
      <c r="O489" s="8">
        <f>+Tabla1[[#This Row],[Conversión]]*Tabla1[[#This Row],[Cantidad]]</f>
        <v>0.5</v>
      </c>
      <c r="P489" s="43">
        <f>Tabla1[[#This Row],[Neto]]-Tabla1[[#This Row],[Costo Venta]]</f>
        <v>19.327999999999999</v>
      </c>
    </row>
    <row r="490" spans="1:16" x14ac:dyDescent="0.25">
      <c r="A490" s="48">
        <v>45224</v>
      </c>
      <c r="B490" s="1" t="s">
        <v>1</v>
      </c>
      <c r="C490" s="1" t="s">
        <v>81</v>
      </c>
      <c r="D490" s="1" t="s">
        <v>580</v>
      </c>
      <c r="E490" s="1" t="s">
        <v>67</v>
      </c>
      <c r="F490" s="1" t="s">
        <v>20</v>
      </c>
      <c r="G490" s="2">
        <v>48</v>
      </c>
      <c r="H490" s="1" t="s">
        <v>581</v>
      </c>
      <c r="I490" s="44">
        <f>Tabla1[[#This Row],[Descuento]]+Tabla1[[#This Row],[Neto]]</f>
        <v>912</v>
      </c>
      <c r="J490" s="9">
        <v>319.2</v>
      </c>
      <c r="K490" s="9">
        <v>592.79999999999995</v>
      </c>
      <c r="L490" s="9">
        <v>74.614943999999994</v>
      </c>
      <c r="M490" s="24">
        <f>+Tabla1[[#This Row],[Costo Venta]]/Tabla1[[#This Row],[Cantidad]]</f>
        <v>1.5544779999999998</v>
      </c>
      <c r="N490" s="3">
        <v>0.25</v>
      </c>
      <c r="O490" s="8">
        <f>+Tabla1[[#This Row],[Conversión]]*Tabla1[[#This Row],[Cantidad]]</f>
        <v>12</v>
      </c>
      <c r="P490" s="43">
        <f>Tabla1[[#This Row],[Neto]]-Tabla1[[#This Row],[Costo Venta]]</f>
        <v>518.18505599999992</v>
      </c>
    </row>
    <row r="491" spans="1:16" x14ac:dyDescent="0.25">
      <c r="A491" s="48">
        <v>45280</v>
      </c>
      <c r="B491" s="1" t="s">
        <v>1</v>
      </c>
      <c r="C491" s="1" t="s">
        <v>81</v>
      </c>
      <c r="D491" s="1" t="s">
        <v>582</v>
      </c>
      <c r="E491" s="1" t="s">
        <v>67</v>
      </c>
      <c r="F491" s="1" t="s">
        <v>20</v>
      </c>
      <c r="G491" s="2">
        <v>3</v>
      </c>
      <c r="H491" s="1" t="s">
        <v>581</v>
      </c>
      <c r="I491" s="44">
        <f>Tabla1[[#This Row],[Descuento]]+Tabla1[[#This Row],[Neto]]</f>
        <v>57</v>
      </c>
      <c r="J491" s="9">
        <v>19.95</v>
      </c>
      <c r="K491" s="9">
        <v>37.049999999999997</v>
      </c>
      <c r="L491" s="9">
        <v>4.7419200000000004</v>
      </c>
      <c r="M491" s="24">
        <f>+Tabla1[[#This Row],[Costo Venta]]/Tabla1[[#This Row],[Cantidad]]</f>
        <v>1.58064</v>
      </c>
      <c r="N491" s="3">
        <v>0.25</v>
      </c>
      <c r="O491" s="8">
        <f>+Tabla1[[#This Row],[Conversión]]*Tabla1[[#This Row],[Cantidad]]</f>
        <v>0.75</v>
      </c>
      <c r="P491" s="43">
        <f>Tabla1[[#This Row],[Neto]]-Tabla1[[#This Row],[Costo Venta]]</f>
        <v>32.308079999999997</v>
      </c>
    </row>
    <row r="492" spans="1:16" x14ac:dyDescent="0.25">
      <c r="A492" s="48">
        <v>45625</v>
      </c>
      <c r="B492" s="1" t="s">
        <v>1</v>
      </c>
      <c r="C492" s="1" t="s">
        <v>29</v>
      </c>
      <c r="D492" s="1" t="s">
        <v>347</v>
      </c>
      <c r="E492" s="1" t="s">
        <v>132</v>
      </c>
      <c r="F492" s="1" t="s">
        <v>29</v>
      </c>
      <c r="G492" s="2">
        <v>28</v>
      </c>
      <c r="H492" s="1" t="s">
        <v>581</v>
      </c>
      <c r="I492" s="44">
        <f>Tabla1[[#This Row],[Descuento]]+Tabla1[[#This Row],[Neto]]</f>
        <v>556.64199999999994</v>
      </c>
      <c r="J492" s="9">
        <v>166.99199999999999</v>
      </c>
      <c r="K492" s="9">
        <v>389.65</v>
      </c>
      <c r="L492" s="9">
        <v>40.533583999999998</v>
      </c>
      <c r="M492" s="24">
        <f>+Tabla1[[#This Row],[Costo Venta]]/Tabla1[[#This Row],[Cantidad]]</f>
        <v>1.4476279999999999</v>
      </c>
      <c r="N492" s="3">
        <v>0.25</v>
      </c>
      <c r="O492" s="8">
        <f>+Tabla1[[#This Row],[Conversión]]*Tabla1[[#This Row],[Cantidad]]</f>
        <v>7</v>
      </c>
      <c r="P492" s="43">
        <f>Tabla1[[#This Row],[Neto]]-Tabla1[[#This Row],[Costo Venta]]</f>
        <v>349.11641599999996</v>
      </c>
    </row>
    <row r="493" spans="1:16" x14ac:dyDescent="0.25">
      <c r="A493" s="48">
        <v>44994</v>
      </c>
      <c r="B493" s="1" t="s">
        <v>1</v>
      </c>
      <c r="C493" s="1" t="s">
        <v>109</v>
      </c>
      <c r="D493" s="1" t="s">
        <v>153</v>
      </c>
      <c r="E493" s="1" t="s">
        <v>132</v>
      </c>
      <c r="F493" s="1" t="s">
        <v>21</v>
      </c>
      <c r="G493" s="2">
        <v>62</v>
      </c>
      <c r="H493" s="1" t="s">
        <v>583</v>
      </c>
      <c r="I493" s="44">
        <f>Tabla1[[#This Row],[Descuento]]+Tabla1[[#This Row],[Neto]]</f>
        <v>1178</v>
      </c>
      <c r="J493" s="9">
        <v>353.4</v>
      </c>
      <c r="K493" s="9">
        <v>824.6</v>
      </c>
      <c r="L493" s="9">
        <v>330.79982200000001</v>
      </c>
      <c r="M493" s="24">
        <f>+Tabla1[[#This Row],[Costo Venta]]/Tabla1[[#This Row],[Cantidad]]</f>
        <v>5.3354809999999997</v>
      </c>
      <c r="N493" s="3">
        <v>0.25</v>
      </c>
      <c r="O493" s="8">
        <f>+Tabla1[[#This Row],[Conversión]]*Tabla1[[#This Row],[Cantidad]]</f>
        <v>15.5</v>
      </c>
      <c r="P493" s="43">
        <f>Tabla1[[#This Row],[Neto]]-Tabla1[[#This Row],[Costo Venta]]</f>
        <v>493.80017800000002</v>
      </c>
    </row>
    <row r="494" spans="1:16" x14ac:dyDescent="0.25">
      <c r="A494" s="48">
        <v>45275</v>
      </c>
      <c r="B494" s="1" t="s">
        <v>1</v>
      </c>
      <c r="C494" s="1" t="s">
        <v>214</v>
      </c>
      <c r="D494" s="1" t="s">
        <v>584</v>
      </c>
      <c r="E494" s="1" t="s">
        <v>132</v>
      </c>
      <c r="F494" s="1" t="s">
        <v>16</v>
      </c>
      <c r="G494" s="2">
        <v>15</v>
      </c>
      <c r="H494" s="1" t="s">
        <v>583</v>
      </c>
      <c r="I494" s="44">
        <f>Tabla1[[#This Row],[Descuento]]+Tabla1[[#This Row],[Neto]]</f>
        <v>285</v>
      </c>
      <c r="J494" s="9">
        <v>99.75</v>
      </c>
      <c r="K494" s="9">
        <v>185.25</v>
      </c>
      <c r="L494" s="9">
        <v>82.122794999999996</v>
      </c>
      <c r="M494" s="24">
        <f>+Tabla1[[#This Row],[Costo Venta]]/Tabla1[[#This Row],[Cantidad]]</f>
        <v>5.4748529999999995</v>
      </c>
      <c r="N494" s="3">
        <v>0.25</v>
      </c>
      <c r="O494" s="8">
        <f>+Tabla1[[#This Row],[Conversión]]*Tabla1[[#This Row],[Cantidad]]</f>
        <v>3.75</v>
      </c>
      <c r="P494" s="43">
        <f>Tabla1[[#This Row],[Neto]]-Tabla1[[#This Row],[Costo Venta]]</f>
        <v>103.127205</v>
      </c>
    </row>
    <row r="495" spans="1:16" x14ac:dyDescent="0.25">
      <c r="A495" s="48">
        <v>45118</v>
      </c>
      <c r="B495" s="1" t="s">
        <v>1</v>
      </c>
      <c r="C495" s="1" t="s">
        <v>81</v>
      </c>
      <c r="D495" s="1" t="s">
        <v>585</v>
      </c>
      <c r="E495" s="1" t="s">
        <v>137</v>
      </c>
      <c r="F495" s="1" t="s">
        <v>18</v>
      </c>
      <c r="G495" s="2">
        <v>120</v>
      </c>
      <c r="H495" s="51" t="s">
        <v>586</v>
      </c>
      <c r="I495" s="44">
        <f>Tabla1[[#This Row],[Descuento]]+Tabla1[[#This Row],[Neto]]</f>
        <v>2280</v>
      </c>
      <c r="J495" s="9">
        <v>0</v>
      </c>
      <c r="K495" s="9">
        <v>2280</v>
      </c>
      <c r="L495" s="9">
        <v>200.48004</v>
      </c>
      <c r="M495" s="24">
        <f>+Tabla1[[#This Row],[Costo Venta]]/Tabla1[[#This Row],[Cantidad]]</f>
        <v>1.6706670000000001</v>
      </c>
      <c r="N495" s="3">
        <v>0.25</v>
      </c>
      <c r="O495" s="8">
        <f>+Tabla1[[#This Row],[Conversión]]*Tabla1[[#This Row],[Cantidad]]</f>
        <v>30</v>
      </c>
      <c r="P495" s="43">
        <f>Tabla1[[#This Row],[Neto]]-Tabla1[[#This Row],[Costo Venta]]</f>
        <v>2079.5199600000001</v>
      </c>
    </row>
    <row r="496" spans="1:16" x14ac:dyDescent="0.25">
      <c r="A496" s="48">
        <v>45393</v>
      </c>
      <c r="B496" s="1" t="s">
        <v>1</v>
      </c>
      <c r="C496" s="1" t="s">
        <v>29</v>
      </c>
      <c r="D496" s="1" t="s">
        <v>587</v>
      </c>
      <c r="E496" s="1" t="s">
        <v>67</v>
      </c>
      <c r="F496" s="1" t="s">
        <v>9</v>
      </c>
      <c r="G496" s="2">
        <v>166</v>
      </c>
      <c r="H496" s="51" t="s">
        <v>586</v>
      </c>
      <c r="I496" s="44">
        <f>Tabla1[[#This Row],[Descuento]]+Tabla1[[#This Row],[Neto]]</f>
        <v>3300.0780000000004</v>
      </c>
      <c r="J496" s="9">
        <v>1155.028</v>
      </c>
      <c r="K496" s="9">
        <v>2145.0500000000002</v>
      </c>
      <c r="L496" s="9">
        <v>298.16040199999998</v>
      </c>
      <c r="M496" s="24">
        <f>+Tabla1[[#This Row],[Costo Venta]]/Tabla1[[#This Row],[Cantidad]]</f>
        <v>1.7961469999999999</v>
      </c>
      <c r="N496" s="3">
        <v>0.25</v>
      </c>
      <c r="O496" s="8">
        <f>+Tabla1[[#This Row],[Conversión]]*Tabla1[[#This Row],[Cantidad]]</f>
        <v>41.5</v>
      </c>
      <c r="P496" s="43">
        <f>Tabla1[[#This Row],[Neto]]-Tabla1[[#This Row],[Costo Venta]]</f>
        <v>1846.8895980000002</v>
      </c>
    </row>
    <row r="497" spans="1:16" x14ac:dyDescent="0.25">
      <c r="A497" s="48">
        <v>45533</v>
      </c>
      <c r="B497" s="1" t="s">
        <v>1</v>
      </c>
      <c r="C497" s="1" t="s">
        <v>65</v>
      </c>
      <c r="D497" s="1" t="s">
        <v>330</v>
      </c>
      <c r="E497" s="1" t="s">
        <v>71</v>
      </c>
      <c r="F497" s="1" t="s">
        <v>37</v>
      </c>
      <c r="G497" s="2">
        <v>28</v>
      </c>
      <c r="H497" s="51" t="s">
        <v>586</v>
      </c>
      <c r="I497" s="44">
        <f>Tabla1[[#This Row],[Descuento]]+Tabla1[[#This Row],[Neto]]</f>
        <v>556.64400000000001</v>
      </c>
      <c r="J497" s="9">
        <v>55.664000000000001</v>
      </c>
      <c r="K497" s="9">
        <v>500.98</v>
      </c>
      <c r="L497" s="9">
        <v>47.119660000000003</v>
      </c>
      <c r="M497" s="24">
        <f>+Tabla1[[#This Row],[Costo Venta]]/Tabla1[[#This Row],[Cantidad]]</f>
        <v>1.6828450000000001</v>
      </c>
      <c r="N497" s="3">
        <v>0.25</v>
      </c>
      <c r="O497" s="8">
        <f>+Tabla1[[#This Row],[Conversión]]*Tabla1[[#This Row],[Cantidad]]</f>
        <v>7</v>
      </c>
      <c r="P497" s="43">
        <f>Tabla1[[#This Row],[Neto]]-Tabla1[[#This Row],[Costo Venta]]</f>
        <v>453.86034000000001</v>
      </c>
    </row>
    <row r="498" spans="1:16" x14ac:dyDescent="0.25">
      <c r="A498" s="48">
        <v>45692</v>
      </c>
      <c r="B498" s="1" t="s">
        <v>1</v>
      </c>
      <c r="C498" s="1" t="s">
        <v>65</v>
      </c>
      <c r="D498" s="1" t="s">
        <v>588</v>
      </c>
      <c r="E498" s="1" t="s">
        <v>67</v>
      </c>
      <c r="F498" s="1" t="s">
        <v>9</v>
      </c>
      <c r="G498" s="2">
        <v>30</v>
      </c>
      <c r="H498" s="51" t="s">
        <v>586</v>
      </c>
      <c r="I498" s="44">
        <f>Tabla1[[#This Row],[Descuento]]+Tabla1[[#This Row],[Neto]]</f>
        <v>596.4</v>
      </c>
      <c r="J498" s="9">
        <v>268.38</v>
      </c>
      <c r="K498" s="9">
        <v>328.02</v>
      </c>
      <c r="L498" s="9">
        <v>54.946440000000003</v>
      </c>
      <c r="M498" s="24">
        <f>+Tabla1[[#This Row],[Costo Venta]]/Tabla1[[#This Row],[Cantidad]]</f>
        <v>1.8315480000000002</v>
      </c>
      <c r="N498" s="3">
        <v>0.25</v>
      </c>
      <c r="O498" s="8">
        <f>+Tabla1[[#This Row],[Conversión]]*Tabla1[[#This Row],[Cantidad]]</f>
        <v>7.5</v>
      </c>
      <c r="P498" s="43">
        <f>Tabla1[[#This Row],[Neto]]-Tabla1[[#This Row],[Costo Venta]]</f>
        <v>273.07355999999999</v>
      </c>
    </row>
    <row r="499" spans="1:16" x14ac:dyDescent="0.25">
      <c r="A499" s="48">
        <v>45526</v>
      </c>
      <c r="B499" s="1" t="s">
        <v>1</v>
      </c>
      <c r="C499" s="1" t="s">
        <v>65</v>
      </c>
      <c r="D499" s="1" t="s">
        <v>589</v>
      </c>
      <c r="E499" s="1" t="s">
        <v>67</v>
      </c>
      <c r="F499" s="1" t="s">
        <v>9</v>
      </c>
      <c r="G499" s="2">
        <v>63</v>
      </c>
      <c r="H499" s="51" t="s">
        <v>590</v>
      </c>
      <c r="I499" s="44">
        <f>Tabla1[[#This Row],[Descuento]]+Tabla1[[#This Row],[Neto]]</f>
        <v>1252.4380000000001</v>
      </c>
      <c r="J499" s="9">
        <v>563.59799999999996</v>
      </c>
      <c r="K499" s="9">
        <v>688.84</v>
      </c>
      <c r="L499" s="9">
        <v>173.38998599999999</v>
      </c>
      <c r="M499" s="24">
        <f>+Tabla1[[#This Row],[Costo Venta]]/Tabla1[[#This Row],[Cantidad]]</f>
        <v>2.7522219999999997</v>
      </c>
      <c r="N499" s="3">
        <v>0.25</v>
      </c>
      <c r="O499" s="8">
        <f>+Tabla1[[#This Row],[Conversión]]*Tabla1[[#This Row],[Cantidad]]</f>
        <v>15.75</v>
      </c>
      <c r="P499" s="43">
        <f>Tabla1[[#This Row],[Neto]]-Tabla1[[#This Row],[Costo Venta]]</f>
        <v>515.45001400000001</v>
      </c>
    </row>
    <row r="500" spans="1:16" x14ac:dyDescent="0.25">
      <c r="A500" s="48">
        <v>45546</v>
      </c>
      <c r="B500" s="1" t="s">
        <v>1</v>
      </c>
      <c r="C500" s="1" t="s">
        <v>143</v>
      </c>
      <c r="D500" s="1" t="s">
        <v>591</v>
      </c>
      <c r="E500" s="1" t="s">
        <v>67</v>
      </c>
      <c r="F500" s="1" t="s">
        <v>9</v>
      </c>
      <c r="G500" s="2">
        <v>4</v>
      </c>
      <c r="H500" s="51" t="s">
        <v>590</v>
      </c>
      <c r="I500" s="44">
        <f>Tabla1[[#This Row],[Descuento]]+Tabla1[[#This Row],[Neto]]</f>
        <v>79.524000000000001</v>
      </c>
      <c r="J500" s="9">
        <v>35.783999999999999</v>
      </c>
      <c r="K500" s="9">
        <v>43.74</v>
      </c>
      <c r="L500" s="9">
        <v>10.32</v>
      </c>
      <c r="M500" s="24">
        <f>+Tabla1[[#This Row],[Costo Venta]]/Tabla1[[#This Row],[Cantidad]]</f>
        <v>2.58</v>
      </c>
      <c r="N500" s="3">
        <v>0.25</v>
      </c>
      <c r="O500" s="8">
        <f>+Tabla1[[#This Row],[Conversión]]*Tabla1[[#This Row],[Cantidad]]</f>
        <v>1</v>
      </c>
      <c r="P500" s="43">
        <f>Tabla1[[#This Row],[Neto]]-Tabla1[[#This Row],[Costo Venta]]</f>
        <v>33.42</v>
      </c>
    </row>
    <row r="501" spans="1:16" x14ac:dyDescent="0.25">
      <c r="A501" s="48">
        <v>45639</v>
      </c>
      <c r="B501" s="1" t="s">
        <v>1</v>
      </c>
      <c r="C501" s="1" t="s">
        <v>65</v>
      </c>
      <c r="D501" s="1" t="s">
        <v>592</v>
      </c>
      <c r="E501" s="1" t="s">
        <v>67</v>
      </c>
      <c r="F501" s="1" t="s">
        <v>20</v>
      </c>
      <c r="G501" s="2">
        <v>87</v>
      </c>
      <c r="H501" s="51" t="s">
        <v>590</v>
      </c>
      <c r="I501" s="44">
        <f>Tabla1[[#This Row],[Descuento]]+Tabla1[[#This Row],[Neto]]</f>
        <v>1729.556</v>
      </c>
      <c r="J501" s="9">
        <v>605.346</v>
      </c>
      <c r="K501" s="9">
        <v>1124.21</v>
      </c>
      <c r="L501" s="9">
        <v>196.43712600000001</v>
      </c>
      <c r="M501" s="24">
        <f>+Tabla1[[#This Row],[Costo Venta]]/Tabla1[[#This Row],[Cantidad]]</f>
        <v>2.257898</v>
      </c>
      <c r="N501" s="3">
        <v>0.25</v>
      </c>
      <c r="O501" s="8">
        <f>+Tabla1[[#This Row],[Conversión]]*Tabla1[[#This Row],[Cantidad]]</f>
        <v>21.75</v>
      </c>
      <c r="P501" s="43">
        <f>Tabla1[[#This Row],[Neto]]-Tabla1[[#This Row],[Costo Venta]]</f>
        <v>927.772874</v>
      </c>
    </row>
    <row r="502" spans="1:16" x14ac:dyDescent="0.25">
      <c r="A502" s="48">
        <v>45639</v>
      </c>
      <c r="B502" s="1" t="s">
        <v>1</v>
      </c>
      <c r="C502" s="1" t="s">
        <v>143</v>
      </c>
      <c r="D502" s="1" t="s">
        <v>353</v>
      </c>
      <c r="E502" s="1" t="s">
        <v>132</v>
      </c>
      <c r="F502" s="1" t="s">
        <v>29</v>
      </c>
      <c r="G502" s="2">
        <v>68</v>
      </c>
      <c r="H502" s="51" t="s">
        <v>590</v>
      </c>
      <c r="I502" s="44">
        <f>Tabla1[[#This Row],[Descuento]]+Tabla1[[#This Row],[Neto]]</f>
        <v>1351.8420000000001</v>
      </c>
      <c r="J502" s="9">
        <v>405.55200000000002</v>
      </c>
      <c r="K502" s="9">
        <v>946.29</v>
      </c>
      <c r="L502" s="9">
        <v>153.53706399999999</v>
      </c>
      <c r="M502" s="24">
        <f>+Tabla1[[#This Row],[Costo Venta]]/Tabla1[[#This Row],[Cantidad]]</f>
        <v>2.257898</v>
      </c>
      <c r="N502" s="3">
        <v>0.25</v>
      </c>
      <c r="O502" s="8">
        <f>+Tabla1[[#This Row],[Conversión]]*Tabla1[[#This Row],[Cantidad]]</f>
        <v>17</v>
      </c>
      <c r="P502" s="43">
        <f>Tabla1[[#This Row],[Neto]]-Tabla1[[#This Row],[Costo Venta]]</f>
        <v>792.75293599999998</v>
      </c>
    </row>
    <row r="503" spans="1:16" x14ac:dyDescent="0.25">
      <c r="A503" s="48">
        <v>45734</v>
      </c>
      <c r="B503" s="1" t="s">
        <v>1</v>
      </c>
      <c r="C503" s="1" t="s">
        <v>109</v>
      </c>
      <c r="D503" s="1" t="s">
        <v>593</v>
      </c>
      <c r="E503" s="1" t="s">
        <v>67</v>
      </c>
      <c r="F503" s="1" t="s">
        <v>20</v>
      </c>
      <c r="G503" s="2">
        <v>24</v>
      </c>
      <c r="H503" s="51" t="s">
        <v>590</v>
      </c>
      <c r="I503" s="44">
        <f>Tabla1[[#This Row],[Descuento]]+Tabla1[[#This Row],[Neto]]</f>
        <v>477.11599999999999</v>
      </c>
      <c r="J503" s="9">
        <v>143.136</v>
      </c>
      <c r="K503" s="9">
        <v>333.98</v>
      </c>
      <c r="L503" s="9">
        <v>53.712240000000001</v>
      </c>
      <c r="M503" s="24">
        <f>+Tabla1[[#This Row],[Costo Venta]]/Tabla1[[#This Row],[Cantidad]]</f>
        <v>2.2380100000000001</v>
      </c>
      <c r="N503" s="3">
        <v>0.25</v>
      </c>
      <c r="O503" s="8">
        <f>+Tabla1[[#This Row],[Conversión]]*Tabla1[[#This Row],[Cantidad]]</f>
        <v>6</v>
      </c>
      <c r="P503" s="43">
        <f>Tabla1[[#This Row],[Neto]]-Tabla1[[#This Row],[Costo Venta]]</f>
        <v>280.26776000000001</v>
      </c>
    </row>
    <row r="504" spans="1:16" x14ac:dyDescent="0.25">
      <c r="A504" s="48">
        <v>45904</v>
      </c>
      <c r="B504" s="1" t="s">
        <v>1</v>
      </c>
      <c r="C504" s="1" t="s">
        <v>65</v>
      </c>
      <c r="D504" s="1" t="s">
        <v>574</v>
      </c>
      <c r="E504" s="1" t="s">
        <v>67</v>
      </c>
      <c r="F504" s="1" t="s">
        <v>9</v>
      </c>
      <c r="G504" s="2">
        <v>58</v>
      </c>
      <c r="H504" s="51" t="s">
        <v>590</v>
      </c>
      <c r="I504" s="44">
        <f>Tabla1[[#This Row],[Descuento]]+Tabla1[[#This Row],[Neto]]</f>
        <v>1153.038</v>
      </c>
      <c r="J504" s="9">
        <v>518.86800000000005</v>
      </c>
      <c r="K504" s="9">
        <v>634.16999999999996</v>
      </c>
      <c r="L504" s="9">
        <v>109.38017000000001</v>
      </c>
      <c r="M504" s="24">
        <f>+Tabla1[[#This Row],[Costo Venta]]/Tabla1[[#This Row],[Cantidad]]</f>
        <v>1.8858650000000001</v>
      </c>
      <c r="N504" s="3">
        <v>0.25</v>
      </c>
      <c r="O504" s="8">
        <f>+Tabla1[[#This Row],[Conversión]]*Tabla1[[#This Row],[Cantidad]]</f>
        <v>14.5</v>
      </c>
      <c r="P504" s="43">
        <f>Tabla1[[#This Row],[Neto]]-Tabla1[[#This Row],[Costo Venta]]</f>
        <v>524.78982999999994</v>
      </c>
    </row>
    <row r="505" spans="1:16" x14ac:dyDescent="0.25">
      <c r="A505" s="48">
        <v>45908</v>
      </c>
      <c r="B505" s="1" t="s">
        <v>1</v>
      </c>
      <c r="C505" s="1" t="s">
        <v>65</v>
      </c>
      <c r="D505" s="1" t="s">
        <v>552</v>
      </c>
      <c r="E505" s="1" t="s">
        <v>67</v>
      </c>
      <c r="F505" s="1" t="s">
        <v>9</v>
      </c>
      <c r="G505" s="2">
        <v>26</v>
      </c>
      <c r="H505" s="51" t="s">
        <v>590</v>
      </c>
      <c r="I505" s="44">
        <f>Tabla1[[#This Row],[Descuento]]+Tabla1[[#This Row],[Neto]]</f>
        <v>516.87599999999998</v>
      </c>
      <c r="J505" s="9">
        <v>232.596</v>
      </c>
      <c r="K505" s="9">
        <v>284.27999999999997</v>
      </c>
      <c r="L505" s="9">
        <v>49.032490000000003</v>
      </c>
      <c r="M505" s="24">
        <f>+Tabla1[[#This Row],[Costo Venta]]/Tabla1[[#This Row],[Cantidad]]</f>
        <v>1.8858650000000001</v>
      </c>
      <c r="N505" s="3">
        <v>0.25</v>
      </c>
      <c r="O505" s="8">
        <f>+Tabla1[[#This Row],[Conversión]]*Tabla1[[#This Row],[Cantidad]]</f>
        <v>6.5</v>
      </c>
      <c r="P505" s="43">
        <f>Tabla1[[#This Row],[Neto]]-Tabla1[[#This Row],[Costo Venta]]</f>
        <v>235.24750999999998</v>
      </c>
    </row>
    <row r="506" spans="1:16" x14ac:dyDescent="0.25">
      <c r="A506" s="48">
        <v>45811</v>
      </c>
      <c r="B506" s="1" t="s">
        <v>481</v>
      </c>
      <c r="C506" s="1" t="s">
        <v>65</v>
      </c>
      <c r="D506" s="1" t="s">
        <v>383</v>
      </c>
      <c r="E506" s="1" t="s">
        <v>67</v>
      </c>
      <c r="F506" s="1" t="s">
        <v>198</v>
      </c>
      <c r="G506" s="2">
        <v>30</v>
      </c>
      <c r="H506" s="1" t="s">
        <v>594</v>
      </c>
      <c r="I506" s="44">
        <f>Tabla1[[#This Row],[Descuento]]+Tabla1[[#This Row],[Neto]]</f>
        <v>558</v>
      </c>
      <c r="J506" s="9">
        <v>0</v>
      </c>
      <c r="K506" s="9">
        <v>558</v>
      </c>
      <c r="L506" s="9">
        <v>391.8</v>
      </c>
      <c r="M506" s="24">
        <f>+Tabla1[[#This Row],[Costo Venta]]/Tabla1[[#This Row],[Cantidad]]</f>
        <v>13.06</v>
      </c>
      <c r="N506" s="3">
        <v>1</v>
      </c>
      <c r="O506" s="8">
        <f>+Tabla1[[#This Row],[Conversión]]*Tabla1[[#This Row],[Cantidad]]</f>
        <v>30</v>
      </c>
      <c r="P506" s="43">
        <f>Tabla1[[#This Row],[Neto]]-Tabla1[[#This Row],[Costo Venta]]</f>
        <v>166.2</v>
      </c>
    </row>
    <row r="507" spans="1:16" x14ac:dyDescent="0.25">
      <c r="A507" s="48">
        <v>45855</v>
      </c>
      <c r="B507" s="1" t="s">
        <v>481</v>
      </c>
      <c r="C507" s="1" t="s">
        <v>65</v>
      </c>
      <c r="D507" s="1" t="s">
        <v>388</v>
      </c>
      <c r="E507" s="1" t="s">
        <v>67</v>
      </c>
      <c r="F507" s="1" t="s">
        <v>198</v>
      </c>
      <c r="G507" s="2">
        <v>1</v>
      </c>
      <c r="H507" s="1" t="s">
        <v>594</v>
      </c>
      <c r="I507" s="44">
        <f>Tabla1[[#This Row],[Descuento]]+Tabla1[[#This Row],[Neto]]</f>
        <v>21.6</v>
      </c>
      <c r="J507" s="9">
        <v>0</v>
      </c>
      <c r="K507" s="9">
        <v>21.6</v>
      </c>
      <c r="L507" s="9">
        <v>13.06</v>
      </c>
      <c r="M507" s="24">
        <f>+Tabla1[[#This Row],[Costo Venta]]/Tabla1[[#This Row],[Cantidad]]</f>
        <v>13.06</v>
      </c>
      <c r="N507" s="3">
        <v>1</v>
      </c>
      <c r="O507" s="8">
        <f>+Tabla1[[#This Row],[Conversión]]*Tabla1[[#This Row],[Cantidad]]</f>
        <v>1</v>
      </c>
      <c r="P507" s="43">
        <f>Tabla1[[#This Row],[Neto]]-Tabla1[[#This Row],[Costo Venta]]</f>
        <v>8.5400000000000009</v>
      </c>
    </row>
    <row r="508" spans="1:16" x14ac:dyDescent="0.25">
      <c r="A508" s="48">
        <v>45863</v>
      </c>
      <c r="B508" s="1" t="s">
        <v>481</v>
      </c>
      <c r="C508" s="1" t="s">
        <v>65</v>
      </c>
      <c r="D508" s="1" t="s">
        <v>390</v>
      </c>
      <c r="E508" s="1" t="s">
        <v>71</v>
      </c>
      <c r="F508" s="1" t="s">
        <v>391</v>
      </c>
      <c r="G508" s="2">
        <v>65</v>
      </c>
      <c r="H508" s="1" t="s">
        <v>594</v>
      </c>
      <c r="I508" s="44">
        <f>Tabla1[[#This Row],[Descuento]]+Tabla1[[#This Row],[Neto]]</f>
        <v>939.9</v>
      </c>
      <c r="J508" s="9">
        <v>0</v>
      </c>
      <c r="K508" s="9">
        <v>939.9</v>
      </c>
      <c r="L508" s="9">
        <v>848.9</v>
      </c>
      <c r="M508" s="24">
        <f>+Tabla1[[#This Row],[Costo Venta]]/Tabla1[[#This Row],[Cantidad]]</f>
        <v>13.06</v>
      </c>
      <c r="N508" s="3">
        <v>1</v>
      </c>
      <c r="O508" s="8">
        <f>+Tabla1[[#This Row],[Conversión]]*Tabla1[[#This Row],[Cantidad]]</f>
        <v>65</v>
      </c>
      <c r="P508" s="43">
        <f>Tabla1[[#This Row],[Neto]]-Tabla1[[#This Row],[Costo Venta]]</f>
        <v>91</v>
      </c>
    </row>
    <row r="509" spans="1:16" x14ac:dyDescent="0.25">
      <c r="A509" s="48">
        <v>45869</v>
      </c>
      <c r="B509" s="1" t="s">
        <v>481</v>
      </c>
      <c r="C509" s="1" t="s">
        <v>65</v>
      </c>
      <c r="D509" s="1" t="s">
        <v>595</v>
      </c>
      <c r="E509" s="1" t="s">
        <v>67</v>
      </c>
      <c r="F509" s="1" t="s">
        <v>198</v>
      </c>
      <c r="G509" s="2">
        <v>3</v>
      </c>
      <c r="H509" s="1" t="s">
        <v>594</v>
      </c>
      <c r="I509" s="44">
        <f>Tabla1[[#This Row],[Descuento]]+Tabla1[[#This Row],[Neto]]</f>
        <v>55.8</v>
      </c>
      <c r="J509" s="9">
        <v>0</v>
      </c>
      <c r="K509" s="9">
        <v>55.8</v>
      </c>
      <c r="L509" s="9">
        <v>39.18</v>
      </c>
      <c r="M509" s="24">
        <f>+Tabla1[[#This Row],[Costo Venta]]/Tabla1[[#This Row],[Cantidad]]</f>
        <v>13.06</v>
      </c>
      <c r="N509" s="3">
        <v>1</v>
      </c>
      <c r="O509" s="8">
        <f>+Tabla1[[#This Row],[Conversión]]*Tabla1[[#This Row],[Cantidad]]</f>
        <v>3</v>
      </c>
      <c r="P509" s="43">
        <f>Tabla1[[#This Row],[Neto]]-Tabla1[[#This Row],[Costo Venta]]</f>
        <v>16.619999999999997</v>
      </c>
    </row>
    <row r="510" spans="1:16" x14ac:dyDescent="0.25">
      <c r="A510" s="48">
        <v>45476</v>
      </c>
      <c r="B510" s="1" t="s">
        <v>481</v>
      </c>
      <c r="C510" s="1" t="s">
        <v>65</v>
      </c>
      <c r="D510" s="1" t="s">
        <v>596</v>
      </c>
      <c r="E510" s="1" t="s">
        <v>71</v>
      </c>
      <c r="F510" s="1" t="s">
        <v>597</v>
      </c>
      <c r="G510" s="2">
        <v>20</v>
      </c>
      <c r="H510" s="1" t="s">
        <v>598</v>
      </c>
      <c r="I510" s="44">
        <f>Tabla1[[#This Row],[Descuento]]+Tabla1[[#This Row],[Neto]]</f>
        <v>122.48</v>
      </c>
      <c r="J510" s="9">
        <v>0</v>
      </c>
      <c r="K510" s="9">
        <v>122.48</v>
      </c>
      <c r="L510" s="9">
        <v>104</v>
      </c>
      <c r="M510" s="24">
        <f>+Tabla1[[#This Row],[Costo Venta]]/Tabla1[[#This Row],[Cantidad]]</f>
        <v>5.2</v>
      </c>
      <c r="N510" s="3">
        <v>1</v>
      </c>
      <c r="O510" s="8">
        <f>+Tabla1[[#This Row],[Conversión]]*Tabla1[[#This Row],[Cantidad]]</f>
        <v>20</v>
      </c>
      <c r="P510" s="43">
        <f>Tabla1[[#This Row],[Neto]]-Tabla1[[#This Row],[Costo Venta]]</f>
        <v>18.480000000000004</v>
      </c>
    </row>
    <row r="511" spans="1:16" x14ac:dyDescent="0.25">
      <c r="A511" s="48">
        <v>45573</v>
      </c>
      <c r="B511" s="1" t="s">
        <v>481</v>
      </c>
      <c r="C511" s="1" t="s">
        <v>65</v>
      </c>
      <c r="D511" s="1" t="s">
        <v>336</v>
      </c>
      <c r="E511" s="1" t="s">
        <v>67</v>
      </c>
      <c r="F511" s="1" t="s">
        <v>198</v>
      </c>
      <c r="G511" s="2">
        <v>6</v>
      </c>
      <c r="H511" s="1" t="s">
        <v>598</v>
      </c>
      <c r="I511" s="44">
        <f>Tabla1[[#This Row],[Descuento]]+Tabla1[[#This Row],[Neto]]</f>
        <v>42.12</v>
      </c>
      <c r="J511" s="9">
        <v>0</v>
      </c>
      <c r="K511" s="9">
        <v>42.12</v>
      </c>
      <c r="L511" s="9">
        <v>31.2</v>
      </c>
      <c r="M511" s="24">
        <f>+Tabla1[[#This Row],[Costo Venta]]/Tabla1[[#This Row],[Cantidad]]</f>
        <v>5.2</v>
      </c>
      <c r="N511" s="3">
        <v>1</v>
      </c>
      <c r="O511" s="8">
        <f>+Tabla1[[#This Row],[Conversión]]*Tabla1[[#This Row],[Cantidad]]</f>
        <v>6</v>
      </c>
      <c r="P511" s="43">
        <f>Tabla1[[#This Row],[Neto]]-Tabla1[[#This Row],[Costo Venta]]</f>
        <v>10.919999999999998</v>
      </c>
    </row>
    <row r="512" spans="1:16" x14ac:dyDescent="0.25">
      <c r="A512" s="48">
        <v>45644</v>
      </c>
      <c r="B512" s="1" t="s">
        <v>481</v>
      </c>
      <c r="C512" s="1" t="s">
        <v>65</v>
      </c>
      <c r="D512" s="1" t="s">
        <v>599</v>
      </c>
      <c r="E512" s="1" t="s">
        <v>67</v>
      </c>
      <c r="F512" s="1" t="s">
        <v>198</v>
      </c>
      <c r="G512" s="2">
        <v>3</v>
      </c>
      <c r="H512" s="1" t="s">
        <v>598</v>
      </c>
      <c r="I512" s="44">
        <f>Tabla1[[#This Row],[Descuento]]+Tabla1[[#This Row],[Neto]]</f>
        <v>21.06</v>
      </c>
      <c r="J512" s="9">
        <v>0</v>
      </c>
      <c r="K512" s="9">
        <v>21.06</v>
      </c>
      <c r="L512" s="9">
        <v>15.6</v>
      </c>
      <c r="M512" s="24">
        <f>+Tabla1[[#This Row],[Costo Venta]]/Tabla1[[#This Row],[Cantidad]]</f>
        <v>5.2</v>
      </c>
      <c r="N512" s="3">
        <v>1</v>
      </c>
      <c r="O512" s="8">
        <f>+Tabla1[[#This Row],[Conversión]]*Tabla1[[#This Row],[Cantidad]]</f>
        <v>3</v>
      </c>
      <c r="P512" s="43">
        <f>Tabla1[[#This Row],[Neto]]-Tabla1[[#This Row],[Costo Venta]]</f>
        <v>5.4599999999999991</v>
      </c>
    </row>
    <row r="513" spans="1:16" x14ac:dyDescent="0.25">
      <c r="A513" s="48">
        <v>45441</v>
      </c>
      <c r="B513" s="1" t="s">
        <v>481</v>
      </c>
      <c r="C513" s="1" t="s">
        <v>29</v>
      </c>
      <c r="D513" s="1" t="s">
        <v>600</v>
      </c>
      <c r="E513" s="1" t="s">
        <v>132</v>
      </c>
      <c r="F513" s="1" t="s">
        <v>29</v>
      </c>
      <c r="G513" s="2">
        <v>5</v>
      </c>
      <c r="H513" s="1" t="s">
        <v>601</v>
      </c>
      <c r="I513" s="44">
        <f>Tabla1[[#This Row],[Descuento]]+Tabla1[[#This Row],[Neto]]</f>
        <v>43.1</v>
      </c>
      <c r="J513" s="9">
        <v>4.3099999999999996</v>
      </c>
      <c r="K513" s="9">
        <v>38.79</v>
      </c>
      <c r="L513" s="9">
        <v>38.549999999999997</v>
      </c>
      <c r="M513" s="24">
        <f>+Tabla1[[#This Row],[Costo Venta]]/Tabla1[[#This Row],[Cantidad]]</f>
        <v>7.7099999999999991</v>
      </c>
      <c r="N513" s="3">
        <v>1</v>
      </c>
      <c r="O513" s="8">
        <f>+Tabla1[[#This Row],[Conversión]]*Tabla1[[#This Row],[Cantidad]]</f>
        <v>5</v>
      </c>
      <c r="P513" s="43">
        <f>Tabla1[[#This Row],[Neto]]-Tabla1[[#This Row],[Costo Venta]]</f>
        <v>0.24000000000000199</v>
      </c>
    </row>
    <row r="514" spans="1:16" x14ac:dyDescent="0.25">
      <c r="A514" s="48">
        <v>45475</v>
      </c>
      <c r="B514" s="1" t="s">
        <v>481</v>
      </c>
      <c r="C514" s="1" t="s">
        <v>65</v>
      </c>
      <c r="D514" s="1" t="s">
        <v>602</v>
      </c>
      <c r="E514" s="1" t="s">
        <v>132</v>
      </c>
      <c r="F514" s="1" t="s">
        <v>29</v>
      </c>
      <c r="G514" s="2">
        <v>1</v>
      </c>
      <c r="H514" s="1" t="s">
        <v>601</v>
      </c>
      <c r="I514" s="44">
        <f>Tabla1[[#This Row],[Descuento]]+Tabla1[[#This Row],[Neto]]</f>
        <v>9.0451000000000015</v>
      </c>
      <c r="J514" s="9">
        <v>0.90510000000000002</v>
      </c>
      <c r="K514" s="9">
        <v>8.14</v>
      </c>
      <c r="L514" s="9">
        <v>7.71</v>
      </c>
      <c r="M514" s="24">
        <f>+Tabla1[[#This Row],[Costo Venta]]/Tabla1[[#This Row],[Cantidad]]</f>
        <v>7.71</v>
      </c>
      <c r="N514" s="3">
        <v>1</v>
      </c>
      <c r="O514" s="8">
        <f>+Tabla1[[#This Row],[Conversión]]*Tabla1[[#This Row],[Cantidad]]</f>
        <v>1</v>
      </c>
      <c r="P514" s="43">
        <f>Tabla1[[#This Row],[Neto]]-Tabla1[[#This Row],[Costo Venta]]</f>
        <v>0.4300000000000006</v>
      </c>
    </row>
    <row r="515" spans="1:16" x14ac:dyDescent="0.25">
      <c r="A515" s="48">
        <v>45804</v>
      </c>
      <c r="B515" s="1" t="s">
        <v>481</v>
      </c>
      <c r="C515" s="1" t="s">
        <v>65</v>
      </c>
      <c r="D515" s="1" t="s">
        <v>530</v>
      </c>
      <c r="E515" s="1" t="s">
        <v>71</v>
      </c>
      <c r="F515" s="1" t="s">
        <v>47</v>
      </c>
      <c r="G515" s="2">
        <v>8</v>
      </c>
      <c r="H515" s="1" t="s">
        <v>601</v>
      </c>
      <c r="I515" s="44">
        <f>Tabla1[[#This Row],[Descuento]]+Tabla1[[#This Row],[Neto]]</f>
        <v>80</v>
      </c>
      <c r="J515" s="9">
        <v>0</v>
      </c>
      <c r="K515" s="9">
        <v>80</v>
      </c>
      <c r="L515" s="9">
        <v>61.68</v>
      </c>
      <c r="M515" s="24">
        <f>+Tabla1[[#This Row],[Costo Venta]]/Tabla1[[#This Row],[Cantidad]]</f>
        <v>7.71</v>
      </c>
      <c r="N515" s="3">
        <v>1</v>
      </c>
      <c r="O515" s="8">
        <f>+Tabla1[[#This Row],[Conversión]]*Tabla1[[#This Row],[Cantidad]]</f>
        <v>8</v>
      </c>
      <c r="P515" s="43">
        <f>Tabla1[[#This Row],[Neto]]-Tabla1[[#This Row],[Costo Venta]]</f>
        <v>18.32</v>
      </c>
    </row>
    <row r="516" spans="1:16" x14ac:dyDescent="0.25">
      <c r="A516" s="48">
        <v>45194</v>
      </c>
      <c r="B516" s="1" t="s">
        <v>419</v>
      </c>
      <c r="C516" s="1" t="s">
        <v>81</v>
      </c>
      <c r="D516" s="1" t="s">
        <v>603</v>
      </c>
      <c r="E516" s="1" t="s">
        <v>67</v>
      </c>
      <c r="F516" s="1" t="s">
        <v>9</v>
      </c>
      <c r="G516" s="2">
        <v>4.5</v>
      </c>
      <c r="H516" s="1" t="s">
        <v>604</v>
      </c>
      <c r="I516" s="44">
        <f>Tabla1[[#This Row],[Descuento]]+Tabla1[[#This Row],[Neto]]</f>
        <v>198.905</v>
      </c>
      <c r="J516" s="9">
        <v>89.504999999999995</v>
      </c>
      <c r="K516" s="9">
        <v>109.4</v>
      </c>
      <c r="L516" s="9">
        <v>17.684041499999999</v>
      </c>
      <c r="M516" s="24">
        <f>+Tabla1[[#This Row],[Costo Venta]]/Tabla1[[#This Row],[Cantidad]]</f>
        <v>3.9297869999999997</v>
      </c>
      <c r="N516" s="3">
        <v>1</v>
      </c>
      <c r="O516" s="8">
        <f>+Tabla1[[#This Row],[Conversión]]*Tabla1[[#This Row],[Cantidad]]</f>
        <v>4.5</v>
      </c>
      <c r="P516" s="43">
        <f>Tabla1[[#This Row],[Neto]]-Tabla1[[#This Row],[Costo Venta]]</f>
        <v>91.715958499999999</v>
      </c>
    </row>
    <row r="517" spans="1:16" x14ac:dyDescent="0.25">
      <c r="A517" s="48">
        <v>45441</v>
      </c>
      <c r="B517" s="1" t="s">
        <v>419</v>
      </c>
      <c r="C517" s="1" t="s">
        <v>29</v>
      </c>
      <c r="D517" s="1" t="s">
        <v>600</v>
      </c>
      <c r="E517" s="1" t="s">
        <v>132</v>
      </c>
      <c r="F517" s="1" t="s">
        <v>29</v>
      </c>
      <c r="G517" s="2">
        <v>6</v>
      </c>
      <c r="H517" s="1" t="s">
        <v>605</v>
      </c>
      <c r="I517" s="44">
        <f>Tabla1[[#This Row],[Descuento]]+Tabla1[[#This Row],[Neto]]</f>
        <v>206.10000000000002</v>
      </c>
      <c r="J517" s="9">
        <v>61.83</v>
      </c>
      <c r="K517" s="9">
        <v>144.27000000000001</v>
      </c>
      <c r="L517" s="9">
        <v>24.45</v>
      </c>
      <c r="M517" s="24">
        <f>+Tabla1[[#This Row],[Costo Venta]]/Tabla1[[#This Row],[Cantidad]]</f>
        <v>4.0750000000000002</v>
      </c>
      <c r="N517" s="3">
        <v>1</v>
      </c>
      <c r="O517" s="8">
        <f>+Tabla1[[#This Row],[Conversión]]*Tabla1[[#This Row],[Cantidad]]</f>
        <v>6</v>
      </c>
      <c r="P517" s="43">
        <f>Tabla1[[#This Row],[Neto]]-Tabla1[[#This Row],[Costo Venta]]</f>
        <v>119.82000000000001</v>
      </c>
    </row>
    <row r="518" spans="1:16" x14ac:dyDescent="0.25">
      <c r="A518" s="48">
        <v>45475</v>
      </c>
      <c r="B518" s="1" t="s">
        <v>419</v>
      </c>
      <c r="C518" s="1" t="s">
        <v>65</v>
      </c>
      <c r="D518" s="1" t="s">
        <v>602</v>
      </c>
      <c r="E518" s="1" t="s">
        <v>132</v>
      </c>
      <c r="F518" s="1" t="s">
        <v>29</v>
      </c>
      <c r="G518" s="2">
        <v>5</v>
      </c>
      <c r="H518" s="1" t="s">
        <v>605</v>
      </c>
      <c r="I518" s="44">
        <f>Tabla1[[#This Row],[Descuento]]+Tabla1[[#This Row],[Neto]]</f>
        <v>180.34125</v>
      </c>
      <c r="J518" s="9">
        <v>54.10125</v>
      </c>
      <c r="K518" s="9">
        <v>126.24</v>
      </c>
      <c r="L518" s="9">
        <v>20.356854999999999</v>
      </c>
      <c r="M518" s="24">
        <f>+Tabla1[[#This Row],[Costo Venta]]/Tabla1[[#This Row],[Cantidad]]</f>
        <v>4.0713710000000001</v>
      </c>
      <c r="N518" s="3">
        <v>1</v>
      </c>
      <c r="O518" s="8">
        <f>+Tabla1[[#This Row],[Conversión]]*Tabla1[[#This Row],[Cantidad]]</f>
        <v>5</v>
      </c>
      <c r="P518" s="43">
        <f>Tabla1[[#This Row],[Neto]]-Tabla1[[#This Row],[Costo Venta]]</f>
        <v>105.883145</v>
      </c>
    </row>
    <row r="519" spans="1:16" x14ac:dyDescent="0.25">
      <c r="A519" s="48">
        <v>45533</v>
      </c>
      <c r="B519" s="1" t="s">
        <v>419</v>
      </c>
      <c r="C519" s="1" t="s">
        <v>65</v>
      </c>
      <c r="D519" s="1" t="s">
        <v>326</v>
      </c>
      <c r="E519" s="1" t="s">
        <v>71</v>
      </c>
      <c r="F519" s="1" t="s">
        <v>327</v>
      </c>
      <c r="G519" s="2">
        <v>16.5</v>
      </c>
      <c r="H519" s="1" t="s">
        <v>605</v>
      </c>
      <c r="I519" s="44">
        <f>Tabla1[[#This Row],[Descuento]]+Tabla1[[#This Row],[Neto]]</f>
        <v>566.77750000000003</v>
      </c>
      <c r="J519" s="9">
        <v>56.677500000000002</v>
      </c>
      <c r="K519" s="9">
        <v>510.1</v>
      </c>
      <c r="L519" s="9">
        <v>68.154668999999998</v>
      </c>
      <c r="M519" s="24">
        <f>+Tabla1[[#This Row],[Costo Venta]]/Tabla1[[#This Row],[Cantidad]]</f>
        <v>4.1305860000000001</v>
      </c>
      <c r="N519" s="3">
        <v>1</v>
      </c>
      <c r="O519" s="8">
        <f>+Tabla1[[#This Row],[Conversión]]*Tabla1[[#This Row],[Cantidad]]</f>
        <v>16.5</v>
      </c>
      <c r="P519" s="43">
        <f>Tabla1[[#This Row],[Neto]]-Tabla1[[#This Row],[Costo Venta]]</f>
        <v>441.94533100000001</v>
      </c>
    </row>
    <row r="520" spans="1:16" x14ac:dyDescent="0.25">
      <c r="A520" s="48">
        <v>44931</v>
      </c>
      <c r="B520" s="1" t="s">
        <v>419</v>
      </c>
      <c r="C520" s="1" t="s">
        <v>115</v>
      </c>
      <c r="D520" s="1" t="s">
        <v>606</v>
      </c>
      <c r="E520" s="1" t="s">
        <v>71</v>
      </c>
      <c r="F520" s="1" t="s">
        <v>607</v>
      </c>
      <c r="G520" s="2">
        <v>3</v>
      </c>
      <c r="H520" s="1" t="s">
        <v>608</v>
      </c>
      <c r="I520" s="44">
        <f>Tabla1[[#This Row],[Descuento]]+Tabla1[[#This Row],[Neto]]</f>
        <v>132.6</v>
      </c>
      <c r="J520" s="9">
        <v>0</v>
      </c>
      <c r="K520" s="9">
        <v>132.6</v>
      </c>
      <c r="L520" s="9">
        <v>0</v>
      </c>
      <c r="M520" s="24">
        <f>+Tabla1[[#This Row],[Costo Venta]]/Tabla1[[#This Row],[Cantidad]]</f>
        <v>0</v>
      </c>
      <c r="N520" s="3">
        <v>1</v>
      </c>
      <c r="O520" s="8">
        <f>+Tabla1[[#This Row],[Conversión]]*Tabla1[[#This Row],[Cantidad]]</f>
        <v>3</v>
      </c>
      <c r="P520" s="43">
        <f>Tabla1[[#This Row],[Neto]]-Tabla1[[#This Row],[Costo Venta]]</f>
        <v>132.6</v>
      </c>
    </row>
    <row r="521" spans="1:16" x14ac:dyDescent="0.25">
      <c r="A521" s="48">
        <v>45128</v>
      </c>
      <c r="B521" s="1" t="s">
        <v>609</v>
      </c>
      <c r="C521" s="1" t="s">
        <v>214</v>
      </c>
      <c r="D521" s="1" t="s">
        <v>218</v>
      </c>
      <c r="E521" s="1" t="s">
        <v>71</v>
      </c>
      <c r="F521" s="1" t="s">
        <v>219</v>
      </c>
      <c r="G521" s="2">
        <v>2</v>
      </c>
      <c r="H521" s="1" t="s">
        <v>610</v>
      </c>
      <c r="I521" s="44">
        <f>Tabla1[[#This Row],[Descuento]]+Tabla1[[#This Row],[Neto]]</f>
        <v>56</v>
      </c>
      <c r="J521" s="9">
        <v>0</v>
      </c>
      <c r="K521" s="9">
        <v>56</v>
      </c>
      <c r="L521" s="9"/>
      <c r="M521" s="24">
        <f>+Tabla1[[#This Row],[Costo Venta]]/Tabla1[[#This Row],[Cantidad]]</f>
        <v>0</v>
      </c>
      <c r="N521" s="3">
        <v>1</v>
      </c>
      <c r="O521" s="8">
        <f>+Tabla1[[#This Row],[Conversión]]*Tabla1[[#This Row],[Cantidad]]</f>
        <v>2</v>
      </c>
      <c r="P521" s="43">
        <f>Tabla1[[#This Row],[Neto]]-Tabla1[[#This Row],[Costo Venta]]</f>
        <v>56</v>
      </c>
    </row>
    <row r="522" spans="1:16" x14ac:dyDescent="0.25">
      <c r="A522" s="48">
        <v>45140</v>
      </c>
      <c r="B522" s="1" t="s">
        <v>609</v>
      </c>
      <c r="C522" s="1" t="s">
        <v>214</v>
      </c>
      <c r="D522" s="1" t="s">
        <v>222</v>
      </c>
      <c r="E522" s="1" t="s">
        <v>71</v>
      </c>
      <c r="F522" s="1" t="s">
        <v>219</v>
      </c>
      <c r="G522" s="2">
        <v>2</v>
      </c>
      <c r="H522" s="1" t="s">
        <v>610</v>
      </c>
      <c r="I522" s="44">
        <f>Tabla1[[#This Row],[Descuento]]+Tabla1[[#This Row],[Neto]]</f>
        <v>56</v>
      </c>
      <c r="J522" s="9">
        <v>0</v>
      </c>
      <c r="K522" s="9">
        <v>56</v>
      </c>
      <c r="L522" s="9"/>
      <c r="M522" s="24">
        <f>+Tabla1[[#This Row],[Costo Venta]]/Tabla1[[#This Row],[Cantidad]]</f>
        <v>0</v>
      </c>
      <c r="N522" s="3">
        <v>1</v>
      </c>
      <c r="O522" s="8">
        <f>+Tabla1[[#This Row],[Conversión]]*Tabla1[[#This Row],[Cantidad]]</f>
        <v>2</v>
      </c>
      <c r="P522" s="43">
        <f>Tabla1[[#This Row],[Neto]]-Tabla1[[#This Row],[Costo Venta]]</f>
        <v>56</v>
      </c>
    </row>
    <row r="523" spans="1:16" x14ac:dyDescent="0.25">
      <c r="A523" s="48">
        <v>45142</v>
      </c>
      <c r="B523" s="1" t="s">
        <v>609</v>
      </c>
      <c r="C523" s="1" t="s">
        <v>81</v>
      </c>
      <c r="D523" s="1" t="s">
        <v>223</v>
      </c>
      <c r="E523" s="1" t="s">
        <v>71</v>
      </c>
      <c r="F523" s="1" t="s">
        <v>83</v>
      </c>
      <c r="G523" s="2">
        <v>4</v>
      </c>
      <c r="H523" s="1" t="s">
        <v>610</v>
      </c>
      <c r="I523" s="44">
        <f>Tabla1[[#This Row],[Descuento]]+Tabla1[[#This Row],[Neto]]</f>
        <v>112</v>
      </c>
      <c r="J523" s="9">
        <v>0</v>
      </c>
      <c r="K523" s="9">
        <v>112</v>
      </c>
      <c r="L523" s="9"/>
      <c r="M523" s="24">
        <f>+Tabla1[[#This Row],[Costo Venta]]/Tabla1[[#This Row],[Cantidad]]</f>
        <v>0</v>
      </c>
      <c r="N523" s="3">
        <v>1</v>
      </c>
      <c r="O523" s="8">
        <f>+Tabla1[[#This Row],[Conversión]]*Tabla1[[#This Row],[Cantidad]]</f>
        <v>4</v>
      </c>
      <c r="P523" s="43">
        <f>Tabla1[[#This Row],[Neto]]-Tabla1[[#This Row],[Costo Venta]]</f>
        <v>112</v>
      </c>
    </row>
    <row r="524" spans="1:16" x14ac:dyDescent="0.25">
      <c r="A524" s="48">
        <v>45167</v>
      </c>
      <c r="B524" s="1" t="s">
        <v>609</v>
      </c>
      <c r="C524" s="1" t="s">
        <v>214</v>
      </c>
      <c r="D524" s="1" t="s">
        <v>230</v>
      </c>
      <c r="E524" s="1" t="s">
        <v>71</v>
      </c>
      <c r="F524" s="1" t="s">
        <v>219</v>
      </c>
      <c r="G524" s="2">
        <v>2</v>
      </c>
      <c r="H524" s="1" t="s">
        <v>610</v>
      </c>
      <c r="I524" s="44">
        <f>Tabla1[[#This Row],[Descuento]]+Tabla1[[#This Row],[Neto]]</f>
        <v>56</v>
      </c>
      <c r="J524" s="9">
        <v>0</v>
      </c>
      <c r="K524" s="9">
        <v>56</v>
      </c>
      <c r="L524" s="9"/>
      <c r="M524" s="24">
        <f>+Tabla1[[#This Row],[Costo Venta]]/Tabla1[[#This Row],[Cantidad]]</f>
        <v>0</v>
      </c>
      <c r="N524" s="3">
        <v>1</v>
      </c>
      <c r="O524" s="8">
        <f>+Tabla1[[#This Row],[Conversión]]*Tabla1[[#This Row],[Cantidad]]</f>
        <v>2</v>
      </c>
      <c r="P524" s="43">
        <f>Tabla1[[#This Row],[Neto]]-Tabla1[[#This Row],[Costo Venta]]</f>
        <v>56</v>
      </c>
    </row>
    <row r="525" spans="1:16" x14ac:dyDescent="0.25">
      <c r="A525" s="48">
        <v>45182</v>
      </c>
      <c r="B525" s="1" t="s">
        <v>609</v>
      </c>
      <c r="C525" s="1" t="s">
        <v>214</v>
      </c>
      <c r="D525" s="1" t="s">
        <v>611</v>
      </c>
      <c r="E525" s="1" t="s">
        <v>132</v>
      </c>
      <c r="F525" s="1" t="s">
        <v>612</v>
      </c>
      <c r="G525" s="2">
        <v>5</v>
      </c>
      <c r="H525" s="1" t="s">
        <v>610</v>
      </c>
      <c r="I525" s="44">
        <f>Tabla1[[#This Row],[Descuento]]+Tabla1[[#This Row],[Neto]]</f>
        <v>140</v>
      </c>
      <c r="J525" s="9">
        <v>0</v>
      </c>
      <c r="K525" s="9">
        <v>140</v>
      </c>
      <c r="L525" s="9"/>
      <c r="M525" s="24">
        <f>+Tabla1[[#This Row],[Costo Venta]]/Tabla1[[#This Row],[Cantidad]]</f>
        <v>0</v>
      </c>
      <c r="N525" s="3">
        <v>1</v>
      </c>
      <c r="O525" s="8">
        <f>+Tabla1[[#This Row],[Conversión]]*Tabla1[[#This Row],[Cantidad]]</f>
        <v>5</v>
      </c>
      <c r="P525" s="43">
        <f>Tabla1[[#This Row],[Neto]]-Tabla1[[#This Row],[Costo Venta]]</f>
        <v>140</v>
      </c>
    </row>
    <row r="526" spans="1:16" x14ac:dyDescent="0.25">
      <c r="A526" s="48">
        <v>45187</v>
      </c>
      <c r="B526" s="1" t="s">
        <v>609</v>
      </c>
      <c r="C526" s="1" t="s">
        <v>214</v>
      </c>
      <c r="D526" s="1" t="s">
        <v>613</v>
      </c>
      <c r="E526" s="1" t="s">
        <v>71</v>
      </c>
      <c r="F526" s="1" t="s">
        <v>227</v>
      </c>
      <c r="G526" s="2">
        <v>9</v>
      </c>
      <c r="H526" s="1" t="s">
        <v>610</v>
      </c>
      <c r="I526" s="44">
        <f>Tabla1[[#This Row],[Descuento]]+Tabla1[[#This Row],[Neto]]</f>
        <v>252</v>
      </c>
      <c r="J526" s="9">
        <v>0</v>
      </c>
      <c r="K526" s="9">
        <v>252</v>
      </c>
      <c r="L526" s="9"/>
      <c r="M526" s="24">
        <f>+Tabla1[[#This Row],[Costo Venta]]/Tabla1[[#This Row],[Cantidad]]</f>
        <v>0</v>
      </c>
      <c r="N526" s="3">
        <v>1</v>
      </c>
      <c r="O526" s="8">
        <f>+Tabla1[[#This Row],[Conversión]]*Tabla1[[#This Row],[Cantidad]]</f>
        <v>9</v>
      </c>
      <c r="P526" s="43">
        <f>Tabla1[[#This Row],[Neto]]-Tabla1[[#This Row],[Costo Venta]]</f>
        <v>252</v>
      </c>
    </row>
    <row r="527" spans="1:16" x14ac:dyDescent="0.25">
      <c r="A527" s="48">
        <v>45201</v>
      </c>
      <c r="B527" s="1" t="s">
        <v>609</v>
      </c>
      <c r="C527" s="1" t="s">
        <v>214</v>
      </c>
      <c r="D527" s="1" t="s">
        <v>244</v>
      </c>
      <c r="E527" s="1" t="s">
        <v>71</v>
      </c>
      <c r="F527" s="1" t="s">
        <v>22</v>
      </c>
      <c r="G527" s="2">
        <v>9</v>
      </c>
      <c r="H527" s="1" t="s">
        <v>610</v>
      </c>
      <c r="I527" s="44">
        <f>Tabla1[[#This Row],[Descuento]]+Tabla1[[#This Row],[Neto]]</f>
        <v>252</v>
      </c>
      <c r="J527" s="9">
        <v>37.799999999999997</v>
      </c>
      <c r="K527" s="9">
        <v>214.2</v>
      </c>
      <c r="L527" s="9"/>
      <c r="M527" s="24">
        <f>+Tabla1[[#This Row],[Costo Venta]]/Tabla1[[#This Row],[Cantidad]]</f>
        <v>0</v>
      </c>
      <c r="N527" s="3">
        <v>1</v>
      </c>
      <c r="O527" s="8">
        <f>+Tabla1[[#This Row],[Conversión]]*Tabla1[[#This Row],[Cantidad]]</f>
        <v>9</v>
      </c>
      <c r="P527" s="43">
        <f>Tabla1[[#This Row],[Neto]]-Tabla1[[#This Row],[Costo Venta]]</f>
        <v>214.2</v>
      </c>
    </row>
    <row r="528" spans="1:16" x14ac:dyDescent="0.25">
      <c r="A528" s="48">
        <v>45226</v>
      </c>
      <c r="B528" s="1" t="s">
        <v>609</v>
      </c>
      <c r="C528" s="1" t="s">
        <v>81</v>
      </c>
      <c r="D528" s="1" t="s">
        <v>614</v>
      </c>
      <c r="E528" s="1" t="s">
        <v>71</v>
      </c>
      <c r="F528" s="1" t="s">
        <v>615</v>
      </c>
      <c r="G528" s="2">
        <v>1</v>
      </c>
      <c r="H528" s="1" t="s">
        <v>610</v>
      </c>
      <c r="I528" s="44">
        <f>Tabla1[[#This Row],[Descuento]]+Tabla1[[#This Row],[Neto]]</f>
        <v>28</v>
      </c>
      <c r="J528" s="9">
        <v>0</v>
      </c>
      <c r="K528" s="9">
        <v>28</v>
      </c>
      <c r="L528" s="9"/>
      <c r="M528" s="24">
        <f>+Tabla1[[#This Row],[Costo Venta]]/Tabla1[[#This Row],[Cantidad]]</f>
        <v>0</v>
      </c>
      <c r="N528" s="3">
        <v>1</v>
      </c>
      <c r="O528" s="8">
        <f>+Tabla1[[#This Row],[Conversión]]*Tabla1[[#This Row],[Cantidad]]</f>
        <v>1</v>
      </c>
      <c r="P528" s="43">
        <f>Tabla1[[#This Row],[Neto]]-Tabla1[[#This Row],[Costo Venta]]</f>
        <v>28</v>
      </c>
    </row>
    <row r="529" spans="1:16" x14ac:dyDescent="0.25">
      <c r="A529" s="48">
        <v>45229</v>
      </c>
      <c r="B529" s="1" t="s">
        <v>609</v>
      </c>
      <c r="C529" s="1" t="s">
        <v>214</v>
      </c>
      <c r="D529" s="1" t="s">
        <v>258</v>
      </c>
      <c r="E529" s="1" t="s">
        <v>71</v>
      </c>
      <c r="F529" s="1" t="s">
        <v>259</v>
      </c>
      <c r="G529" s="2">
        <v>5</v>
      </c>
      <c r="H529" s="1" t="s">
        <v>610</v>
      </c>
      <c r="I529" s="44">
        <f>Tabla1[[#This Row],[Descuento]]+Tabla1[[#This Row],[Neto]]</f>
        <v>140</v>
      </c>
      <c r="J529" s="9">
        <v>0</v>
      </c>
      <c r="K529" s="9">
        <v>140</v>
      </c>
      <c r="L529" s="9"/>
      <c r="M529" s="24">
        <f>+Tabla1[[#This Row],[Costo Venta]]/Tabla1[[#This Row],[Cantidad]]</f>
        <v>0</v>
      </c>
      <c r="N529" s="3">
        <v>1</v>
      </c>
      <c r="O529" s="8">
        <f>+Tabla1[[#This Row],[Conversión]]*Tabla1[[#This Row],[Cantidad]]</f>
        <v>5</v>
      </c>
      <c r="P529" s="43">
        <f>Tabla1[[#This Row],[Neto]]-Tabla1[[#This Row],[Costo Venta]]</f>
        <v>140</v>
      </c>
    </row>
    <row r="530" spans="1:16" x14ac:dyDescent="0.25">
      <c r="A530" s="48">
        <v>45243</v>
      </c>
      <c r="B530" s="1" t="s">
        <v>609</v>
      </c>
      <c r="C530" s="1" t="s">
        <v>81</v>
      </c>
      <c r="D530" s="1" t="s">
        <v>616</v>
      </c>
      <c r="E530" s="1" t="s">
        <v>132</v>
      </c>
      <c r="F530" s="1" t="s">
        <v>617</v>
      </c>
      <c r="G530" s="2">
        <v>2</v>
      </c>
      <c r="H530" s="1" t="s">
        <v>610</v>
      </c>
      <c r="I530" s="44">
        <f>Tabla1[[#This Row],[Descuento]]+Tabla1[[#This Row],[Neto]]</f>
        <v>56</v>
      </c>
      <c r="J530" s="9">
        <v>0</v>
      </c>
      <c r="K530" s="9">
        <v>56</v>
      </c>
      <c r="L530" s="9"/>
      <c r="M530" s="24">
        <f>+Tabla1[[#This Row],[Costo Venta]]/Tabla1[[#This Row],[Cantidad]]</f>
        <v>0</v>
      </c>
      <c r="N530" s="3">
        <v>1</v>
      </c>
      <c r="O530" s="8">
        <f>+Tabla1[[#This Row],[Conversión]]*Tabla1[[#This Row],[Cantidad]]</f>
        <v>2</v>
      </c>
      <c r="P530" s="43">
        <f>Tabla1[[#This Row],[Neto]]-Tabla1[[#This Row],[Costo Venta]]</f>
        <v>56</v>
      </c>
    </row>
    <row r="531" spans="1:16" x14ac:dyDescent="0.25">
      <c r="A531" s="48">
        <v>45280</v>
      </c>
      <c r="B531" s="1" t="s">
        <v>609</v>
      </c>
      <c r="C531" s="1" t="s">
        <v>214</v>
      </c>
      <c r="D531" s="1" t="s">
        <v>618</v>
      </c>
      <c r="E531" s="1" t="s">
        <v>71</v>
      </c>
      <c r="F531" s="1" t="s">
        <v>619</v>
      </c>
      <c r="G531" s="2">
        <v>1</v>
      </c>
      <c r="H531" s="1" t="s">
        <v>610</v>
      </c>
      <c r="I531" s="44">
        <f>Tabla1[[#This Row],[Descuento]]+Tabla1[[#This Row],[Neto]]</f>
        <v>28</v>
      </c>
      <c r="J531" s="9">
        <v>0</v>
      </c>
      <c r="K531" s="9">
        <v>28</v>
      </c>
      <c r="L531" s="9"/>
      <c r="M531" s="24">
        <f>+Tabla1[[#This Row],[Costo Venta]]/Tabla1[[#This Row],[Cantidad]]</f>
        <v>0</v>
      </c>
      <c r="N531" s="3">
        <v>1</v>
      </c>
      <c r="O531" s="8">
        <f>+Tabla1[[#This Row],[Conversión]]*Tabla1[[#This Row],[Cantidad]]</f>
        <v>1</v>
      </c>
      <c r="P531" s="43">
        <f>Tabla1[[#This Row],[Neto]]-Tabla1[[#This Row],[Costo Venta]]</f>
        <v>28</v>
      </c>
    </row>
    <row r="532" spans="1:16" x14ac:dyDescent="0.25">
      <c r="A532" s="48">
        <v>45291</v>
      </c>
      <c r="B532" s="1" t="s">
        <v>609</v>
      </c>
      <c r="C532" s="1" t="s">
        <v>214</v>
      </c>
      <c r="D532" s="1" t="s">
        <v>537</v>
      </c>
      <c r="E532" s="1" t="s">
        <v>71</v>
      </c>
      <c r="F532" s="1" t="s">
        <v>23</v>
      </c>
      <c r="G532" s="2">
        <v>12</v>
      </c>
      <c r="H532" s="1" t="s">
        <v>610</v>
      </c>
      <c r="I532" s="44">
        <f>Tabla1[[#This Row],[Descuento]]+Tabla1[[#This Row],[Neto]]</f>
        <v>336</v>
      </c>
      <c r="J532" s="9">
        <v>84</v>
      </c>
      <c r="K532" s="9">
        <v>252</v>
      </c>
      <c r="L532" s="9"/>
      <c r="M532" s="24">
        <f>+Tabla1[[#This Row],[Costo Venta]]/Tabla1[[#This Row],[Cantidad]]</f>
        <v>0</v>
      </c>
      <c r="N532" s="3">
        <v>1</v>
      </c>
      <c r="O532" s="8">
        <f>+Tabla1[[#This Row],[Conversión]]*Tabla1[[#This Row],[Cantidad]]</f>
        <v>12</v>
      </c>
      <c r="P532" s="43">
        <f>Tabla1[[#This Row],[Neto]]-Tabla1[[#This Row],[Costo Venta]]</f>
        <v>252</v>
      </c>
    </row>
    <row r="533" spans="1:16" x14ac:dyDescent="0.25">
      <c r="A533" s="48">
        <v>45291</v>
      </c>
      <c r="B533" s="1" t="s">
        <v>609</v>
      </c>
      <c r="C533" s="1" t="s">
        <v>214</v>
      </c>
      <c r="D533" s="1" t="s">
        <v>620</v>
      </c>
      <c r="E533" s="1" t="s">
        <v>71</v>
      </c>
      <c r="F533" s="1" t="s">
        <v>23</v>
      </c>
      <c r="G533" s="2">
        <v>2</v>
      </c>
      <c r="H533" s="1" t="s">
        <v>610</v>
      </c>
      <c r="I533" s="44">
        <f>Tabla1[[#This Row],[Descuento]]+Tabla1[[#This Row],[Neto]]</f>
        <v>56</v>
      </c>
      <c r="J533" s="9">
        <v>14</v>
      </c>
      <c r="K533" s="9">
        <v>42</v>
      </c>
      <c r="L533" s="9"/>
      <c r="M533" s="24">
        <f>+Tabla1[[#This Row],[Costo Venta]]/Tabla1[[#This Row],[Cantidad]]</f>
        <v>0</v>
      </c>
      <c r="N533" s="3">
        <v>1</v>
      </c>
      <c r="O533" s="8">
        <f>+Tabla1[[#This Row],[Conversión]]*Tabla1[[#This Row],[Cantidad]]</f>
        <v>2</v>
      </c>
      <c r="P533" s="43">
        <f>Tabla1[[#This Row],[Neto]]-Tabla1[[#This Row],[Costo Venta]]</f>
        <v>42</v>
      </c>
    </row>
    <row r="534" spans="1:16" x14ac:dyDescent="0.25">
      <c r="A534" s="48">
        <v>45306</v>
      </c>
      <c r="B534" s="1" t="s">
        <v>609</v>
      </c>
      <c r="C534" s="1" t="s">
        <v>81</v>
      </c>
      <c r="D534" s="1" t="s">
        <v>621</v>
      </c>
      <c r="E534" s="1" t="s">
        <v>71</v>
      </c>
      <c r="F534" s="1" t="s">
        <v>10</v>
      </c>
      <c r="G534" s="2">
        <v>1</v>
      </c>
      <c r="H534" s="1" t="s">
        <v>610</v>
      </c>
      <c r="I534" s="44">
        <f>Tabla1[[#This Row],[Descuento]]+Tabla1[[#This Row],[Neto]]</f>
        <v>31</v>
      </c>
      <c r="J534" s="9">
        <v>0</v>
      </c>
      <c r="K534" s="9">
        <v>31</v>
      </c>
      <c r="L534" s="9"/>
      <c r="M534" s="24">
        <f>+Tabla1[[#This Row],[Costo Venta]]/Tabla1[[#This Row],[Cantidad]]</f>
        <v>0</v>
      </c>
      <c r="N534" s="3">
        <v>1</v>
      </c>
      <c r="O534" s="8">
        <f>+Tabla1[[#This Row],[Conversión]]*Tabla1[[#This Row],[Cantidad]]</f>
        <v>1</v>
      </c>
      <c r="P534" s="43">
        <f>Tabla1[[#This Row],[Neto]]-Tabla1[[#This Row],[Costo Venta]]</f>
        <v>31</v>
      </c>
    </row>
    <row r="535" spans="1:16" x14ac:dyDescent="0.25">
      <c r="A535" s="48">
        <v>45330</v>
      </c>
      <c r="B535" s="1" t="s">
        <v>609</v>
      </c>
      <c r="C535" s="1" t="s">
        <v>81</v>
      </c>
      <c r="D535" s="1" t="s">
        <v>622</v>
      </c>
      <c r="E535" s="1" t="s">
        <v>71</v>
      </c>
      <c r="F535" s="1" t="s">
        <v>623</v>
      </c>
      <c r="G535" s="2">
        <v>3</v>
      </c>
      <c r="H535" s="1" t="s">
        <v>610</v>
      </c>
      <c r="I535" s="44">
        <f>Tabla1[[#This Row],[Descuento]]+Tabla1[[#This Row],[Neto]]</f>
        <v>87</v>
      </c>
      <c r="J535" s="9">
        <v>0</v>
      </c>
      <c r="K535" s="9">
        <v>87</v>
      </c>
      <c r="L535" s="9"/>
      <c r="M535" s="24">
        <f>+Tabla1[[#This Row],[Costo Venta]]/Tabla1[[#This Row],[Cantidad]]</f>
        <v>0</v>
      </c>
      <c r="N535" s="3">
        <v>1</v>
      </c>
      <c r="O535" s="8">
        <f>+Tabla1[[#This Row],[Conversión]]*Tabla1[[#This Row],[Cantidad]]</f>
        <v>3</v>
      </c>
      <c r="P535" s="43">
        <f>Tabla1[[#This Row],[Neto]]-Tabla1[[#This Row],[Costo Venta]]</f>
        <v>87</v>
      </c>
    </row>
    <row r="536" spans="1:16" x14ac:dyDescent="0.25">
      <c r="A536" s="48">
        <v>45443</v>
      </c>
      <c r="B536" s="1" t="s">
        <v>609</v>
      </c>
      <c r="C536" s="1" t="s">
        <v>65</v>
      </c>
      <c r="D536" s="1" t="s">
        <v>624</v>
      </c>
      <c r="E536" s="1" t="s">
        <v>67</v>
      </c>
      <c r="F536" s="1" t="s">
        <v>173</v>
      </c>
      <c r="G536" s="2">
        <v>1</v>
      </c>
      <c r="H536" s="1" t="s">
        <v>610</v>
      </c>
      <c r="I536" s="44">
        <f>Tabla1[[#This Row],[Descuento]]+Tabla1[[#This Row],[Neto]]</f>
        <v>28</v>
      </c>
      <c r="J536" s="9">
        <v>0</v>
      </c>
      <c r="K536" s="9">
        <v>28</v>
      </c>
      <c r="L536" s="9"/>
      <c r="M536" s="24">
        <f>+Tabla1[[#This Row],[Costo Venta]]/Tabla1[[#This Row],[Cantidad]]</f>
        <v>0</v>
      </c>
      <c r="N536" s="3">
        <v>1</v>
      </c>
      <c r="O536" s="8">
        <f>+Tabla1[[#This Row],[Conversión]]*Tabla1[[#This Row],[Cantidad]]</f>
        <v>1</v>
      </c>
      <c r="P536" s="43">
        <f>Tabla1[[#This Row],[Neto]]-Tabla1[[#This Row],[Costo Venta]]</f>
        <v>28</v>
      </c>
    </row>
    <row r="537" spans="1:16" x14ac:dyDescent="0.25">
      <c r="A537" s="48">
        <v>45463</v>
      </c>
      <c r="B537" s="1" t="s">
        <v>609</v>
      </c>
      <c r="C537" s="1" t="s">
        <v>65</v>
      </c>
      <c r="D537" s="1" t="s">
        <v>625</v>
      </c>
      <c r="E537" s="1" t="s">
        <v>132</v>
      </c>
      <c r="F537" s="1" t="s">
        <v>626</v>
      </c>
      <c r="G537" s="2">
        <v>8</v>
      </c>
      <c r="H537" s="1" t="s">
        <v>610</v>
      </c>
      <c r="I537" s="44">
        <f>Tabla1[[#This Row],[Descuento]]+Tabla1[[#This Row],[Neto]]</f>
        <v>224</v>
      </c>
      <c r="J537" s="9">
        <v>0</v>
      </c>
      <c r="K537" s="9">
        <v>224</v>
      </c>
      <c r="L537" s="9"/>
      <c r="M537" s="24">
        <f>+Tabla1[[#This Row],[Costo Venta]]/Tabla1[[#This Row],[Cantidad]]</f>
        <v>0</v>
      </c>
      <c r="N537" s="3">
        <v>1</v>
      </c>
      <c r="O537" s="8">
        <f>+Tabla1[[#This Row],[Conversión]]*Tabla1[[#This Row],[Cantidad]]</f>
        <v>8</v>
      </c>
      <c r="P537" s="43">
        <f>Tabla1[[#This Row],[Neto]]-Tabla1[[#This Row],[Costo Venta]]</f>
        <v>224</v>
      </c>
    </row>
    <row r="538" spans="1:16" x14ac:dyDescent="0.25">
      <c r="A538" s="48">
        <v>44931</v>
      </c>
      <c r="B538" s="1" t="s">
        <v>481</v>
      </c>
      <c r="C538" s="1" t="s">
        <v>115</v>
      </c>
      <c r="D538" s="1" t="s">
        <v>627</v>
      </c>
      <c r="E538" s="1" t="s">
        <v>132</v>
      </c>
      <c r="F538" s="1" t="s">
        <v>628</v>
      </c>
      <c r="G538" s="2">
        <v>1</v>
      </c>
      <c r="H538" s="1" t="s">
        <v>629</v>
      </c>
      <c r="I538" s="44">
        <f>Tabla1[[#This Row],[Descuento]]+Tabla1[[#This Row],[Neto]]</f>
        <v>49</v>
      </c>
      <c r="J538" s="9">
        <v>0</v>
      </c>
      <c r="K538" s="9">
        <v>49</v>
      </c>
      <c r="L538" s="9">
        <v>8.9</v>
      </c>
      <c r="M538" s="24">
        <f>+Tabla1[[#This Row],[Costo Venta]]/Tabla1[[#This Row],[Cantidad]]</f>
        <v>8.9</v>
      </c>
      <c r="N538" s="3">
        <v>1</v>
      </c>
      <c r="O538" s="8">
        <f>+Tabla1[[#This Row],[Conversión]]*Tabla1[[#This Row],[Cantidad]]</f>
        <v>1</v>
      </c>
      <c r="P538" s="43">
        <f>Tabla1[[#This Row],[Neto]]-Tabla1[[#This Row],[Costo Venta]]</f>
        <v>40.1</v>
      </c>
    </row>
    <row r="539" spans="1:16" x14ac:dyDescent="0.25">
      <c r="A539" s="48">
        <v>44931</v>
      </c>
      <c r="B539" s="1" t="s">
        <v>481</v>
      </c>
      <c r="C539" s="1" t="s">
        <v>115</v>
      </c>
      <c r="D539" s="1" t="s">
        <v>630</v>
      </c>
      <c r="E539" s="1" t="s">
        <v>71</v>
      </c>
      <c r="F539" s="1" t="s">
        <v>631</v>
      </c>
      <c r="G539" s="2">
        <v>1</v>
      </c>
      <c r="H539" s="1" t="s">
        <v>629</v>
      </c>
      <c r="I539" s="44">
        <f>Tabla1[[#This Row],[Descuento]]+Tabla1[[#This Row],[Neto]]</f>
        <v>49</v>
      </c>
      <c r="J539" s="9">
        <v>0</v>
      </c>
      <c r="K539" s="9">
        <v>49</v>
      </c>
      <c r="L539" s="9">
        <v>8.9</v>
      </c>
      <c r="M539" s="24">
        <f>+Tabla1[[#This Row],[Costo Venta]]/Tabla1[[#This Row],[Cantidad]]</f>
        <v>8.9</v>
      </c>
      <c r="N539" s="3">
        <v>1</v>
      </c>
      <c r="O539" s="8">
        <f>+Tabla1[[#This Row],[Conversión]]*Tabla1[[#This Row],[Cantidad]]</f>
        <v>1</v>
      </c>
      <c r="P539" s="43">
        <f>Tabla1[[#This Row],[Neto]]-Tabla1[[#This Row],[Costo Venta]]</f>
        <v>40.1</v>
      </c>
    </row>
    <row r="540" spans="1:16" x14ac:dyDescent="0.25">
      <c r="A540" s="48">
        <v>44936</v>
      </c>
      <c r="B540" s="1" t="s">
        <v>481</v>
      </c>
      <c r="C540" s="1" t="s">
        <v>109</v>
      </c>
      <c r="D540" s="1" t="s">
        <v>632</v>
      </c>
      <c r="E540" s="1" t="s">
        <v>71</v>
      </c>
      <c r="F540" s="1" t="s">
        <v>633</v>
      </c>
      <c r="G540" s="2">
        <v>1</v>
      </c>
      <c r="H540" s="1" t="s">
        <v>629</v>
      </c>
      <c r="I540" s="44">
        <f>Tabla1[[#This Row],[Descuento]]+Tabla1[[#This Row],[Neto]]</f>
        <v>49</v>
      </c>
      <c r="J540" s="9">
        <v>0</v>
      </c>
      <c r="K540" s="9">
        <v>49</v>
      </c>
      <c r="L540" s="9">
        <v>8.9</v>
      </c>
      <c r="M540" s="24">
        <f>+Tabla1[[#This Row],[Costo Venta]]/Tabla1[[#This Row],[Cantidad]]</f>
        <v>8.9</v>
      </c>
      <c r="N540" s="3">
        <v>1</v>
      </c>
      <c r="O540" s="8">
        <f>+Tabla1[[#This Row],[Conversión]]*Tabla1[[#This Row],[Cantidad]]</f>
        <v>1</v>
      </c>
      <c r="P540" s="43">
        <f>Tabla1[[#This Row],[Neto]]-Tabla1[[#This Row],[Costo Venta]]</f>
        <v>40.1</v>
      </c>
    </row>
    <row r="541" spans="1:16" x14ac:dyDescent="0.25">
      <c r="A541" s="48">
        <v>44942</v>
      </c>
      <c r="B541" s="1" t="s">
        <v>481</v>
      </c>
      <c r="C541" s="1" t="s">
        <v>115</v>
      </c>
      <c r="D541" s="1" t="s">
        <v>118</v>
      </c>
      <c r="E541" s="1" t="s">
        <v>71</v>
      </c>
      <c r="F541" s="1" t="s">
        <v>119</v>
      </c>
      <c r="G541" s="2">
        <v>2</v>
      </c>
      <c r="H541" s="1" t="s">
        <v>629</v>
      </c>
      <c r="I541" s="44">
        <f>Tabla1[[#This Row],[Descuento]]+Tabla1[[#This Row],[Neto]]</f>
        <v>98</v>
      </c>
      <c r="J541" s="9">
        <v>0</v>
      </c>
      <c r="K541" s="9">
        <v>98</v>
      </c>
      <c r="L541" s="9">
        <v>17.8</v>
      </c>
      <c r="M541" s="24">
        <f>+Tabla1[[#This Row],[Costo Venta]]/Tabla1[[#This Row],[Cantidad]]</f>
        <v>8.9</v>
      </c>
      <c r="N541" s="3">
        <v>1</v>
      </c>
      <c r="O541" s="8">
        <f>+Tabla1[[#This Row],[Conversión]]*Tabla1[[#This Row],[Cantidad]]</f>
        <v>2</v>
      </c>
      <c r="P541" s="43">
        <f>Tabla1[[#This Row],[Neto]]-Tabla1[[#This Row],[Costo Venta]]</f>
        <v>80.2</v>
      </c>
    </row>
    <row r="542" spans="1:16" x14ac:dyDescent="0.25">
      <c r="A542" s="48">
        <v>44950</v>
      </c>
      <c r="B542" s="1" t="s">
        <v>481</v>
      </c>
      <c r="C542" s="1" t="s">
        <v>115</v>
      </c>
      <c r="D542" s="1" t="s">
        <v>129</v>
      </c>
      <c r="E542" s="1" t="s">
        <v>71</v>
      </c>
      <c r="F542" s="1" t="s">
        <v>130</v>
      </c>
      <c r="G542" s="2">
        <v>24</v>
      </c>
      <c r="H542" s="1" t="s">
        <v>629</v>
      </c>
      <c r="I542" s="44">
        <f>Tabla1[[#This Row],[Descuento]]+Tabla1[[#This Row],[Neto]]</f>
        <v>1176</v>
      </c>
      <c r="J542" s="9">
        <v>176.4</v>
      </c>
      <c r="K542" s="9">
        <v>999.6</v>
      </c>
      <c r="L542" s="9">
        <v>213.6</v>
      </c>
      <c r="M542" s="24">
        <f>+Tabla1[[#This Row],[Costo Venta]]/Tabla1[[#This Row],[Cantidad]]</f>
        <v>8.9</v>
      </c>
      <c r="N542" s="3">
        <v>1</v>
      </c>
      <c r="O542" s="8">
        <f>+Tabla1[[#This Row],[Conversión]]*Tabla1[[#This Row],[Cantidad]]</f>
        <v>24</v>
      </c>
      <c r="P542" s="43">
        <f>Tabla1[[#This Row],[Neto]]-Tabla1[[#This Row],[Costo Venta]]</f>
        <v>786</v>
      </c>
    </row>
    <row r="543" spans="1:16" x14ac:dyDescent="0.25">
      <c r="A543" s="48">
        <v>45002</v>
      </c>
      <c r="B543" s="1" t="s">
        <v>481</v>
      </c>
      <c r="C543" s="1" t="s">
        <v>109</v>
      </c>
      <c r="D543" s="1" t="s">
        <v>634</v>
      </c>
      <c r="E543" s="1" t="s">
        <v>67</v>
      </c>
      <c r="F543" s="1" t="s">
        <v>20</v>
      </c>
      <c r="G543" s="2">
        <v>1</v>
      </c>
      <c r="H543" s="1" t="s">
        <v>629</v>
      </c>
      <c r="I543" s="44">
        <f>Tabla1[[#This Row],[Descuento]]+Tabla1[[#This Row],[Neto]]</f>
        <v>49</v>
      </c>
      <c r="J543" s="9">
        <v>9.8000000000000007</v>
      </c>
      <c r="K543" s="9">
        <v>39.200000000000003</v>
      </c>
      <c r="L543" s="9">
        <v>8.9</v>
      </c>
      <c r="M543" s="24">
        <f>+Tabla1[[#This Row],[Costo Venta]]/Tabla1[[#This Row],[Cantidad]]</f>
        <v>8.9</v>
      </c>
      <c r="N543" s="3">
        <v>1</v>
      </c>
      <c r="O543" s="8">
        <f>+Tabla1[[#This Row],[Conversión]]*Tabla1[[#This Row],[Cantidad]]</f>
        <v>1</v>
      </c>
      <c r="P543" s="43">
        <f>Tabla1[[#This Row],[Neto]]-Tabla1[[#This Row],[Costo Venta]]</f>
        <v>30.300000000000004</v>
      </c>
    </row>
    <row r="544" spans="1:16" x14ac:dyDescent="0.25">
      <c r="A544" s="48">
        <v>45002</v>
      </c>
      <c r="B544" s="1" t="s">
        <v>481</v>
      </c>
      <c r="C544" s="1" t="s">
        <v>109</v>
      </c>
      <c r="D544" s="1" t="s">
        <v>635</v>
      </c>
      <c r="E544" s="1" t="s">
        <v>67</v>
      </c>
      <c r="F544" s="1" t="s">
        <v>20</v>
      </c>
      <c r="G544" s="2">
        <v>1</v>
      </c>
      <c r="H544" s="1" t="s">
        <v>629</v>
      </c>
      <c r="I544" s="44">
        <f>Tabla1[[#This Row],[Descuento]]+Tabla1[[#This Row],[Neto]]</f>
        <v>49</v>
      </c>
      <c r="J544" s="9">
        <v>9.8000000000000007</v>
      </c>
      <c r="K544" s="9">
        <v>39.200000000000003</v>
      </c>
      <c r="L544" s="9">
        <v>8.9</v>
      </c>
      <c r="M544" s="24">
        <f>+Tabla1[[#This Row],[Costo Venta]]/Tabla1[[#This Row],[Cantidad]]</f>
        <v>8.9</v>
      </c>
      <c r="N544" s="3">
        <v>1</v>
      </c>
      <c r="O544" s="8">
        <f>+Tabla1[[#This Row],[Conversión]]*Tabla1[[#This Row],[Cantidad]]</f>
        <v>1</v>
      </c>
      <c r="P544" s="43">
        <f>Tabla1[[#This Row],[Neto]]-Tabla1[[#This Row],[Costo Venta]]</f>
        <v>30.300000000000004</v>
      </c>
    </row>
    <row r="545" spans="1:16" x14ac:dyDescent="0.25">
      <c r="A545" s="48">
        <v>45027</v>
      </c>
      <c r="B545" s="1" t="s">
        <v>481</v>
      </c>
      <c r="C545" s="1" t="s">
        <v>81</v>
      </c>
      <c r="D545" s="1" t="s">
        <v>160</v>
      </c>
      <c r="E545" s="1" t="s">
        <v>71</v>
      </c>
      <c r="F545" s="1" t="s">
        <v>161</v>
      </c>
      <c r="G545" s="2">
        <v>1</v>
      </c>
      <c r="H545" s="1" t="s">
        <v>629</v>
      </c>
      <c r="I545" s="44">
        <f>Tabla1[[#This Row],[Descuento]]+Tabla1[[#This Row],[Neto]]</f>
        <v>49</v>
      </c>
      <c r="J545" s="9">
        <v>0</v>
      </c>
      <c r="K545" s="9">
        <v>49</v>
      </c>
      <c r="L545" s="9">
        <v>8.9</v>
      </c>
      <c r="M545" s="24">
        <f>+Tabla1[[#This Row],[Costo Venta]]/Tabla1[[#This Row],[Cantidad]]</f>
        <v>8.9</v>
      </c>
      <c r="N545" s="3">
        <v>1</v>
      </c>
      <c r="O545" s="8">
        <f>+Tabla1[[#This Row],[Conversión]]*Tabla1[[#This Row],[Cantidad]]</f>
        <v>1</v>
      </c>
      <c r="P545" s="43">
        <f>Tabla1[[#This Row],[Neto]]-Tabla1[[#This Row],[Costo Venta]]</f>
        <v>40.1</v>
      </c>
    </row>
    <row r="546" spans="1:16" x14ac:dyDescent="0.25">
      <c r="A546" s="48">
        <v>45028</v>
      </c>
      <c r="B546" s="1" t="s">
        <v>481</v>
      </c>
      <c r="C546" s="1" t="s">
        <v>81</v>
      </c>
      <c r="D546" s="1" t="s">
        <v>162</v>
      </c>
      <c r="E546" s="1" t="s">
        <v>71</v>
      </c>
      <c r="F546" s="1" t="s">
        <v>163</v>
      </c>
      <c r="G546" s="2">
        <v>1</v>
      </c>
      <c r="H546" s="1" t="s">
        <v>629</v>
      </c>
      <c r="I546" s="44">
        <f>Tabla1[[#This Row],[Descuento]]+Tabla1[[#This Row],[Neto]]</f>
        <v>49</v>
      </c>
      <c r="J546" s="9">
        <v>0</v>
      </c>
      <c r="K546" s="9">
        <v>49</v>
      </c>
      <c r="L546" s="9">
        <v>8.9</v>
      </c>
      <c r="M546" s="24">
        <f>+Tabla1[[#This Row],[Costo Venta]]/Tabla1[[#This Row],[Cantidad]]</f>
        <v>8.9</v>
      </c>
      <c r="N546" s="3">
        <v>1</v>
      </c>
      <c r="O546" s="8">
        <f>+Tabla1[[#This Row],[Conversión]]*Tabla1[[#This Row],[Cantidad]]</f>
        <v>1</v>
      </c>
      <c r="P546" s="43">
        <f>Tabla1[[#This Row],[Neto]]-Tabla1[[#This Row],[Costo Venta]]</f>
        <v>40.1</v>
      </c>
    </row>
    <row r="547" spans="1:16" x14ac:dyDescent="0.25">
      <c r="A547" s="48">
        <v>45033</v>
      </c>
      <c r="B547" s="1" t="s">
        <v>481</v>
      </c>
      <c r="C547" s="1" t="s">
        <v>81</v>
      </c>
      <c r="D547" s="1" t="s">
        <v>636</v>
      </c>
      <c r="E547" s="1" t="s">
        <v>71</v>
      </c>
      <c r="F547" s="1" t="s">
        <v>637</v>
      </c>
      <c r="G547" s="2">
        <v>1</v>
      </c>
      <c r="H547" s="1" t="s">
        <v>629</v>
      </c>
      <c r="I547" s="44">
        <f>Tabla1[[#This Row],[Descuento]]+Tabla1[[#This Row],[Neto]]</f>
        <v>49</v>
      </c>
      <c r="J547" s="9">
        <v>0</v>
      </c>
      <c r="K547" s="9">
        <v>49</v>
      </c>
      <c r="L547" s="9">
        <v>8.9</v>
      </c>
      <c r="M547" s="24">
        <f>+Tabla1[[#This Row],[Costo Venta]]/Tabla1[[#This Row],[Cantidad]]</f>
        <v>8.9</v>
      </c>
      <c r="N547" s="3">
        <v>1</v>
      </c>
      <c r="O547" s="8">
        <f>+Tabla1[[#This Row],[Conversión]]*Tabla1[[#This Row],[Cantidad]]</f>
        <v>1</v>
      </c>
      <c r="P547" s="43">
        <f>Tabla1[[#This Row],[Neto]]-Tabla1[[#This Row],[Costo Venta]]</f>
        <v>40.1</v>
      </c>
    </row>
    <row r="548" spans="1:16" x14ac:dyDescent="0.25">
      <c r="A548" s="48">
        <v>45033</v>
      </c>
      <c r="B548" s="1" t="s">
        <v>481</v>
      </c>
      <c r="C548" s="1" t="s">
        <v>81</v>
      </c>
      <c r="D548" s="1" t="s">
        <v>166</v>
      </c>
      <c r="E548" s="1" t="s">
        <v>71</v>
      </c>
      <c r="F548" s="1" t="s">
        <v>167</v>
      </c>
      <c r="G548" s="2">
        <v>9</v>
      </c>
      <c r="H548" s="1" t="s">
        <v>629</v>
      </c>
      <c r="I548" s="44">
        <f>Tabla1[[#This Row],[Descuento]]+Tabla1[[#This Row],[Neto]]</f>
        <v>441</v>
      </c>
      <c r="J548" s="9">
        <v>0</v>
      </c>
      <c r="K548" s="9">
        <v>441</v>
      </c>
      <c r="L548" s="9">
        <v>80.099999999999994</v>
      </c>
      <c r="M548" s="24">
        <f>+Tabla1[[#This Row],[Costo Venta]]/Tabla1[[#This Row],[Cantidad]]</f>
        <v>8.8999999999999986</v>
      </c>
      <c r="N548" s="3">
        <v>1</v>
      </c>
      <c r="O548" s="8">
        <f>+Tabla1[[#This Row],[Conversión]]*Tabla1[[#This Row],[Cantidad]]</f>
        <v>9</v>
      </c>
      <c r="P548" s="43">
        <f>Tabla1[[#This Row],[Neto]]-Tabla1[[#This Row],[Costo Venta]]</f>
        <v>360.9</v>
      </c>
    </row>
    <row r="549" spans="1:16" x14ac:dyDescent="0.25">
      <c r="A549" s="48">
        <v>45051</v>
      </c>
      <c r="B549" s="1" t="s">
        <v>481</v>
      </c>
      <c r="C549" s="1" t="s">
        <v>109</v>
      </c>
      <c r="D549" s="1" t="s">
        <v>638</v>
      </c>
      <c r="E549" s="1" t="s">
        <v>71</v>
      </c>
      <c r="F549" s="1" t="s">
        <v>639</v>
      </c>
      <c r="G549" s="2">
        <v>1</v>
      </c>
      <c r="H549" s="1" t="s">
        <v>629</v>
      </c>
      <c r="I549" s="44">
        <f>Tabla1[[#This Row],[Descuento]]+Tabla1[[#This Row],[Neto]]</f>
        <v>49</v>
      </c>
      <c r="J549" s="9">
        <v>0</v>
      </c>
      <c r="K549" s="9">
        <v>49</v>
      </c>
      <c r="L549" s="9">
        <v>8.9</v>
      </c>
      <c r="M549" s="24">
        <f>+Tabla1[[#This Row],[Costo Venta]]/Tabla1[[#This Row],[Cantidad]]</f>
        <v>8.9</v>
      </c>
      <c r="N549" s="3">
        <v>1</v>
      </c>
      <c r="O549" s="8">
        <f>+Tabla1[[#This Row],[Conversión]]*Tabla1[[#This Row],[Cantidad]]</f>
        <v>1</v>
      </c>
      <c r="P549" s="43">
        <f>Tabla1[[#This Row],[Neto]]-Tabla1[[#This Row],[Costo Venta]]</f>
        <v>40.1</v>
      </c>
    </row>
    <row r="550" spans="1:16" x14ac:dyDescent="0.25">
      <c r="A550" s="48">
        <v>45063</v>
      </c>
      <c r="B550" s="1" t="s">
        <v>481</v>
      </c>
      <c r="C550" s="1" t="s">
        <v>81</v>
      </c>
      <c r="D550" s="1" t="s">
        <v>640</v>
      </c>
      <c r="E550" s="1" t="s">
        <v>132</v>
      </c>
      <c r="F550" s="1" t="s">
        <v>617</v>
      </c>
      <c r="G550" s="2">
        <v>2</v>
      </c>
      <c r="H550" s="1" t="s">
        <v>629</v>
      </c>
      <c r="I550" s="44">
        <f>Tabla1[[#This Row],[Descuento]]+Tabla1[[#This Row],[Neto]]</f>
        <v>98</v>
      </c>
      <c r="J550" s="9">
        <v>0</v>
      </c>
      <c r="K550" s="9">
        <v>98</v>
      </c>
      <c r="L550" s="9">
        <v>17.8</v>
      </c>
      <c r="M550" s="24">
        <f>+Tabla1[[#This Row],[Costo Venta]]/Tabla1[[#This Row],[Cantidad]]</f>
        <v>8.9</v>
      </c>
      <c r="N550" s="3">
        <v>1</v>
      </c>
      <c r="O550" s="8">
        <f>+Tabla1[[#This Row],[Conversión]]*Tabla1[[#This Row],[Cantidad]]</f>
        <v>2</v>
      </c>
      <c r="P550" s="43">
        <f>Tabla1[[#This Row],[Neto]]-Tabla1[[#This Row],[Costo Venta]]</f>
        <v>80.2</v>
      </c>
    </row>
    <row r="551" spans="1:16" x14ac:dyDescent="0.25">
      <c r="A551" s="48">
        <v>45063</v>
      </c>
      <c r="B551" s="1" t="s">
        <v>481</v>
      </c>
      <c r="C551" s="1" t="s">
        <v>109</v>
      </c>
      <c r="D551" s="1" t="s">
        <v>641</v>
      </c>
      <c r="E551" s="1" t="s">
        <v>132</v>
      </c>
      <c r="F551" s="1" t="s">
        <v>642</v>
      </c>
      <c r="G551" s="2">
        <v>1</v>
      </c>
      <c r="H551" s="1" t="s">
        <v>629</v>
      </c>
      <c r="I551" s="44">
        <f>Tabla1[[#This Row],[Descuento]]+Tabla1[[#This Row],[Neto]]</f>
        <v>49</v>
      </c>
      <c r="J551" s="9">
        <v>0</v>
      </c>
      <c r="K551" s="9">
        <v>49</v>
      </c>
      <c r="L551" s="9">
        <v>8.9</v>
      </c>
      <c r="M551" s="24">
        <f>+Tabla1[[#This Row],[Costo Venta]]/Tabla1[[#This Row],[Cantidad]]</f>
        <v>8.9</v>
      </c>
      <c r="N551" s="3">
        <v>1</v>
      </c>
      <c r="O551" s="8">
        <f>+Tabla1[[#This Row],[Conversión]]*Tabla1[[#This Row],[Cantidad]]</f>
        <v>1</v>
      </c>
      <c r="P551" s="43">
        <f>Tabla1[[#This Row],[Neto]]-Tabla1[[#This Row],[Costo Venta]]</f>
        <v>40.1</v>
      </c>
    </row>
    <row r="552" spans="1:16" x14ac:dyDescent="0.25">
      <c r="A552" s="48">
        <v>45114</v>
      </c>
      <c r="B552" s="1" t="s">
        <v>481</v>
      </c>
      <c r="C552" s="1" t="s">
        <v>109</v>
      </c>
      <c r="D552" s="1" t="s">
        <v>643</v>
      </c>
      <c r="E552" s="1" t="s">
        <v>67</v>
      </c>
      <c r="F552" s="1" t="s">
        <v>15</v>
      </c>
      <c r="G552" s="2">
        <v>1</v>
      </c>
      <c r="H552" s="1" t="s">
        <v>629</v>
      </c>
      <c r="I552" s="44">
        <f>Tabla1[[#This Row],[Descuento]]+Tabla1[[#This Row],[Neto]]</f>
        <v>49</v>
      </c>
      <c r="J552" s="9">
        <v>9.8000000000000007</v>
      </c>
      <c r="K552" s="9">
        <v>39.200000000000003</v>
      </c>
      <c r="L552" s="9">
        <v>8.9</v>
      </c>
      <c r="M552" s="24">
        <f>+Tabla1[[#This Row],[Costo Venta]]/Tabla1[[#This Row],[Cantidad]]</f>
        <v>8.9</v>
      </c>
      <c r="N552" s="3">
        <v>1</v>
      </c>
      <c r="O552" s="8">
        <f>+Tabla1[[#This Row],[Conversión]]*Tabla1[[#This Row],[Cantidad]]</f>
        <v>1</v>
      </c>
      <c r="P552" s="43">
        <f>Tabla1[[#This Row],[Neto]]-Tabla1[[#This Row],[Costo Venta]]</f>
        <v>30.300000000000004</v>
      </c>
    </row>
    <row r="553" spans="1:16" x14ac:dyDescent="0.25">
      <c r="A553" s="48">
        <v>45441</v>
      </c>
      <c r="B553" s="1" t="s">
        <v>481</v>
      </c>
      <c r="C553" s="1" t="s">
        <v>29</v>
      </c>
      <c r="D553" s="1" t="s">
        <v>600</v>
      </c>
      <c r="E553" s="1" t="s">
        <v>132</v>
      </c>
      <c r="F553" s="1" t="s">
        <v>29</v>
      </c>
      <c r="G553" s="2">
        <v>4</v>
      </c>
      <c r="H553" s="51" t="s">
        <v>644</v>
      </c>
      <c r="I553" s="44">
        <f>Tabla1[[#This Row],[Descuento]]+Tabla1[[#This Row],[Neto]]</f>
        <v>49.722000000000001</v>
      </c>
      <c r="J553" s="9">
        <v>4.9720000000000004</v>
      </c>
      <c r="K553" s="9">
        <v>44.75</v>
      </c>
      <c r="L553" s="9">
        <v>0</v>
      </c>
      <c r="M553" s="24">
        <f>+Tabla1[[#This Row],[Costo Venta]]/Tabla1[[#This Row],[Cantidad]]</f>
        <v>0</v>
      </c>
      <c r="N553" s="3">
        <v>1</v>
      </c>
      <c r="O553" s="8">
        <f>+Tabla1[[#This Row],[Conversión]]*Tabla1[[#This Row],[Cantidad]]</f>
        <v>4</v>
      </c>
      <c r="P553" s="43">
        <f>Tabla1[[#This Row],[Neto]]-Tabla1[[#This Row],[Costo Venta]]</f>
        <v>44.75</v>
      </c>
    </row>
    <row r="554" spans="1:16" x14ac:dyDescent="0.25">
      <c r="A554" s="48">
        <v>45475</v>
      </c>
      <c r="B554" s="1" t="s">
        <v>481</v>
      </c>
      <c r="C554" s="1" t="s">
        <v>65</v>
      </c>
      <c r="D554" s="1" t="s">
        <v>602</v>
      </c>
      <c r="E554" s="1" t="s">
        <v>132</v>
      </c>
      <c r="F554" s="1" t="s">
        <v>29</v>
      </c>
      <c r="G554" s="2">
        <v>1</v>
      </c>
      <c r="H554" s="51" t="s">
        <v>644</v>
      </c>
      <c r="I554" s="44">
        <f>Tabla1[[#This Row],[Descuento]]+Tabla1[[#This Row],[Neto]]</f>
        <v>13.04515</v>
      </c>
      <c r="J554" s="9">
        <v>1.30515</v>
      </c>
      <c r="K554" s="9">
        <v>11.74</v>
      </c>
      <c r="L554" s="9">
        <v>0</v>
      </c>
      <c r="M554" s="24">
        <f>+Tabla1[[#This Row],[Costo Venta]]/Tabla1[[#This Row],[Cantidad]]</f>
        <v>0</v>
      </c>
      <c r="N554" s="3">
        <v>1</v>
      </c>
      <c r="O554" s="8">
        <f>+Tabla1[[#This Row],[Conversión]]*Tabla1[[#This Row],[Cantidad]]</f>
        <v>1</v>
      </c>
      <c r="P554" s="43">
        <f>Tabla1[[#This Row],[Neto]]-Tabla1[[#This Row],[Costo Venta]]</f>
        <v>11.74</v>
      </c>
    </row>
    <row r="555" spans="1:16" x14ac:dyDescent="0.25">
      <c r="A555" s="48">
        <v>45644</v>
      </c>
      <c r="B555" s="1" t="s">
        <v>481</v>
      </c>
      <c r="C555" s="1" t="s">
        <v>65</v>
      </c>
      <c r="D555" s="1" t="s">
        <v>599</v>
      </c>
      <c r="E555" s="1" t="s">
        <v>67</v>
      </c>
      <c r="F555" s="1" t="s">
        <v>198</v>
      </c>
      <c r="G555" s="2">
        <v>2</v>
      </c>
      <c r="H555" s="51" t="s">
        <v>644</v>
      </c>
      <c r="I555" s="44">
        <f>Tabla1[[#This Row],[Descuento]]+Tabla1[[#This Row],[Neto]]</f>
        <v>22.4</v>
      </c>
      <c r="J555" s="9">
        <v>0</v>
      </c>
      <c r="K555" s="9">
        <v>22.4</v>
      </c>
      <c r="L555" s="9">
        <v>0</v>
      </c>
      <c r="M555" s="24">
        <f>+Tabla1[[#This Row],[Costo Venta]]/Tabla1[[#This Row],[Cantidad]]</f>
        <v>0</v>
      </c>
      <c r="N555" s="3">
        <v>1</v>
      </c>
      <c r="O555" s="8">
        <f>+Tabla1[[#This Row],[Conversión]]*Tabla1[[#This Row],[Cantidad]]</f>
        <v>2</v>
      </c>
      <c r="P555" s="43">
        <f>Tabla1[[#This Row],[Neto]]-Tabla1[[#This Row],[Costo Venta]]</f>
        <v>22.4</v>
      </c>
    </row>
    <row r="556" spans="1:16" x14ac:dyDescent="0.25">
      <c r="A556" s="48">
        <v>45811</v>
      </c>
      <c r="B556" s="1" t="s">
        <v>481</v>
      </c>
      <c r="C556" s="1" t="s">
        <v>65</v>
      </c>
      <c r="D556" s="1" t="s">
        <v>383</v>
      </c>
      <c r="E556" s="1" t="s">
        <v>67</v>
      </c>
      <c r="F556" s="1" t="s">
        <v>198</v>
      </c>
      <c r="G556" s="2">
        <v>4</v>
      </c>
      <c r="H556" s="51" t="s">
        <v>644</v>
      </c>
      <c r="I556" s="44">
        <f>Tabla1[[#This Row],[Descuento]]+Tabla1[[#This Row],[Neto]]</f>
        <v>112</v>
      </c>
      <c r="J556" s="9">
        <v>33.6</v>
      </c>
      <c r="K556" s="9">
        <v>78.400000000000006</v>
      </c>
      <c r="L556" s="9">
        <v>32.04</v>
      </c>
      <c r="M556" s="24">
        <f>+Tabla1[[#This Row],[Costo Venta]]/Tabla1[[#This Row],[Cantidad]]</f>
        <v>8.01</v>
      </c>
      <c r="N556" s="3">
        <v>1</v>
      </c>
      <c r="O556" s="8">
        <f>+Tabla1[[#This Row],[Conversión]]*Tabla1[[#This Row],[Cantidad]]</f>
        <v>4</v>
      </c>
      <c r="P556" s="43">
        <f>Tabla1[[#This Row],[Neto]]-Tabla1[[#This Row],[Costo Venta]]</f>
        <v>46.360000000000007</v>
      </c>
    </row>
    <row r="557" spans="1:16" x14ac:dyDescent="0.25">
      <c r="A557" s="48">
        <v>45855</v>
      </c>
      <c r="B557" s="1" t="s">
        <v>481</v>
      </c>
      <c r="C557" s="1" t="s">
        <v>65</v>
      </c>
      <c r="D557" s="1" t="s">
        <v>388</v>
      </c>
      <c r="E557" s="1" t="s">
        <v>67</v>
      </c>
      <c r="F557" s="1" t="s">
        <v>198</v>
      </c>
      <c r="G557" s="2">
        <v>1</v>
      </c>
      <c r="H557" s="51" t="s">
        <v>644</v>
      </c>
      <c r="I557" s="44">
        <f>Tabla1[[#This Row],[Descuento]]+Tabla1[[#This Row],[Neto]]</f>
        <v>28</v>
      </c>
      <c r="J557" s="9">
        <v>8.4</v>
      </c>
      <c r="K557" s="9">
        <v>19.600000000000001</v>
      </c>
      <c r="L557" s="9">
        <v>8.01</v>
      </c>
      <c r="M557" s="24">
        <f>+Tabla1[[#This Row],[Costo Venta]]/Tabla1[[#This Row],[Cantidad]]</f>
        <v>8.01</v>
      </c>
      <c r="N557" s="3">
        <v>1</v>
      </c>
      <c r="O557" s="8">
        <f>+Tabla1[[#This Row],[Conversión]]*Tabla1[[#This Row],[Cantidad]]</f>
        <v>1</v>
      </c>
      <c r="P557" s="43">
        <f>Tabla1[[#This Row],[Neto]]-Tabla1[[#This Row],[Costo Venta]]</f>
        <v>11.590000000000002</v>
      </c>
    </row>
    <row r="558" spans="1:16" x14ac:dyDescent="0.25">
      <c r="A558" s="48">
        <v>45869</v>
      </c>
      <c r="B558" s="1" t="s">
        <v>481</v>
      </c>
      <c r="C558" s="1" t="s">
        <v>65</v>
      </c>
      <c r="D558" s="1" t="s">
        <v>595</v>
      </c>
      <c r="E558" s="1" t="s">
        <v>67</v>
      </c>
      <c r="F558" s="1" t="s">
        <v>198</v>
      </c>
      <c r="G558" s="2">
        <v>2</v>
      </c>
      <c r="H558" s="51" t="s">
        <v>644</v>
      </c>
      <c r="I558" s="44">
        <f>Tabla1[[#This Row],[Descuento]]+Tabla1[[#This Row],[Neto]]</f>
        <v>56</v>
      </c>
      <c r="J558" s="9">
        <v>16.8</v>
      </c>
      <c r="K558" s="9">
        <v>39.200000000000003</v>
      </c>
      <c r="L558" s="9">
        <v>16.02</v>
      </c>
      <c r="M558" s="24">
        <f>+Tabla1[[#This Row],[Costo Venta]]/Tabla1[[#This Row],[Cantidad]]</f>
        <v>8.01</v>
      </c>
      <c r="N558" s="3">
        <v>1</v>
      </c>
      <c r="O558" s="8">
        <f>+Tabla1[[#This Row],[Conversión]]*Tabla1[[#This Row],[Cantidad]]</f>
        <v>2</v>
      </c>
      <c r="P558" s="43">
        <f>Tabla1[[#This Row],[Neto]]-Tabla1[[#This Row],[Costo Venta]]</f>
        <v>23.180000000000003</v>
      </c>
    </row>
    <row r="559" spans="1:16" x14ac:dyDescent="0.25">
      <c r="A559" s="48">
        <v>45869</v>
      </c>
      <c r="B559" s="1" t="s">
        <v>481</v>
      </c>
      <c r="C559" s="1" t="s">
        <v>65</v>
      </c>
      <c r="D559" s="1" t="s">
        <v>645</v>
      </c>
      <c r="E559" s="1" t="s">
        <v>67</v>
      </c>
      <c r="F559" s="1" t="s">
        <v>44</v>
      </c>
      <c r="G559" s="2">
        <v>2</v>
      </c>
      <c r="H559" s="51" t="s">
        <v>644</v>
      </c>
      <c r="I559" s="44">
        <f>Tabla1[[#This Row],[Descuento]]+Tabla1[[#This Row],[Neto]]</f>
        <v>56</v>
      </c>
      <c r="J559" s="9">
        <v>19.600000000000001</v>
      </c>
      <c r="K559" s="9">
        <v>36.4</v>
      </c>
      <c r="L559" s="9">
        <v>16.02</v>
      </c>
      <c r="M559" s="24">
        <f>+Tabla1[[#This Row],[Costo Venta]]/Tabla1[[#This Row],[Cantidad]]</f>
        <v>8.01</v>
      </c>
      <c r="N559" s="3">
        <v>1</v>
      </c>
      <c r="O559" s="8">
        <f>+Tabla1[[#This Row],[Conversión]]*Tabla1[[#This Row],[Cantidad]]</f>
        <v>2</v>
      </c>
      <c r="P559" s="43">
        <f>Tabla1[[#This Row],[Neto]]-Tabla1[[#This Row],[Costo Venta]]</f>
        <v>20.38</v>
      </c>
    </row>
    <row r="560" spans="1:16" x14ac:dyDescent="0.25">
      <c r="A560" s="48">
        <v>45855</v>
      </c>
      <c r="B560" s="1" t="s">
        <v>481</v>
      </c>
      <c r="C560" s="1" t="s">
        <v>65</v>
      </c>
      <c r="D560" s="1" t="s">
        <v>386</v>
      </c>
      <c r="E560" s="1" t="s">
        <v>71</v>
      </c>
      <c r="F560" s="1" t="s">
        <v>387</v>
      </c>
      <c r="G560" s="2">
        <v>5</v>
      </c>
      <c r="H560" s="51" t="s">
        <v>646</v>
      </c>
      <c r="I560" s="44">
        <f>Tabla1[[#This Row],[Descuento]]+Tabla1[[#This Row],[Neto]]</f>
        <v>140</v>
      </c>
      <c r="J560" s="9">
        <v>21</v>
      </c>
      <c r="K560" s="9">
        <v>119</v>
      </c>
      <c r="L560" s="9">
        <v>0</v>
      </c>
      <c r="M560" s="24">
        <f>+Tabla1[[#This Row],[Costo Venta]]/Tabla1[[#This Row],[Cantidad]]</f>
        <v>0</v>
      </c>
      <c r="N560" s="3">
        <v>1</v>
      </c>
      <c r="O560" s="8">
        <f>+Tabla1[[#This Row],[Conversión]]*Tabla1[[#This Row],[Cantidad]]</f>
        <v>5</v>
      </c>
      <c r="P560" s="43">
        <f>Tabla1[[#This Row],[Neto]]-Tabla1[[#This Row],[Costo Venta]]</f>
        <v>119</v>
      </c>
    </row>
    <row r="561" spans="1:16" x14ac:dyDescent="0.25">
      <c r="A561" s="48">
        <v>45873</v>
      </c>
      <c r="B561" s="1" t="s">
        <v>481</v>
      </c>
      <c r="C561" s="1" t="s">
        <v>65</v>
      </c>
      <c r="D561" s="1" t="s">
        <v>647</v>
      </c>
      <c r="E561" s="1" t="s">
        <v>67</v>
      </c>
      <c r="F561" s="1" t="s">
        <v>44</v>
      </c>
      <c r="G561" s="2">
        <v>1</v>
      </c>
      <c r="H561" s="51" t="s">
        <v>648</v>
      </c>
      <c r="I561" s="44">
        <f>Tabla1[[#This Row],[Descuento]]+Tabla1[[#This Row],[Neto]]</f>
        <v>28</v>
      </c>
      <c r="J561" s="9">
        <v>9.8000000000000007</v>
      </c>
      <c r="K561" s="9">
        <v>18.2</v>
      </c>
      <c r="L561" s="9">
        <v>8.01</v>
      </c>
      <c r="M561" s="24">
        <f>+Tabla1[[#This Row],[Costo Venta]]/Tabla1[[#This Row],[Cantidad]]</f>
        <v>8.01</v>
      </c>
      <c r="N561" s="3">
        <v>1</v>
      </c>
      <c r="O561" s="8">
        <f>+Tabla1[[#This Row],[Conversión]]*Tabla1[[#This Row],[Cantidad]]</f>
        <v>1</v>
      </c>
      <c r="P561" s="43">
        <f>Tabla1[[#This Row],[Neto]]-Tabla1[[#This Row],[Costo Venta]]</f>
        <v>10.19</v>
      </c>
    </row>
    <row r="562" spans="1:16" x14ac:dyDescent="0.25">
      <c r="A562" s="48">
        <v>45511</v>
      </c>
      <c r="B562" s="1" t="s">
        <v>481</v>
      </c>
      <c r="C562" s="1" t="s">
        <v>65</v>
      </c>
      <c r="D562" s="1" t="s">
        <v>649</v>
      </c>
      <c r="E562" s="1" t="s">
        <v>71</v>
      </c>
      <c r="F562" s="1" t="s">
        <v>650</v>
      </c>
      <c r="G562" s="2">
        <v>1</v>
      </c>
      <c r="H562" s="1" t="s">
        <v>651</v>
      </c>
      <c r="I562" s="44">
        <f>Tabla1[[#This Row],[Descuento]]+Tabla1[[#This Row],[Neto]]</f>
        <v>28</v>
      </c>
      <c r="J562" s="9">
        <v>0</v>
      </c>
      <c r="K562" s="9">
        <v>28</v>
      </c>
      <c r="L562" s="9">
        <v>8.01</v>
      </c>
      <c r="M562" s="24">
        <f>+Tabla1[[#This Row],[Costo Venta]]/Tabla1[[#This Row],[Cantidad]]</f>
        <v>8.01</v>
      </c>
      <c r="N562" s="3">
        <v>1</v>
      </c>
      <c r="O562" s="8">
        <f>+Tabla1[[#This Row],[Conversión]]*Tabla1[[#This Row],[Cantidad]]</f>
        <v>1</v>
      </c>
      <c r="P562" s="43">
        <f>Tabla1[[#This Row],[Neto]]-Tabla1[[#This Row],[Costo Venta]]</f>
        <v>19.990000000000002</v>
      </c>
    </row>
    <row r="563" spans="1:16" x14ac:dyDescent="0.25">
      <c r="A563" s="48">
        <v>45524</v>
      </c>
      <c r="B563" s="1" t="s">
        <v>481</v>
      </c>
      <c r="C563" s="1" t="s">
        <v>65</v>
      </c>
      <c r="D563" s="1" t="s">
        <v>652</v>
      </c>
      <c r="E563" s="1" t="s">
        <v>71</v>
      </c>
      <c r="F563" s="1" t="s">
        <v>653</v>
      </c>
      <c r="G563" s="2">
        <v>5</v>
      </c>
      <c r="H563" s="1" t="s">
        <v>651</v>
      </c>
      <c r="I563" s="44">
        <f>Tabla1[[#This Row],[Descuento]]+Tabla1[[#This Row],[Neto]]</f>
        <v>140</v>
      </c>
      <c r="J563" s="9">
        <v>42</v>
      </c>
      <c r="K563" s="9">
        <v>98</v>
      </c>
      <c r="L563" s="9">
        <v>40.049999999999997</v>
      </c>
      <c r="M563" s="24">
        <f>+Tabla1[[#This Row],[Costo Venta]]/Tabla1[[#This Row],[Cantidad]]</f>
        <v>8.01</v>
      </c>
      <c r="N563" s="3">
        <v>1</v>
      </c>
      <c r="O563" s="8">
        <f>+Tabla1[[#This Row],[Conversión]]*Tabla1[[#This Row],[Cantidad]]</f>
        <v>5</v>
      </c>
      <c r="P563" s="43">
        <f>Tabla1[[#This Row],[Neto]]-Tabla1[[#This Row],[Costo Venta]]</f>
        <v>57.95</v>
      </c>
    </row>
    <row r="564" spans="1:16" x14ac:dyDescent="0.25">
      <c r="A564" s="48">
        <v>45545</v>
      </c>
      <c r="B564" s="1" t="s">
        <v>481</v>
      </c>
      <c r="C564" s="1" t="s">
        <v>65</v>
      </c>
      <c r="D564" s="1" t="s">
        <v>654</v>
      </c>
      <c r="E564" s="1" t="s">
        <v>67</v>
      </c>
      <c r="F564" s="1" t="s">
        <v>20</v>
      </c>
      <c r="G564" s="2">
        <v>2</v>
      </c>
      <c r="H564" s="1" t="s">
        <v>651</v>
      </c>
      <c r="I564" s="44">
        <f>Tabla1[[#This Row],[Descuento]]+Tabla1[[#This Row],[Neto]]</f>
        <v>56</v>
      </c>
      <c r="J564" s="9">
        <v>16.8</v>
      </c>
      <c r="K564" s="9">
        <v>39.200000000000003</v>
      </c>
      <c r="L564" s="9">
        <v>16.02</v>
      </c>
      <c r="M564" s="24">
        <f>+Tabla1[[#This Row],[Costo Venta]]/Tabla1[[#This Row],[Cantidad]]</f>
        <v>8.01</v>
      </c>
      <c r="N564" s="3">
        <v>1</v>
      </c>
      <c r="O564" s="8">
        <f>+Tabla1[[#This Row],[Conversión]]*Tabla1[[#This Row],[Cantidad]]</f>
        <v>2</v>
      </c>
      <c r="P564" s="43">
        <f>Tabla1[[#This Row],[Neto]]-Tabla1[[#This Row],[Costo Venta]]</f>
        <v>23.180000000000003</v>
      </c>
    </row>
    <row r="565" spans="1:16" x14ac:dyDescent="0.25">
      <c r="A565" s="48">
        <v>45594</v>
      </c>
      <c r="B565" s="1" t="s">
        <v>481</v>
      </c>
      <c r="C565" s="1" t="s">
        <v>65</v>
      </c>
      <c r="D565" s="1" t="s">
        <v>655</v>
      </c>
      <c r="E565" s="1" t="s">
        <v>67</v>
      </c>
      <c r="F565" s="1" t="s">
        <v>20</v>
      </c>
      <c r="G565" s="2">
        <v>2</v>
      </c>
      <c r="H565" s="1" t="s">
        <v>651</v>
      </c>
      <c r="I565" s="44">
        <f>Tabla1[[#This Row],[Descuento]]+Tabla1[[#This Row],[Neto]]</f>
        <v>56</v>
      </c>
      <c r="J565" s="9">
        <v>16.8</v>
      </c>
      <c r="K565" s="9">
        <v>39.200000000000003</v>
      </c>
      <c r="L565" s="9">
        <v>16.02</v>
      </c>
      <c r="M565" s="24">
        <f>+Tabla1[[#This Row],[Costo Venta]]/Tabla1[[#This Row],[Cantidad]]</f>
        <v>8.01</v>
      </c>
      <c r="N565" s="3">
        <v>1</v>
      </c>
      <c r="O565" s="8">
        <f>+Tabla1[[#This Row],[Conversión]]*Tabla1[[#This Row],[Cantidad]]</f>
        <v>2</v>
      </c>
      <c r="P565" s="43">
        <f>Tabla1[[#This Row],[Neto]]-Tabla1[[#This Row],[Costo Venta]]</f>
        <v>23.180000000000003</v>
      </c>
    </row>
    <row r="566" spans="1:16" x14ac:dyDescent="0.25">
      <c r="A566" s="48">
        <v>45614</v>
      </c>
      <c r="B566" s="1" t="s">
        <v>481</v>
      </c>
      <c r="C566" s="1" t="s">
        <v>65</v>
      </c>
      <c r="D566" s="1" t="s">
        <v>342</v>
      </c>
      <c r="E566" s="1" t="s">
        <v>67</v>
      </c>
      <c r="F566" s="1" t="s">
        <v>34</v>
      </c>
      <c r="G566" s="2">
        <v>1</v>
      </c>
      <c r="H566" s="1" t="s">
        <v>651</v>
      </c>
      <c r="I566" s="44">
        <f>Tabla1[[#This Row],[Descuento]]+Tabla1[[#This Row],[Neto]]</f>
        <v>28</v>
      </c>
      <c r="J566" s="9">
        <v>9.8000000000000007</v>
      </c>
      <c r="K566" s="9">
        <v>18.2</v>
      </c>
      <c r="L566" s="9">
        <v>8.01</v>
      </c>
      <c r="M566" s="24">
        <f>+Tabla1[[#This Row],[Costo Venta]]/Tabla1[[#This Row],[Cantidad]]</f>
        <v>8.01</v>
      </c>
      <c r="N566" s="3">
        <v>1</v>
      </c>
      <c r="O566" s="8">
        <f>+Tabla1[[#This Row],[Conversión]]*Tabla1[[#This Row],[Cantidad]]</f>
        <v>1</v>
      </c>
      <c r="P566" s="43">
        <f>Tabla1[[#This Row],[Neto]]-Tabla1[[#This Row],[Costo Venta]]</f>
        <v>10.19</v>
      </c>
    </row>
    <row r="567" spans="1:16" x14ac:dyDescent="0.25">
      <c r="A567" s="48">
        <v>45615</v>
      </c>
      <c r="B567" s="1" t="s">
        <v>481</v>
      </c>
      <c r="C567" s="1" t="s">
        <v>65</v>
      </c>
      <c r="D567" s="1" t="s">
        <v>343</v>
      </c>
      <c r="E567" s="1" t="s">
        <v>71</v>
      </c>
      <c r="F567" s="1" t="s">
        <v>344</v>
      </c>
      <c r="G567" s="2">
        <v>2</v>
      </c>
      <c r="H567" s="1" t="s">
        <v>651</v>
      </c>
      <c r="I567" s="44">
        <f>Tabla1[[#This Row],[Descuento]]+Tabla1[[#This Row],[Neto]]</f>
        <v>56</v>
      </c>
      <c r="J567" s="9">
        <v>0</v>
      </c>
      <c r="K567" s="9">
        <v>56</v>
      </c>
      <c r="L567" s="9">
        <v>16.02</v>
      </c>
      <c r="M567" s="24">
        <f>+Tabla1[[#This Row],[Costo Venta]]/Tabla1[[#This Row],[Cantidad]]</f>
        <v>8.01</v>
      </c>
      <c r="N567" s="3">
        <v>1</v>
      </c>
      <c r="O567" s="8">
        <f>+Tabla1[[#This Row],[Conversión]]*Tabla1[[#This Row],[Cantidad]]</f>
        <v>2</v>
      </c>
      <c r="P567" s="43">
        <f>Tabla1[[#This Row],[Neto]]-Tabla1[[#This Row],[Costo Venta]]</f>
        <v>39.980000000000004</v>
      </c>
    </row>
    <row r="568" spans="1:16" x14ac:dyDescent="0.25">
      <c r="A568" s="48">
        <v>45628</v>
      </c>
      <c r="B568" s="1" t="s">
        <v>481</v>
      </c>
      <c r="C568" s="1" t="s">
        <v>65</v>
      </c>
      <c r="D568" s="1" t="s">
        <v>656</v>
      </c>
      <c r="E568" s="1" t="s">
        <v>67</v>
      </c>
      <c r="F568" s="1" t="s">
        <v>9</v>
      </c>
      <c r="G568" s="2">
        <v>4</v>
      </c>
      <c r="H568" s="1" t="s">
        <v>651</v>
      </c>
      <c r="I568" s="44">
        <f>Tabla1[[#This Row],[Descuento]]+Tabla1[[#This Row],[Neto]]</f>
        <v>112</v>
      </c>
      <c r="J568" s="9">
        <v>39.200000000000003</v>
      </c>
      <c r="K568" s="9">
        <v>72.8</v>
      </c>
      <c r="L568" s="9">
        <v>32.04</v>
      </c>
      <c r="M568" s="24">
        <f>+Tabla1[[#This Row],[Costo Venta]]/Tabla1[[#This Row],[Cantidad]]</f>
        <v>8.01</v>
      </c>
      <c r="N568" s="3">
        <v>1</v>
      </c>
      <c r="O568" s="8">
        <f>+Tabla1[[#This Row],[Conversión]]*Tabla1[[#This Row],[Cantidad]]</f>
        <v>4</v>
      </c>
      <c r="P568" s="43">
        <f>Tabla1[[#This Row],[Neto]]-Tabla1[[#This Row],[Costo Venta]]</f>
        <v>40.76</v>
      </c>
    </row>
    <row r="569" spans="1:16" x14ac:dyDescent="0.25">
      <c r="A569" s="48">
        <v>45635</v>
      </c>
      <c r="B569" s="1" t="s">
        <v>481</v>
      </c>
      <c r="C569" s="1" t="s">
        <v>65</v>
      </c>
      <c r="D569" s="1" t="s">
        <v>657</v>
      </c>
      <c r="E569" s="1" t="s">
        <v>67</v>
      </c>
      <c r="F569" s="1" t="s">
        <v>9</v>
      </c>
      <c r="G569" s="2">
        <v>11</v>
      </c>
      <c r="H569" s="1" t="s">
        <v>651</v>
      </c>
      <c r="I569" s="44">
        <f>Tabla1[[#This Row],[Descuento]]+Tabla1[[#This Row],[Neto]]</f>
        <v>308</v>
      </c>
      <c r="J569" s="9">
        <v>107.8</v>
      </c>
      <c r="K569" s="9">
        <v>200.2</v>
      </c>
      <c r="L569" s="9">
        <v>88.11</v>
      </c>
      <c r="M569" s="24">
        <f>+Tabla1[[#This Row],[Costo Venta]]/Tabla1[[#This Row],[Cantidad]]</f>
        <v>8.01</v>
      </c>
      <c r="N569" s="3">
        <v>1</v>
      </c>
      <c r="O569" s="8">
        <f>+Tabla1[[#This Row],[Conversión]]*Tabla1[[#This Row],[Cantidad]]</f>
        <v>11</v>
      </c>
      <c r="P569" s="43">
        <f>Tabla1[[#This Row],[Neto]]-Tabla1[[#This Row],[Costo Venta]]</f>
        <v>112.08999999999999</v>
      </c>
    </row>
    <row r="570" spans="1:16" x14ac:dyDescent="0.25">
      <c r="A570" s="48">
        <v>45642</v>
      </c>
      <c r="B570" s="1" t="s">
        <v>481</v>
      </c>
      <c r="C570" s="1" t="s">
        <v>65</v>
      </c>
      <c r="D570" s="1" t="s">
        <v>354</v>
      </c>
      <c r="E570" s="1" t="s">
        <v>71</v>
      </c>
      <c r="F570" s="1" t="s">
        <v>355</v>
      </c>
      <c r="G570" s="2">
        <v>5</v>
      </c>
      <c r="H570" s="1" t="s">
        <v>651</v>
      </c>
      <c r="I570" s="44">
        <f>Tabla1[[#This Row],[Descuento]]+Tabla1[[#This Row],[Neto]]</f>
        <v>140</v>
      </c>
      <c r="J570" s="9">
        <v>14</v>
      </c>
      <c r="K570" s="9">
        <v>126</v>
      </c>
      <c r="L570" s="9">
        <v>40.049999999999997</v>
      </c>
      <c r="M570" s="24">
        <f>+Tabla1[[#This Row],[Costo Venta]]/Tabla1[[#This Row],[Cantidad]]</f>
        <v>8.01</v>
      </c>
      <c r="N570" s="3">
        <v>1</v>
      </c>
      <c r="O570" s="8">
        <f>+Tabla1[[#This Row],[Conversión]]*Tabla1[[#This Row],[Cantidad]]</f>
        <v>5</v>
      </c>
      <c r="P570" s="43">
        <f>Tabla1[[#This Row],[Neto]]-Tabla1[[#This Row],[Costo Venta]]</f>
        <v>85.95</v>
      </c>
    </row>
    <row r="571" spans="1:16" x14ac:dyDescent="0.25">
      <c r="A571" s="48">
        <v>45724</v>
      </c>
      <c r="B571" s="1" t="s">
        <v>481</v>
      </c>
      <c r="C571" s="1" t="s">
        <v>65</v>
      </c>
      <c r="D571" s="1" t="s">
        <v>658</v>
      </c>
      <c r="E571" s="1" t="s">
        <v>71</v>
      </c>
      <c r="F571" s="1" t="s">
        <v>376</v>
      </c>
      <c r="G571" s="2">
        <v>29</v>
      </c>
      <c r="H571" s="1" t="s">
        <v>651</v>
      </c>
      <c r="I571" s="44">
        <f>Tabla1[[#This Row],[Descuento]]+Tabla1[[#This Row],[Neto]]</f>
        <v>812</v>
      </c>
      <c r="J571" s="9">
        <v>203</v>
      </c>
      <c r="K571" s="9">
        <v>609</v>
      </c>
      <c r="L571" s="9">
        <v>232.29</v>
      </c>
      <c r="M571" s="24">
        <f>+Tabla1[[#This Row],[Costo Venta]]/Tabla1[[#This Row],[Cantidad]]</f>
        <v>8.01</v>
      </c>
      <c r="N571" s="3">
        <v>1</v>
      </c>
      <c r="O571" s="8">
        <f>+Tabla1[[#This Row],[Conversión]]*Tabla1[[#This Row],[Cantidad]]</f>
        <v>29</v>
      </c>
      <c r="P571" s="43">
        <f>Tabla1[[#This Row],[Neto]]-Tabla1[[#This Row],[Costo Venta]]</f>
        <v>376.71000000000004</v>
      </c>
    </row>
    <row r="572" spans="1:16" x14ac:dyDescent="0.25">
      <c r="A572" s="48">
        <v>45726</v>
      </c>
      <c r="B572" s="1" t="s">
        <v>481</v>
      </c>
      <c r="C572" s="1" t="s">
        <v>65</v>
      </c>
      <c r="D572" s="1" t="s">
        <v>659</v>
      </c>
      <c r="E572" s="1" t="s">
        <v>67</v>
      </c>
      <c r="F572" s="1" t="s">
        <v>44</v>
      </c>
      <c r="G572" s="2">
        <v>6</v>
      </c>
      <c r="H572" s="1" t="s">
        <v>651</v>
      </c>
      <c r="I572" s="44">
        <f>Tabla1[[#This Row],[Descuento]]+Tabla1[[#This Row],[Neto]]</f>
        <v>168</v>
      </c>
      <c r="J572" s="9">
        <v>58.8</v>
      </c>
      <c r="K572" s="9">
        <v>109.2</v>
      </c>
      <c r="L572" s="9">
        <v>48.06</v>
      </c>
      <c r="M572" s="24">
        <f>+Tabla1[[#This Row],[Costo Venta]]/Tabla1[[#This Row],[Cantidad]]</f>
        <v>8.01</v>
      </c>
      <c r="N572" s="3">
        <v>1</v>
      </c>
      <c r="O572" s="8">
        <f>+Tabla1[[#This Row],[Conversión]]*Tabla1[[#This Row],[Cantidad]]</f>
        <v>6</v>
      </c>
      <c r="P572" s="43">
        <f>Tabla1[[#This Row],[Neto]]-Tabla1[[#This Row],[Costo Venta]]</f>
        <v>61.14</v>
      </c>
    </row>
    <row r="573" spans="1:16" x14ac:dyDescent="0.25">
      <c r="A573" s="48">
        <v>45768</v>
      </c>
      <c r="B573" s="1" t="s">
        <v>481</v>
      </c>
      <c r="C573" s="1" t="s">
        <v>65</v>
      </c>
      <c r="D573" s="1" t="s">
        <v>660</v>
      </c>
      <c r="E573" s="1" t="s">
        <v>67</v>
      </c>
      <c r="F573" s="1" t="s">
        <v>9</v>
      </c>
      <c r="G573" s="2">
        <v>2</v>
      </c>
      <c r="H573" s="1" t="s">
        <v>651</v>
      </c>
      <c r="I573" s="44">
        <f>Tabla1[[#This Row],[Descuento]]+Tabla1[[#This Row],[Neto]]</f>
        <v>56</v>
      </c>
      <c r="J573" s="9">
        <v>25.2</v>
      </c>
      <c r="K573" s="9">
        <v>30.8</v>
      </c>
      <c r="L573" s="9">
        <v>16.02</v>
      </c>
      <c r="M573" s="24">
        <f>+Tabla1[[#This Row],[Costo Venta]]/Tabla1[[#This Row],[Cantidad]]</f>
        <v>8.01</v>
      </c>
      <c r="N573" s="3">
        <v>1</v>
      </c>
      <c r="O573" s="8">
        <f>+Tabla1[[#This Row],[Conversión]]*Tabla1[[#This Row],[Cantidad]]</f>
        <v>2</v>
      </c>
      <c r="P573" s="43">
        <f>Tabla1[[#This Row],[Neto]]-Tabla1[[#This Row],[Costo Venta]]</f>
        <v>14.780000000000001</v>
      </c>
    </row>
    <row r="574" spans="1:16" x14ac:dyDescent="0.25">
      <c r="A574" s="48">
        <v>45782</v>
      </c>
      <c r="B574" s="1" t="s">
        <v>481</v>
      </c>
      <c r="C574" s="1" t="s">
        <v>65</v>
      </c>
      <c r="D574" s="1" t="s">
        <v>661</v>
      </c>
      <c r="E574" s="1" t="s">
        <v>71</v>
      </c>
      <c r="F574" s="1" t="s">
        <v>662</v>
      </c>
      <c r="G574" s="2">
        <v>1</v>
      </c>
      <c r="H574" s="1" t="s">
        <v>651</v>
      </c>
      <c r="I574" s="44">
        <f>Tabla1[[#This Row],[Descuento]]+Tabla1[[#This Row],[Neto]]</f>
        <v>28</v>
      </c>
      <c r="J574" s="9">
        <v>0</v>
      </c>
      <c r="K574" s="9">
        <v>28</v>
      </c>
      <c r="L574" s="9">
        <v>8.01</v>
      </c>
      <c r="M574" s="24">
        <f>+Tabla1[[#This Row],[Costo Venta]]/Tabla1[[#This Row],[Cantidad]]</f>
        <v>8.01</v>
      </c>
      <c r="N574" s="3">
        <v>1</v>
      </c>
      <c r="O574" s="8">
        <f>+Tabla1[[#This Row],[Conversión]]*Tabla1[[#This Row],[Cantidad]]</f>
        <v>1</v>
      </c>
      <c r="P574" s="43">
        <f>Tabla1[[#This Row],[Neto]]-Tabla1[[#This Row],[Costo Venta]]</f>
        <v>19.990000000000002</v>
      </c>
    </row>
    <row r="575" spans="1:16" x14ac:dyDescent="0.25">
      <c r="A575" s="48">
        <v>45789</v>
      </c>
      <c r="B575" s="1" t="s">
        <v>481</v>
      </c>
      <c r="C575" s="1" t="s">
        <v>65</v>
      </c>
      <c r="D575" s="1" t="s">
        <v>663</v>
      </c>
      <c r="E575" s="1" t="s">
        <v>71</v>
      </c>
      <c r="F575" s="1" t="s">
        <v>662</v>
      </c>
      <c r="G575" s="2">
        <v>1</v>
      </c>
      <c r="H575" s="1" t="s">
        <v>651</v>
      </c>
      <c r="I575" s="44">
        <f>Tabla1[[#This Row],[Descuento]]+Tabla1[[#This Row],[Neto]]</f>
        <v>28</v>
      </c>
      <c r="J575" s="9">
        <v>0</v>
      </c>
      <c r="K575" s="9">
        <v>28</v>
      </c>
      <c r="L575" s="9">
        <v>8.01</v>
      </c>
      <c r="M575" s="24">
        <f>+Tabla1[[#This Row],[Costo Venta]]/Tabla1[[#This Row],[Cantidad]]</f>
        <v>8.01</v>
      </c>
      <c r="N575" s="3">
        <v>1</v>
      </c>
      <c r="O575" s="8">
        <f>+Tabla1[[#This Row],[Conversión]]*Tabla1[[#This Row],[Cantidad]]</f>
        <v>1</v>
      </c>
      <c r="P575" s="43">
        <f>Tabla1[[#This Row],[Neto]]-Tabla1[[#This Row],[Costo Venta]]</f>
        <v>19.990000000000002</v>
      </c>
    </row>
    <row r="576" spans="1:16" x14ac:dyDescent="0.25">
      <c r="A576" s="48">
        <v>45807</v>
      </c>
      <c r="B576" s="1" t="s">
        <v>481</v>
      </c>
      <c r="C576" s="1" t="s">
        <v>65</v>
      </c>
      <c r="D576" s="1" t="s">
        <v>664</v>
      </c>
      <c r="E576" s="1" t="s">
        <v>67</v>
      </c>
      <c r="F576" s="1" t="s">
        <v>41</v>
      </c>
      <c r="G576" s="2">
        <v>3</v>
      </c>
      <c r="H576" s="1" t="s">
        <v>651</v>
      </c>
      <c r="I576" s="44">
        <f>Tabla1[[#This Row],[Descuento]]+Tabla1[[#This Row],[Neto]]</f>
        <v>84</v>
      </c>
      <c r="J576" s="9">
        <v>25.2</v>
      </c>
      <c r="K576" s="9">
        <v>58.8</v>
      </c>
      <c r="L576" s="9">
        <v>24.03</v>
      </c>
      <c r="M576" s="24">
        <f>+Tabla1[[#This Row],[Costo Venta]]/Tabla1[[#This Row],[Cantidad]]</f>
        <v>8.01</v>
      </c>
      <c r="N576" s="3">
        <v>1</v>
      </c>
      <c r="O576" s="8">
        <f>+Tabla1[[#This Row],[Conversión]]*Tabla1[[#This Row],[Cantidad]]</f>
        <v>3</v>
      </c>
      <c r="P576" s="43">
        <f>Tabla1[[#This Row],[Neto]]-Tabla1[[#This Row],[Costo Venta]]</f>
        <v>34.769999999999996</v>
      </c>
    </row>
    <row r="577" spans="1:16" x14ac:dyDescent="0.25">
      <c r="A577" s="48">
        <v>45811</v>
      </c>
      <c r="B577" s="1" t="s">
        <v>481</v>
      </c>
      <c r="C577" s="1" t="s">
        <v>65</v>
      </c>
      <c r="D577" s="1" t="s">
        <v>665</v>
      </c>
      <c r="E577" s="1" t="s">
        <v>67</v>
      </c>
      <c r="F577" s="1" t="s">
        <v>44</v>
      </c>
      <c r="G577" s="2">
        <v>7</v>
      </c>
      <c r="H577" s="1" t="s">
        <v>651</v>
      </c>
      <c r="I577" s="44">
        <f>Tabla1[[#This Row],[Descuento]]+Tabla1[[#This Row],[Neto]]</f>
        <v>196</v>
      </c>
      <c r="J577" s="9">
        <v>68.599999999999994</v>
      </c>
      <c r="K577" s="9">
        <v>127.4</v>
      </c>
      <c r="L577" s="9">
        <v>56.07</v>
      </c>
      <c r="M577" s="24">
        <f>+Tabla1[[#This Row],[Costo Venta]]/Tabla1[[#This Row],[Cantidad]]</f>
        <v>8.01</v>
      </c>
      <c r="N577" s="3">
        <v>1</v>
      </c>
      <c r="O577" s="8">
        <f>+Tabla1[[#This Row],[Conversión]]*Tabla1[[#This Row],[Cantidad]]</f>
        <v>7</v>
      </c>
      <c r="P577" s="43">
        <f>Tabla1[[#This Row],[Neto]]-Tabla1[[#This Row],[Costo Venta]]</f>
        <v>71.330000000000013</v>
      </c>
    </row>
    <row r="578" spans="1:16" x14ac:dyDescent="0.25">
      <c r="A578" s="48">
        <v>45107</v>
      </c>
      <c r="B578" s="1" t="s">
        <v>481</v>
      </c>
      <c r="C578" s="1" t="s">
        <v>109</v>
      </c>
      <c r="D578" s="1" t="s">
        <v>666</v>
      </c>
      <c r="E578" s="1" t="s">
        <v>71</v>
      </c>
      <c r="F578" s="1" t="s">
        <v>486</v>
      </c>
      <c r="G578" s="2">
        <v>15.98</v>
      </c>
      <c r="H578" s="1" t="s">
        <v>667</v>
      </c>
      <c r="I578" s="44">
        <f>Tabla1[[#This Row],[Descuento]]+Tabla1[[#This Row],[Neto]]</f>
        <v>422.92202880000002</v>
      </c>
      <c r="J578" s="9">
        <v>42.292028799999997</v>
      </c>
      <c r="K578" s="9">
        <v>380.63</v>
      </c>
      <c r="L578" s="9">
        <v>283.88470000000001</v>
      </c>
      <c r="M578" s="24">
        <f>+Tabla1[[#This Row],[Costo Venta]]/Tabla1[[#This Row],[Cantidad]]</f>
        <v>17.765000000000001</v>
      </c>
      <c r="N578" s="3">
        <v>1</v>
      </c>
      <c r="O578" s="8">
        <f>+Tabla1[[#This Row],[Conversión]]*Tabla1[[#This Row],[Cantidad]]</f>
        <v>15.98</v>
      </c>
      <c r="P578" s="43">
        <f>Tabla1[[#This Row],[Neto]]-Tabla1[[#This Row],[Costo Venta]]</f>
        <v>96.745299999999986</v>
      </c>
    </row>
    <row r="579" spans="1:16" x14ac:dyDescent="0.25">
      <c r="A579" s="48">
        <v>45107</v>
      </c>
      <c r="B579" s="1" t="s">
        <v>481</v>
      </c>
      <c r="C579" s="1" t="s">
        <v>109</v>
      </c>
      <c r="D579" s="1" t="s">
        <v>666</v>
      </c>
      <c r="E579" s="1" t="s">
        <v>71</v>
      </c>
      <c r="F579" s="1" t="s">
        <v>486</v>
      </c>
      <c r="G579" s="2">
        <v>7.99</v>
      </c>
      <c r="H579" s="1" t="s">
        <v>668</v>
      </c>
      <c r="I579" s="44">
        <f>Tabla1[[#This Row],[Descuento]]+Tabla1[[#This Row],[Neto]]</f>
        <v>211.45601440000002</v>
      </c>
      <c r="J579" s="9">
        <v>21.146014399999999</v>
      </c>
      <c r="K579" s="9">
        <v>190.31</v>
      </c>
      <c r="L579" s="9">
        <v>141.94235</v>
      </c>
      <c r="M579" s="24">
        <f>+Tabla1[[#This Row],[Costo Venta]]/Tabla1[[#This Row],[Cantidad]]</f>
        <v>17.765000000000001</v>
      </c>
      <c r="N579" s="3">
        <v>1</v>
      </c>
      <c r="O579" s="8">
        <f>+Tabla1[[#This Row],[Conversión]]*Tabla1[[#This Row],[Cantidad]]</f>
        <v>7.99</v>
      </c>
      <c r="P579" s="43">
        <f>Tabla1[[#This Row],[Neto]]-Tabla1[[#This Row],[Costo Venta]]</f>
        <v>48.367649999999998</v>
      </c>
    </row>
    <row r="580" spans="1:16" x14ac:dyDescent="0.25">
      <c r="A580" s="48">
        <v>45404</v>
      </c>
      <c r="B580" s="1" t="s">
        <v>409</v>
      </c>
      <c r="C580" s="1" t="s">
        <v>81</v>
      </c>
      <c r="D580" s="1" t="s">
        <v>669</v>
      </c>
      <c r="E580" s="1" t="s">
        <v>67</v>
      </c>
      <c r="F580" s="1" t="s">
        <v>9</v>
      </c>
      <c r="G580" s="2">
        <v>7</v>
      </c>
      <c r="H580" s="51" t="s">
        <v>670</v>
      </c>
      <c r="I580" s="44">
        <f>Tabla1[[#This Row],[Descuento]]+Tabla1[[#This Row],[Neto]]</f>
        <v>346.35599999999999</v>
      </c>
      <c r="J580" s="9">
        <v>121.226</v>
      </c>
      <c r="K580" s="9">
        <v>225.13</v>
      </c>
      <c r="L580" s="9">
        <v>33.887363999999998</v>
      </c>
      <c r="M580" s="24">
        <f>+Tabla1[[#This Row],[Costo Venta]]/Tabla1[[#This Row],[Cantidad]]</f>
        <v>4.8410519999999995</v>
      </c>
      <c r="N580" s="3">
        <v>1</v>
      </c>
      <c r="O580" s="8">
        <f>+Tabla1[[#This Row],[Conversión]]*Tabla1[[#This Row],[Cantidad]]</f>
        <v>7</v>
      </c>
      <c r="P580" s="43">
        <f>Tabla1[[#This Row],[Neto]]-Tabla1[[#This Row],[Costo Venta]]</f>
        <v>191.242636</v>
      </c>
    </row>
    <row r="581" spans="1:16" x14ac:dyDescent="0.25">
      <c r="A581" s="48">
        <v>45560</v>
      </c>
      <c r="B581" s="1" t="s">
        <v>409</v>
      </c>
      <c r="C581" s="1" t="s">
        <v>143</v>
      </c>
      <c r="D581" s="1" t="s">
        <v>335</v>
      </c>
      <c r="E581" s="1" t="s">
        <v>132</v>
      </c>
      <c r="F581" s="1" t="s">
        <v>29</v>
      </c>
      <c r="G581" s="2">
        <v>40</v>
      </c>
      <c r="H581" s="51" t="s">
        <v>670</v>
      </c>
      <c r="I581" s="44">
        <f>Tabla1[[#This Row],[Descuento]]+Tabla1[[#This Row],[Neto]]</f>
        <v>1979.2</v>
      </c>
      <c r="J581" s="9">
        <v>593.76</v>
      </c>
      <c r="K581" s="9">
        <v>1385.44</v>
      </c>
      <c r="L581" s="9">
        <v>170.01967999999999</v>
      </c>
      <c r="M581" s="24">
        <f>+Tabla1[[#This Row],[Costo Venta]]/Tabla1[[#This Row],[Cantidad]]</f>
        <v>4.2504919999999995</v>
      </c>
      <c r="N581" s="3">
        <v>1</v>
      </c>
      <c r="O581" s="8">
        <f>+Tabla1[[#This Row],[Conversión]]*Tabla1[[#This Row],[Cantidad]]</f>
        <v>40</v>
      </c>
      <c r="P581" s="43">
        <f>Tabla1[[#This Row],[Neto]]-Tabla1[[#This Row],[Costo Venta]]</f>
        <v>1215.4203200000002</v>
      </c>
    </row>
    <row r="582" spans="1:16" x14ac:dyDescent="0.25">
      <c r="A582" s="48">
        <v>45593</v>
      </c>
      <c r="B582" s="1" t="s">
        <v>409</v>
      </c>
      <c r="C582" s="1" t="s">
        <v>65</v>
      </c>
      <c r="D582" s="1" t="s">
        <v>671</v>
      </c>
      <c r="E582" s="1" t="s">
        <v>67</v>
      </c>
      <c r="F582" s="1" t="s">
        <v>44</v>
      </c>
      <c r="G582" s="2">
        <v>14</v>
      </c>
      <c r="H582" s="51" t="s">
        <v>670</v>
      </c>
      <c r="I582" s="44">
        <f>Tabla1[[#This Row],[Descuento]]+Tabla1[[#This Row],[Neto]]</f>
        <v>692.72199999999998</v>
      </c>
      <c r="J582" s="9">
        <v>242.452</v>
      </c>
      <c r="K582" s="9">
        <v>450.27</v>
      </c>
      <c r="L582" s="9">
        <v>59.506887999999996</v>
      </c>
      <c r="M582" s="24">
        <f>+Tabla1[[#This Row],[Costo Venta]]/Tabla1[[#This Row],[Cantidad]]</f>
        <v>4.2504919999999995</v>
      </c>
      <c r="N582" s="3">
        <v>1</v>
      </c>
      <c r="O582" s="8">
        <f>+Tabla1[[#This Row],[Conversión]]*Tabla1[[#This Row],[Cantidad]]</f>
        <v>14</v>
      </c>
      <c r="P582" s="43">
        <f>Tabla1[[#This Row],[Neto]]-Tabla1[[#This Row],[Costo Venta]]</f>
        <v>390.76311199999998</v>
      </c>
    </row>
    <row r="583" spans="1:16" x14ac:dyDescent="0.25">
      <c r="A583" s="48">
        <v>45807</v>
      </c>
      <c r="B583" s="1" t="s">
        <v>409</v>
      </c>
      <c r="C583" s="1" t="s">
        <v>65</v>
      </c>
      <c r="D583" s="1" t="s">
        <v>672</v>
      </c>
      <c r="E583" s="1" t="s">
        <v>67</v>
      </c>
      <c r="F583" s="1" t="s">
        <v>41</v>
      </c>
      <c r="G583" s="2">
        <v>14.5</v>
      </c>
      <c r="H583" s="51" t="s">
        <v>670</v>
      </c>
      <c r="I583" s="44">
        <f>Tabla1[[#This Row],[Descuento]]+Tabla1[[#This Row],[Neto]]</f>
        <v>717.45800000000008</v>
      </c>
      <c r="J583" s="9">
        <v>215.238</v>
      </c>
      <c r="K583" s="9">
        <v>502.22</v>
      </c>
      <c r="L583" s="9">
        <v>59.988356000000003</v>
      </c>
      <c r="M583" s="24">
        <f>+Tabla1[[#This Row],[Costo Venta]]/Tabla1[[#This Row],[Cantidad]]</f>
        <v>4.1371280000000006</v>
      </c>
      <c r="N583" s="3">
        <v>1</v>
      </c>
      <c r="O583" s="8">
        <f>+Tabla1[[#This Row],[Conversión]]*Tabla1[[#This Row],[Cantidad]]</f>
        <v>14.5</v>
      </c>
      <c r="P583" s="43">
        <f>Tabla1[[#This Row],[Neto]]-Tabla1[[#This Row],[Costo Venta]]</f>
        <v>442.23164400000002</v>
      </c>
    </row>
    <row r="584" spans="1:16" x14ac:dyDescent="0.25">
      <c r="A584" s="48">
        <v>45810</v>
      </c>
      <c r="B584" s="1" t="s">
        <v>409</v>
      </c>
      <c r="C584" s="1" t="s">
        <v>65</v>
      </c>
      <c r="D584" s="1" t="s">
        <v>673</v>
      </c>
      <c r="E584" s="1" t="s">
        <v>67</v>
      </c>
      <c r="F584" s="1" t="s">
        <v>41</v>
      </c>
      <c r="G584" s="2">
        <v>1.5</v>
      </c>
      <c r="H584" s="51" t="s">
        <v>670</v>
      </c>
      <c r="I584" s="44">
        <f>Tabla1[[#This Row],[Descuento]]+Tabla1[[#This Row],[Neto]]</f>
        <v>74.216000000000008</v>
      </c>
      <c r="J584" s="9">
        <v>22.265999999999998</v>
      </c>
      <c r="K584" s="9">
        <v>51.95</v>
      </c>
      <c r="L584" s="9">
        <v>6.205692</v>
      </c>
      <c r="M584" s="24">
        <f>+Tabla1[[#This Row],[Costo Venta]]/Tabla1[[#This Row],[Cantidad]]</f>
        <v>4.1371279999999997</v>
      </c>
      <c r="N584" s="3">
        <v>1</v>
      </c>
      <c r="O584" s="8">
        <f>+Tabla1[[#This Row],[Conversión]]*Tabla1[[#This Row],[Cantidad]]</f>
        <v>1.5</v>
      </c>
      <c r="P584" s="43">
        <f>Tabla1[[#This Row],[Neto]]-Tabla1[[#This Row],[Costo Venta]]</f>
        <v>45.744308000000004</v>
      </c>
    </row>
    <row r="585" spans="1:16" x14ac:dyDescent="0.25">
      <c r="A585" s="48">
        <v>45835</v>
      </c>
      <c r="B585" s="1" t="s">
        <v>409</v>
      </c>
      <c r="C585" s="1" t="s">
        <v>65</v>
      </c>
      <c r="D585" s="1" t="s">
        <v>674</v>
      </c>
      <c r="E585" s="1" t="s">
        <v>71</v>
      </c>
      <c r="F585" s="1" t="s">
        <v>675</v>
      </c>
      <c r="G585" s="2">
        <v>3.5</v>
      </c>
      <c r="H585" s="51" t="s">
        <v>670</v>
      </c>
      <c r="I585" s="44">
        <f>Tabla1[[#This Row],[Descuento]]+Tabla1[[#This Row],[Neto]]</f>
        <v>173.17800000000003</v>
      </c>
      <c r="J585" s="9">
        <v>17.318000000000001</v>
      </c>
      <c r="K585" s="9">
        <v>155.86000000000001</v>
      </c>
      <c r="L585" s="9">
        <v>14.865840499999999</v>
      </c>
      <c r="M585" s="24">
        <f>+Tabla1[[#This Row],[Costo Venta]]/Tabla1[[#This Row],[Cantidad]]</f>
        <v>4.2473830000000001</v>
      </c>
      <c r="N585" s="3">
        <v>1</v>
      </c>
      <c r="O585" s="8">
        <f>+Tabla1[[#This Row],[Conversión]]*Tabla1[[#This Row],[Cantidad]]</f>
        <v>3.5</v>
      </c>
      <c r="P585" s="43">
        <f>Tabla1[[#This Row],[Neto]]-Tabla1[[#This Row],[Costo Venta]]</f>
        <v>140.99415950000002</v>
      </c>
    </row>
    <row r="586" spans="1:16" x14ac:dyDescent="0.25">
      <c r="A586" s="48">
        <v>45847</v>
      </c>
      <c r="B586" s="1" t="s">
        <v>409</v>
      </c>
      <c r="C586" s="1" t="s">
        <v>65</v>
      </c>
      <c r="D586" s="1" t="s">
        <v>676</v>
      </c>
      <c r="E586" s="1" t="s">
        <v>67</v>
      </c>
      <c r="F586" s="1" t="s">
        <v>44</v>
      </c>
      <c r="G586" s="2">
        <v>7.5</v>
      </c>
      <c r="H586" s="51" t="s">
        <v>670</v>
      </c>
      <c r="I586" s="44">
        <f>Tabla1[[#This Row],[Descuento]]+Tabla1[[#This Row],[Neto]]</f>
        <v>371.10500000000002</v>
      </c>
      <c r="J586" s="9">
        <v>129.88499999999999</v>
      </c>
      <c r="K586" s="9">
        <v>241.22</v>
      </c>
      <c r="L586" s="9">
        <v>31.785135</v>
      </c>
      <c r="M586" s="24">
        <f>+Tabla1[[#This Row],[Costo Venta]]/Tabla1[[#This Row],[Cantidad]]</f>
        <v>4.2380180000000003</v>
      </c>
      <c r="N586" s="3">
        <v>1</v>
      </c>
      <c r="O586" s="8">
        <f>+Tabla1[[#This Row],[Conversión]]*Tabla1[[#This Row],[Cantidad]]</f>
        <v>7.5</v>
      </c>
      <c r="P586" s="43">
        <f>Tabla1[[#This Row],[Neto]]-Tabla1[[#This Row],[Costo Venta]]</f>
        <v>209.434865</v>
      </c>
    </row>
    <row r="587" spans="1:16" x14ac:dyDescent="0.25">
      <c r="A587" s="48">
        <v>45100</v>
      </c>
      <c r="B587" s="1" t="s">
        <v>419</v>
      </c>
      <c r="C587" s="1" t="s">
        <v>109</v>
      </c>
      <c r="D587" s="1" t="s">
        <v>677</v>
      </c>
      <c r="E587" s="1" t="s">
        <v>67</v>
      </c>
      <c r="F587" s="1" t="s">
        <v>9</v>
      </c>
      <c r="G587" s="2">
        <v>7</v>
      </c>
      <c r="H587" s="51" t="s">
        <v>678</v>
      </c>
      <c r="I587" s="44">
        <f>Tabla1[[#This Row],[Descuento]]+Tabla1[[#This Row],[Neto]]</f>
        <v>309.39999999999998</v>
      </c>
      <c r="J587" s="9">
        <v>139.22999999999999</v>
      </c>
      <c r="K587" s="9">
        <v>170.17</v>
      </c>
      <c r="L587" s="9">
        <v>29.640001999999999</v>
      </c>
      <c r="M587" s="24">
        <f>+Tabla1[[#This Row],[Costo Venta]]/Tabla1[[#This Row],[Cantidad]]</f>
        <v>4.234286</v>
      </c>
      <c r="N587" s="3">
        <v>1</v>
      </c>
      <c r="O587" s="8">
        <f>+Tabla1[[#This Row],[Conversión]]*Tabla1[[#This Row],[Cantidad]]</f>
        <v>7</v>
      </c>
      <c r="P587" s="43">
        <f>Tabla1[[#This Row],[Neto]]-Tabla1[[#This Row],[Costo Venta]]</f>
        <v>140.52999799999998</v>
      </c>
    </row>
    <row r="588" spans="1:16" x14ac:dyDescent="0.25">
      <c r="A588" s="48">
        <v>45127</v>
      </c>
      <c r="B588" s="1" t="s">
        <v>419</v>
      </c>
      <c r="C588" s="1" t="s">
        <v>81</v>
      </c>
      <c r="D588" s="1" t="s">
        <v>679</v>
      </c>
      <c r="E588" s="1" t="s">
        <v>67</v>
      </c>
      <c r="F588" s="1" t="s">
        <v>9</v>
      </c>
      <c r="G588" s="2">
        <v>5</v>
      </c>
      <c r="H588" s="51" t="s">
        <v>678</v>
      </c>
      <c r="I588" s="44">
        <f>Tabla1[[#This Row],[Descuento]]+Tabla1[[#This Row],[Neto]]</f>
        <v>221</v>
      </c>
      <c r="J588" s="9">
        <v>99.45</v>
      </c>
      <c r="K588" s="9">
        <v>121.55</v>
      </c>
      <c r="L588" s="9">
        <v>20.75</v>
      </c>
      <c r="M588" s="24">
        <f>+Tabla1[[#This Row],[Costo Venta]]/Tabla1[[#This Row],[Cantidad]]</f>
        <v>4.1500000000000004</v>
      </c>
      <c r="N588" s="3">
        <v>1</v>
      </c>
      <c r="O588" s="8">
        <f>+Tabla1[[#This Row],[Conversión]]*Tabla1[[#This Row],[Cantidad]]</f>
        <v>5</v>
      </c>
      <c r="P588" s="43">
        <f>Tabla1[[#This Row],[Neto]]-Tabla1[[#This Row],[Costo Venta]]</f>
        <v>100.8</v>
      </c>
    </row>
    <row r="589" spans="1:16" x14ac:dyDescent="0.25">
      <c r="A589" s="48">
        <v>45441</v>
      </c>
      <c r="B589" s="1" t="s">
        <v>419</v>
      </c>
      <c r="C589" s="1" t="s">
        <v>29</v>
      </c>
      <c r="D589" s="1" t="s">
        <v>600</v>
      </c>
      <c r="E589" s="1" t="s">
        <v>132</v>
      </c>
      <c r="F589" s="1" t="s">
        <v>29</v>
      </c>
      <c r="G589" s="2">
        <v>11</v>
      </c>
      <c r="H589" s="51" t="s">
        <v>680</v>
      </c>
      <c r="I589" s="44">
        <f>Tabla1[[#This Row],[Descuento]]+Tabla1[[#This Row],[Neto]]</f>
        <v>377.84500000000003</v>
      </c>
      <c r="J589" s="9">
        <v>113.355</v>
      </c>
      <c r="K589" s="9">
        <v>264.49</v>
      </c>
      <c r="L589" s="9">
        <v>61.329884</v>
      </c>
      <c r="M589" s="24">
        <f>+Tabla1[[#This Row],[Costo Venta]]/Tabla1[[#This Row],[Cantidad]]</f>
        <v>5.5754440000000001</v>
      </c>
      <c r="N589" s="3">
        <v>1</v>
      </c>
      <c r="O589" s="8">
        <f>+Tabla1[[#This Row],[Conversión]]*Tabla1[[#This Row],[Cantidad]]</f>
        <v>11</v>
      </c>
      <c r="P589" s="43">
        <f>Tabla1[[#This Row],[Neto]]-Tabla1[[#This Row],[Costo Venta]]</f>
        <v>203.16011600000002</v>
      </c>
    </row>
    <row r="590" spans="1:16" x14ac:dyDescent="0.25">
      <c r="A590" s="48">
        <v>45281</v>
      </c>
      <c r="B590" s="1" t="s">
        <v>419</v>
      </c>
      <c r="C590" s="1" t="s">
        <v>81</v>
      </c>
      <c r="D590" s="1" t="s">
        <v>681</v>
      </c>
      <c r="E590" s="1" t="s">
        <v>67</v>
      </c>
      <c r="F590" s="1" t="s">
        <v>9</v>
      </c>
      <c r="G590" s="2">
        <v>28.5</v>
      </c>
      <c r="H590" s="51" t="s">
        <v>680</v>
      </c>
      <c r="I590" s="44">
        <f>Tabla1[[#This Row],[Descuento]]+Tabla1[[#This Row],[Neto]]</f>
        <v>978.98125000000005</v>
      </c>
      <c r="J590" s="9">
        <v>342.64125000000001</v>
      </c>
      <c r="K590" s="9">
        <v>636.34</v>
      </c>
      <c r="L590" s="9">
        <v>122.452701</v>
      </c>
      <c r="M590" s="24">
        <f>+Tabla1[[#This Row],[Costo Venta]]/Tabla1[[#This Row],[Cantidad]]</f>
        <v>4.2965860000000005</v>
      </c>
      <c r="N590" s="3">
        <v>1</v>
      </c>
      <c r="O590" s="8">
        <f>+Tabla1[[#This Row],[Conversión]]*Tabla1[[#This Row],[Cantidad]]</f>
        <v>28.5</v>
      </c>
      <c r="P590" s="43">
        <f>Tabla1[[#This Row],[Neto]]-Tabla1[[#This Row],[Costo Venta]]</f>
        <v>513.88729899999998</v>
      </c>
    </row>
    <row r="591" spans="1:16" x14ac:dyDescent="0.25">
      <c r="A591" s="48">
        <v>45621</v>
      </c>
      <c r="B591" s="1" t="s">
        <v>419</v>
      </c>
      <c r="C591" s="1" t="s">
        <v>65</v>
      </c>
      <c r="D591" s="1" t="s">
        <v>682</v>
      </c>
      <c r="E591" s="1" t="s">
        <v>67</v>
      </c>
      <c r="F591" s="1" t="s">
        <v>9</v>
      </c>
      <c r="G591" s="2">
        <v>6</v>
      </c>
      <c r="H591" s="1" t="s">
        <v>683</v>
      </c>
      <c r="I591" s="44">
        <f>Tabla1[[#This Row],[Descuento]]+Tabla1[[#This Row],[Neto]]</f>
        <v>206.10500000000002</v>
      </c>
      <c r="J591" s="9">
        <v>92.745000000000005</v>
      </c>
      <c r="K591" s="9">
        <v>113.36</v>
      </c>
      <c r="L591" s="9">
        <v>38.807015999999997</v>
      </c>
      <c r="M591" s="24">
        <f>+Tabla1[[#This Row],[Costo Venta]]/Tabla1[[#This Row],[Cantidad]]</f>
        <v>6.4678359999999993</v>
      </c>
      <c r="N591" s="3">
        <v>1</v>
      </c>
      <c r="O591" s="8">
        <f>+Tabla1[[#This Row],[Conversión]]*Tabla1[[#This Row],[Cantidad]]</f>
        <v>6</v>
      </c>
      <c r="P591" s="43">
        <f>Tabla1[[#This Row],[Neto]]-Tabla1[[#This Row],[Costo Venta]]</f>
        <v>74.552984000000009</v>
      </c>
    </row>
    <row r="592" spans="1:16" x14ac:dyDescent="0.25">
      <c r="A592" s="48">
        <v>45811</v>
      </c>
      <c r="B592" s="1" t="s">
        <v>419</v>
      </c>
      <c r="C592" s="1" t="s">
        <v>65</v>
      </c>
      <c r="D592" s="1" t="s">
        <v>383</v>
      </c>
      <c r="E592" s="1" t="s">
        <v>67</v>
      </c>
      <c r="F592" s="1" t="s">
        <v>198</v>
      </c>
      <c r="G592" s="2">
        <v>80</v>
      </c>
      <c r="H592" s="1" t="s">
        <v>683</v>
      </c>
      <c r="I592" s="44">
        <f>Tabla1[[#This Row],[Descuento]]+Tabla1[[#This Row],[Neto]]</f>
        <v>2748</v>
      </c>
      <c r="J592" s="9">
        <v>824.4</v>
      </c>
      <c r="K592" s="9">
        <v>1923.6</v>
      </c>
      <c r="L592" s="9">
        <v>486.54415999999998</v>
      </c>
      <c r="M592" s="24">
        <f>+Tabla1[[#This Row],[Costo Venta]]/Tabla1[[#This Row],[Cantidad]]</f>
        <v>6.0818019999999997</v>
      </c>
      <c r="N592" s="3">
        <v>1</v>
      </c>
      <c r="O592" s="8">
        <f>+Tabla1[[#This Row],[Conversión]]*Tabla1[[#This Row],[Cantidad]]</f>
        <v>80</v>
      </c>
      <c r="P592" s="43">
        <f>Tabla1[[#This Row],[Neto]]-Tabla1[[#This Row],[Costo Venta]]</f>
        <v>1437.05584</v>
      </c>
    </row>
    <row r="593" spans="1:16" x14ac:dyDescent="0.25">
      <c r="A593" s="48">
        <v>45243</v>
      </c>
      <c r="B593" s="1" t="s">
        <v>419</v>
      </c>
      <c r="C593" s="1" t="s">
        <v>29</v>
      </c>
      <c r="D593" s="1" t="s">
        <v>684</v>
      </c>
      <c r="E593" s="1" t="s">
        <v>67</v>
      </c>
      <c r="F593" s="1" t="s">
        <v>9</v>
      </c>
      <c r="G593" s="2">
        <v>38</v>
      </c>
      <c r="H593" s="1" t="s">
        <v>685</v>
      </c>
      <c r="I593" s="44">
        <f>Tabla1[[#This Row],[Descuento]]+Tabla1[[#This Row],[Neto]]</f>
        <v>1305.3</v>
      </c>
      <c r="J593" s="9">
        <v>522.12</v>
      </c>
      <c r="K593" s="9">
        <v>783.18</v>
      </c>
      <c r="L593" s="9">
        <v>0</v>
      </c>
      <c r="M593" s="24">
        <f>+Tabla1[[#This Row],[Costo Venta]]/Tabla1[[#This Row],[Cantidad]]</f>
        <v>0</v>
      </c>
      <c r="N593" s="3">
        <v>1</v>
      </c>
      <c r="O593" s="8">
        <f>+Tabla1[[#This Row],[Conversión]]*Tabla1[[#This Row],[Cantidad]]</f>
        <v>38</v>
      </c>
      <c r="P593" s="43">
        <f>Tabla1[[#This Row],[Neto]]-Tabla1[[#This Row],[Costo Venta]]</f>
        <v>783.18</v>
      </c>
    </row>
    <row r="594" spans="1:16" x14ac:dyDescent="0.25">
      <c r="A594" s="48">
        <v>45919</v>
      </c>
      <c r="B594" s="1" t="s">
        <v>686</v>
      </c>
      <c r="C594" s="1" t="s">
        <v>65</v>
      </c>
      <c r="D594" s="1" t="s">
        <v>401</v>
      </c>
      <c r="E594" s="1" t="s">
        <v>132</v>
      </c>
      <c r="F594" s="1" t="s">
        <v>402</v>
      </c>
      <c r="G594" s="2">
        <v>16.13</v>
      </c>
      <c r="H594" s="51" t="s">
        <v>687</v>
      </c>
      <c r="I594" s="44">
        <f>Tabla1[[#This Row],[Descuento]]+Tabla1[[#This Row],[Neto]]</f>
        <v>798.10685999999998</v>
      </c>
      <c r="J594" s="9">
        <v>119.71686</v>
      </c>
      <c r="K594" s="9">
        <v>678.39</v>
      </c>
      <c r="L594" s="9">
        <v>128.35089414000001</v>
      </c>
      <c r="M594" s="24">
        <f>+Tabla1[[#This Row],[Costo Venta]]/Tabla1[[#This Row],[Cantidad]]</f>
        <v>7.9572780000000014</v>
      </c>
      <c r="N594" s="3">
        <v>1</v>
      </c>
      <c r="O594" s="8">
        <f>+Tabla1[[#This Row],[Conversión]]*Tabla1[[#This Row],[Cantidad]]</f>
        <v>16.13</v>
      </c>
      <c r="P594" s="43">
        <f>Tabla1[[#This Row],[Neto]]-Tabla1[[#This Row],[Costo Venta]]</f>
        <v>550.03910585999995</v>
      </c>
    </row>
    <row r="595" spans="1:16" x14ac:dyDescent="0.25">
      <c r="A595" s="48">
        <v>45526</v>
      </c>
      <c r="B595" s="1" t="s">
        <v>1</v>
      </c>
      <c r="C595" s="1" t="s">
        <v>65</v>
      </c>
      <c r="D595" s="1" t="s">
        <v>589</v>
      </c>
      <c r="E595" s="1" t="s">
        <v>67</v>
      </c>
      <c r="F595" s="1" t="s">
        <v>9</v>
      </c>
      <c r="G595" s="2">
        <v>1</v>
      </c>
      <c r="H595" s="51" t="s">
        <v>688</v>
      </c>
      <c r="I595" s="44">
        <f>Tabla1[[#This Row],[Descuento]]+Tabla1[[#This Row],[Neto]]</f>
        <v>25.876000000000001</v>
      </c>
      <c r="J595" s="9">
        <v>11.646000000000001</v>
      </c>
      <c r="K595" s="9">
        <v>14.23</v>
      </c>
      <c r="L595" s="9">
        <v>2.76</v>
      </c>
      <c r="M595" s="24">
        <f>+Tabla1[[#This Row],[Costo Venta]]/Tabla1[[#This Row],[Cantidad]]</f>
        <v>2.76</v>
      </c>
      <c r="N595" s="3">
        <v>0.25</v>
      </c>
      <c r="O595" s="8">
        <f>+Tabla1[[#This Row],[Conversión]]*Tabla1[[#This Row],[Cantidad]]</f>
        <v>0.25</v>
      </c>
      <c r="P595" s="43">
        <f>Tabla1[[#This Row],[Neto]]-Tabla1[[#This Row],[Costo Venta]]</f>
        <v>11.47</v>
      </c>
    </row>
    <row r="596" spans="1:16" x14ac:dyDescent="0.25">
      <c r="A596" s="48">
        <v>45639</v>
      </c>
      <c r="B596" s="1" t="s">
        <v>1</v>
      </c>
      <c r="C596" s="1" t="s">
        <v>65</v>
      </c>
      <c r="D596" s="1" t="s">
        <v>592</v>
      </c>
      <c r="E596" s="1" t="s">
        <v>67</v>
      </c>
      <c r="F596" s="1" t="s">
        <v>20</v>
      </c>
      <c r="G596" s="2">
        <v>6</v>
      </c>
      <c r="H596" s="51" t="s">
        <v>688</v>
      </c>
      <c r="I596" s="44">
        <f>Tabla1[[#This Row],[Descuento]]+Tabla1[[#This Row],[Neto]]</f>
        <v>119.27799999999999</v>
      </c>
      <c r="J596" s="9">
        <v>41.747999999999998</v>
      </c>
      <c r="K596" s="9">
        <v>77.53</v>
      </c>
      <c r="L596" s="9">
        <v>16.094999999999999</v>
      </c>
      <c r="M596" s="24">
        <f>+Tabla1[[#This Row],[Costo Venta]]/Tabla1[[#This Row],[Cantidad]]</f>
        <v>2.6824999999999997</v>
      </c>
      <c r="N596" s="3">
        <v>0.25</v>
      </c>
      <c r="O596" s="8">
        <f>+Tabla1[[#This Row],[Conversión]]*Tabla1[[#This Row],[Cantidad]]</f>
        <v>1.5</v>
      </c>
      <c r="P596" s="43">
        <f>Tabla1[[#This Row],[Neto]]-Tabla1[[#This Row],[Costo Venta]]</f>
        <v>61.435000000000002</v>
      </c>
    </row>
    <row r="597" spans="1:16" x14ac:dyDescent="0.25">
      <c r="A597" s="48">
        <v>45639</v>
      </c>
      <c r="B597" s="1" t="s">
        <v>1</v>
      </c>
      <c r="C597" s="1" t="s">
        <v>143</v>
      </c>
      <c r="D597" s="1" t="s">
        <v>353</v>
      </c>
      <c r="E597" s="1" t="s">
        <v>132</v>
      </c>
      <c r="F597" s="1" t="s">
        <v>29</v>
      </c>
      <c r="G597" s="2">
        <v>5</v>
      </c>
      <c r="H597" s="51" t="s">
        <v>688</v>
      </c>
      <c r="I597" s="44">
        <f>Tabla1[[#This Row],[Descuento]]+Tabla1[[#This Row],[Neto]]</f>
        <v>99.4</v>
      </c>
      <c r="J597" s="9">
        <v>29.82</v>
      </c>
      <c r="K597" s="9">
        <v>69.58</v>
      </c>
      <c r="L597" s="9">
        <v>13.4125</v>
      </c>
      <c r="M597" s="24">
        <f>+Tabla1[[#This Row],[Costo Venta]]/Tabla1[[#This Row],[Cantidad]]</f>
        <v>2.6825000000000001</v>
      </c>
      <c r="N597" s="3">
        <v>0.25</v>
      </c>
      <c r="O597" s="8">
        <f>+Tabla1[[#This Row],[Conversión]]*Tabla1[[#This Row],[Cantidad]]</f>
        <v>1.25</v>
      </c>
      <c r="P597" s="43">
        <f>Tabla1[[#This Row],[Neto]]-Tabla1[[#This Row],[Costo Venta]]</f>
        <v>56.167499999999997</v>
      </c>
    </row>
    <row r="598" spans="1:16" x14ac:dyDescent="0.25">
      <c r="A598" s="48">
        <v>45126</v>
      </c>
      <c r="B598" s="1" t="s">
        <v>419</v>
      </c>
      <c r="C598" s="1" t="s">
        <v>81</v>
      </c>
      <c r="D598" s="1" t="s">
        <v>217</v>
      </c>
      <c r="E598" s="1" t="s">
        <v>71</v>
      </c>
      <c r="F598" s="1" t="s">
        <v>210</v>
      </c>
      <c r="G598" s="2">
        <v>8.1999999999999993</v>
      </c>
      <c r="H598" s="51" t="s">
        <v>689</v>
      </c>
      <c r="I598" s="44">
        <f>Tabla1[[#This Row],[Descuento]]+Tabla1[[#This Row],[Neto]]</f>
        <v>274.21080000000001</v>
      </c>
      <c r="J598" s="9">
        <v>27.4208</v>
      </c>
      <c r="K598" s="9">
        <v>246.79</v>
      </c>
      <c r="L598" s="9">
        <v>9.5939999999999994</v>
      </c>
      <c r="M598" s="24">
        <f>+Tabla1[[#This Row],[Costo Venta]]/Tabla1[[#This Row],[Cantidad]]</f>
        <v>1.17</v>
      </c>
      <c r="N598" s="3">
        <v>1</v>
      </c>
      <c r="O598" s="8">
        <f>+Tabla1[[#This Row],[Conversión]]*Tabla1[[#This Row],[Cantidad]]</f>
        <v>8.1999999999999993</v>
      </c>
      <c r="P598" s="43">
        <f>Tabla1[[#This Row],[Neto]]-Tabla1[[#This Row],[Costo Venta]]</f>
        <v>237.196</v>
      </c>
    </row>
    <row r="599" spans="1:16" x14ac:dyDescent="0.25">
      <c r="A599" s="48">
        <v>45182</v>
      </c>
      <c r="B599" s="1" t="s">
        <v>419</v>
      </c>
      <c r="C599" s="1" t="s">
        <v>214</v>
      </c>
      <c r="D599" s="1" t="s">
        <v>690</v>
      </c>
      <c r="E599" s="1" t="s">
        <v>71</v>
      </c>
      <c r="F599" s="1" t="s">
        <v>229</v>
      </c>
      <c r="G599" s="2">
        <v>27</v>
      </c>
      <c r="H599" s="51" t="s">
        <v>689</v>
      </c>
      <c r="I599" s="44">
        <f>Tabla1[[#This Row],[Descuento]]+Tabla1[[#This Row],[Neto]]</f>
        <v>927.4525000000001</v>
      </c>
      <c r="J599" s="9">
        <v>231.86250000000001</v>
      </c>
      <c r="K599" s="9">
        <v>695.59</v>
      </c>
      <c r="L599" s="9">
        <v>31.59</v>
      </c>
      <c r="M599" s="24">
        <f>+Tabla1[[#This Row],[Costo Venta]]/Tabla1[[#This Row],[Cantidad]]</f>
        <v>1.17</v>
      </c>
      <c r="N599" s="3">
        <v>1</v>
      </c>
      <c r="O599" s="8">
        <f>+Tabla1[[#This Row],[Conversión]]*Tabla1[[#This Row],[Cantidad]]</f>
        <v>27</v>
      </c>
      <c r="P599" s="43">
        <f>Tabla1[[#This Row],[Neto]]-Tabla1[[#This Row],[Costo Venta]]</f>
        <v>664</v>
      </c>
    </row>
    <row r="600" spans="1:16" x14ac:dyDescent="0.25">
      <c r="A600" s="48">
        <v>45922</v>
      </c>
      <c r="B600" s="1" t="s">
        <v>419</v>
      </c>
      <c r="C600" s="1" t="s">
        <v>65</v>
      </c>
      <c r="D600" s="1" t="s">
        <v>403</v>
      </c>
      <c r="E600" s="1" t="s">
        <v>67</v>
      </c>
      <c r="F600" s="1" t="s">
        <v>44</v>
      </c>
      <c r="G600" s="2">
        <v>45</v>
      </c>
      <c r="H600" s="51" t="s">
        <v>689</v>
      </c>
      <c r="I600" s="44">
        <f>Tabla1[[#This Row],[Descuento]]+Tabla1[[#This Row],[Neto]]</f>
        <v>1545.7525000000001</v>
      </c>
      <c r="J600" s="9">
        <v>541.01250000000005</v>
      </c>
      <c r="K600" s="9">
        <v>1004.74</v>
      </c>
      <c r="L600" s="9">
        <v>53.400015000000003</v>
      </c>
      <c r="M600" s="24">
        <f>+Tabla1[[#This Row],[Costo Venta]]/Tabla1[[#This Row],[Cantidad]]</f>
        <v>1.1866670000000001</v>
      </c>
      <c r="N600" s="3">
        <v>1</v>
      </c>
      <c r="O600" s="8">
        <f>+Tabla1[[#This Row],[Conversión]]*Tabla1[[#This Row],[Cantidad]]</f>
        <v>45</v>
      </c>
      <c r="P600" s="43">
        <f>Tabla1[[#This Row],[Neto]]-Tabla1[[#This Row],[Costo Venta]]</f>
        <v>951.33998499999996</v>
      </c>
    </row>
    <row r="601" spans="1:16" x14ac:dyDescent="0.25">
      <c r="A601" s="48">
        <v>45924</v>
      </c>
      <c r="B601" s="1" t="s">
        <v>419</v>
      </c>
      <c r="C601" s="1" t="s">
        <v>65</v>
      </c>
      <c r="D601" s="1" t="s">
        <v>404</v>
      </c>
      <c r="E601" s="1" t="s">
        <v>67</v>
      </c>
      <c r="F601" s="1" t="s">
        <v>44</v>
      </c>
      <c r="G601" s="2">
        <v>22</v>
      </c>
      <c r="H601" s="51" t="s">
        <v>689</v>
      </c>
      <c r="I601" s="44">
        <f>Tabla1[[#This Row],[Descuento]]+Tabla1[[#This Row],[Neto]]</f>
        <v>755.69499999999994</v>
      </c>
      <c r="J601" s="9">
        <v>264.495</v>
      </c>
      <c r="K601" s="9">
        <v>491.2</v>
      </c>
      <c r="L601" s="9">
        <v>26.106674000000002</v>
      </c>
      <c r="M601" s="24">
        <f>+Tabla1[[#This Row],[Costo Venta]]/Tabla1[[#This Row],[Cantidad]]</f>
        <v>1.1866670000000001</v>
      </c>
      <c r="N601" s="3">
        <v>1</v>
      </c>
      <c r="O601" s="8">
        <f>+Tabla1[[#This Row],[Conversión]]*Tabla1[[#This Row],[Cantidad]]</f>
        <v>22</v>
      </c>
      <c r="P601" s="43">
        <f>Tabla1[[#This Row],[Neto]]-Tabla1[[#This Row],[Costo Venta]]</f>
        <v>465.09332599999999</v>
      </c>
    </row>
    <row r="602" spans="1:16" x14ac:dyDescent="0.25">
      <c r="A602" s="48">
        <v>45201</v>
      </c>
      <c r="B602" s="1" t="s">
        <v>419</v>
      </c>
      <c r="C602" s="1" t="s">
        <v>214</v>
      </c>
      <c r="D602" s="1" t="s">
        <v>242</v>
      </c>
      <c r="E602" s="1" t="s">
        <v>71</v>
      </c>
      <c r="F602" s="1" t="s">
        <v>243</v>
      </c>
      <c r="G602" s="2">
        <v>21</v>
      </c>
      <c r="H602" s="1" t="s">
        <v>691</v>
      </c>
      <c r="I602" s="44">
        <f>Tabla1[[#This Row],[Descuento]]+Tabla1[[#This Row],[Neto]]</f>
        <v>721.34625000000005</v>
      </c>
      <c r="J602" s="9">
        <v>126.23625</v>
      </c>
      <c r="K602" s="9">
        <v>595.11</v>
      </c>
      <c r="L602" s="9">
        <v>0</v>
      </c>
      <c r="M602" s="24">
        <f>+Tabla1[[#This Row],[Costo Venta]]/Tabla1[[#This Row],[Cantidad]]</f>
        <v>0</v>
      </c>
      <c r="N602" s="3">
        <v>1</v>
      </c>
      <c r="O602" s="8">
        <f>+Tabla1[[#This Row],[Conversión]]*Tabla1[[#This Row],[Cantidad]]</f>
        <v>21</v>
      </c>
      <c r="P602" s="43">
        <f>Tabla1[[#This Row],[Neto]]-Tabla1[[#This Row],[Costo Venta]]</f>
        <v>595.11</v>
      </c>
    </row>
    <row r="603" spans="1:16" x14ac:dyDescent="0.25">
      <c r="A603" s="48">
        <v>45625</v>
      </c>
      <c r="B603" s="1" t="s">
        <v>419</v>
      </c>
      <c r="C603" s="1" t="s">
        <v>29</v>
      </c>
      <c r="D603" s="1" t="s">
        <v>347</v>
      </c>
      <c r="E603" s="1" t="s">
        <v>132</v>
      </c>
      <c r="F603" s="1" t="s">
        <v>29</v>
      </c>
      <c r="G603" s="2">
        <v>12</v>
      </c>
      <c r="H603" s="51" t="s">
        <v>692</v>
      </c>
      <c r="I603" s="44">
        <f>Tabla1[[#This Row],[Descuento]]+Tabla1[[#This Row],[Neto]]</f>
        <v>412.20000000000005</v>
      </c>
      <c r="J603" s="9">
        <v>123.66</v>
      </c>
      <c r="K603" s="9">
        <v>288.54000000000002</v>
      </c>
      <c r="L603" s="9">
        <v>65.489999999999995</v>
      </c>
      <c r="M603" s="24">
        <f>+Tabla1[[#This Row],[Costo Venta]]/Tabla1[[#This Row],[Cantidad]]</f>
        <v>5.4574999999999996</v>
      </c>
      <c r="N603" s="3">
        <v>1</v>
      </c>
      <c r="O603" s="8">
        <f>+Tabla1[[#This Row],[Conversión]]*Tabla1[[#This Row],[Cantidad]]</f>
        <v>12</v>
      </c>
      <c r="P603" s="43">
        <f>Tabla1[[#This Row],[Neto]]-Tabla1[[#This Row],[Costo Venta]]</f>
        <v>223.05</v>
      </c>
    </row>
    <row r="604" spans="1:16" x14ac:dyDescent="0.25">
      <c r="A604" s="48">
        <v>45784</v>
      </c>
      <c r="B604" s="1" t="s">
        <v>419</v>
      </c>
      <c r="C604" s="1" t="s">
        <v>65</v>
      </c>
      <c r="D604" s="1" t="s">
        <v>377</v>
      </c>
      <c r="E604" s="1" t="s">
        <v>132</v>
      </c>
      <c r="F604" s="1" t="s">
        <v>29</v>
      </c>
      <c r="G604" s="2">
        <v>17</v>
      </c>
      <c r="H604" s="51" t="s">
        <v>692</v>
      </c>
      <c r="I604" s="44">
        <f>Tabla1[[#This Row],[Descuento]]+Tabla1[[#This Row],[Neto]]</f>
        <v>583.95499999999993</v>
      </c>
      <c r="J604" s="9">
        <v>175.185</v>
      </c>
      <c r="K604" s="9">
        <v>408.77</v>
      </c>
      <c r="L604" s="9">
        <v>77.295616999999993</v>
      </c>
      <c r="M604" s="24">
        <f>+Tabla1[[#This Row],[Costo Venta]]/Tabla1[[#This Row],[Cantidad]]</f>
        <v>4.5468009999999994</v>
      </c>
      <c r="N604" s="3">
        <v>1</v>
      </c>
      <c r="O604" s="8">
        <f>+Tabla1[[#This Row],[Conversión]]*Tabla1[[#This Row],[Cantidad]]</f>
        <v>17</v>
      </c>
      <c r="P604" s="43">
        <f>Tabla1[[#This Row],[Neto]]-Tabla1[[#This Row],[Costo Venta]]</f>
        <v>331.47438299999999</v>
      </c>
    </row>
    <row r="605" spans="1:16" x14ac:dyDescent="0.25">
      <c r="A605" s="48">
        <v>45870</v>
      </c>
      <c r="B605" s="1" t="s">
        <v>419</v>
      </c>
      <c r="C605" s="1" t="s">
        <v>65</v>
      </c>
      <c r="D605" s="1" t="s">
        <v>392</v>
      </c>
      <c r="E605" s="1" t="s">
        <v>71</v>
      </c>
      <c r="F605" s="1" t="s">
        <v>393</v>
      </c>
      <c r="G605" s="2">
        <v>26</v>
      </c>
      <c r="H605" s="51" t="s">
        <v>692</v>
      </c>
      <c r="I605" s="44">
        <f>Tabla1[[#This Row],[Descuento]]+Tabla1[[#This Row],[Neto]]</f>
        <v>893.09500000000003</v>
      </c>
      <c r="J605" s="9">
        <v>223.27500000000001</v>
      </c>
      <c r="K605" s="9">
        <v>669.82</v>
      </c>
      <c r="L605" s="9">
        <v>143</v>
      </c>
      <c r="M605" s="24">
        <f>+Tabla1[[#This Row],[Costo Venta]]/Tabla1[[#This Row],[Cantidad]]</f>
        <v>5.5</v>
      </c>
      <c r="N605" s="3">
        <v>1</v>
      </c>
      <c r="O605" s="8">
        <f>+Tabla1[[#This Row],[Conversión]]*Tabla1[[#This Row],[Cantidad]]</f>
        <v>26</v>
      </c>
      <c r="P605" s="43">
        <f>Tabla1[[#This Row],[Neto]]-Tabla1[[#This Row],[Costo Venta]]</f>
        <v>526.82000000000005</v>
      </c>
    </row>
    <row r="606" spans="1:16" x14ac:dyDescent="0.25">
      <c r="A606" s="48">
        <v>45924</v>
      </c>
      <c r="B606" s="1" t="s">
        <v>419</v>
      </c>
      <c r="C606" s="1" t="s">
        <v>65</v>
      </c>
      <c r="D606" s="1" t="s">
        <v>404</v>
      </c>
      <c r="E606" s="1" t="s">
        <v>67</v>
      </c>
      <c r="F606" s="1" t="s">
        <v>44</v>
      </c>
      <c r="G606" s="2">
        <v>5</v>
      </c>
      <c r="H606" s="51" t="s">
        <v>692</v>
      </c>
      <c r="I606" s="44">
        <f>Tabla1[[#This Row],[Descuento]]+Tabla1[[#This Row],[Neto]]</f>
        <v>171.7525</v>
      </c>
      <c r="J606" s="9">
        <v>60.112499999999997</v>
      </c>
      <c r="K606" s="9">
        <v>111.64</v>
      </c>
      <c r="L606" s="9">
        <v>26.135000000000002</v>
      </c>
      <c r="M606" s="24">
        <f>+Tabla1[[#This Row],[Costo Venta]]/Tabla1[[#This Row],[Cantidad]]</f>
        <v>5.2270000000000003</v>
      </c>
      <c r="N606" s="3">
        <v>1</v>
      </c>
      <c r="O606" s="8">
        <f>+Tabla1[[#This Row],[Conversión]]*Tabla1[[#This Row],[Cantidad]]</f>
        <v>5</v>
      </c>
      <c r="P606" s="43">
        <f>Tabla1[[#This Row],[Neto]]-Tabla1[[#This Row],[Costo Venta]]</f>
        <v>85.504999999999995</v>
      </c>
    </row>
    <row r="607" spans="1:16" x14ac:dyDescent="0.25">
      <c r="A607" s="48">
        <v>45930</v>
      </c>
      <c r="B607" s="1" t="s">
        <v>419</v>
      </c>
      <c r="C607" s="1" t="s">
        <v>65</v>
      </c>
      <c r="D607" s="1" t="s">
        <v>693</v>
      </c>
      <c r="E607" s="1" t="s">
        <v>67</v>
      </c>
      <c r="F607" s="1" t="s">
        <v>44</v>
      </c>
      <c r="G607" s="2">
        <v>22</v>
      </c>
      <c r="H607" s="51" t="s">
        <v>692</v>
      </c>
      <c r="I607" s="44">
        <f>Tabla1[[#This Row],[Descuento]]+Tabla1[[#This Row],[Neto]]</f>
        <v>755.69499999999994</v>
      </c>
      <c r="J607" s="9">
        <v>264.495</v>
      </c>
      <c r="K607" s="9">
        <v>491.2</v>
      </c>
      <c r="L607" s="9">
        <v>114.994</v>
      </c>
      <c r="M607" s="24">
        <f>+Tabla1[[#This Row],[Costo Venta]]/Tabla1[[#This Row],[Cantidad]]</f>
        <v>5.2270000000000003</v>
      </c>
      <c r="N607" s="3">
        <v>1</v>
      </c>
      <c r="O607" s="8">
        <f>+Tabla1[[#This Row],[Conversión]]*Tabla1[[#This Row],[Cantidad]]</f>
        <v>22</v>
      </c>
      <c r="P607" s="43">
        <f>Tabla1[[#This Row],[Neto]]-Tabla1[[#This Row],[Costo Venta]]</f>
        <v>376.20600000000002</v>
      </c>
    </row>
    <row r="608" spans="1:16" x14ac:dyDescent="0.25">
      <c r="A608" s="48">
        <v>45283</v>
      </c>
      <c r="B608" s="1" t="s">
        <v>405</v>
      </c>
      <c r="C608" s="1" t="s">
        <v>214</v>
      </c>
      <c r="D608" s="1" t="s">
        <v>272</v>
      </c>
      <c r="E608" s="1" t="s">
        <v>71</v>
      </c>
      <c r="F608" s="1" t="s">
        <v>256</v>
      </c>
      <c r="G608" s="2">
        <v>56</v>
      </c>
      <c r="H608" s="1" t="s">
        <v>694</v>
      </c>
      <c r="I608" s="44">
        <f>Tabla1[[#This Row],[Descuento]]+Tabla1[[#This Row],[Neto]]</f>
        <v>2177.2800000000002</v>
      </c>
      <c r="J608" s="9">
        <v>544.32000000000005</v>
      </c>
      <c r="K608" s="9">
        <v>1632.96</v>
      </c>
      <c r="L608" s="9">
        <v>0</v>
      </c>
      <c r="M608" s="24">
        <f>+Tabla1[[#This Row],[Costo Venta]]/Tabla1[[#This Row],[Cantidad]]</f>
        <v>0</v>
      </c>
      <c r="N608" s="3">
        <v>1</v>
      </c>
      <c r="O608" s="8">
        <f>+Tabla1[[#This Row],[Conversión]]*Tabla1[[#This Row],[Cantidad]]</f>
        <v>56</v>
      </c>
      <c r="P608" s="43">
        <f>Tabla1[[#This Row],[Neto]]-Tabla1[[#This Row],[Costo Venta]]</f>
        <v>1632.96</v>
      </c>
    </row>
    <row r="609" spans="1:16" x14ac:dyDescent="0.25">
      <c r="A609" s="48">
        <v>45190</v>
      </c>
      <c r="B609" s="1" t="s">
        <v>419</v>
      </c>
      <c r="C609" s="1" t="s">
        <v>214</v>
      </c>
      <c r="D609" s="1" t="s">
        <v>240</v>
      </c>
      <c r="E609" s="1" t="s">
        <v>71</v>
      </c>
      <c r="F609" s="1" t="s">
        <v>241</v>
      </c>
      <c r="G609" s="2">
        <v>70</v>
      </c>
      <c r="H609" s="1" t="s">
        <v>695</v>
      </c>
      <c r="I609" s="44">
        <f>Tabla1[[#This Row],[Descuento]]+Tabla1[[#This Row],[Neto]]</f>
        <v>2404.5</v>
      </c>
      <c r="J609" s="9">
        <v>0</v>
      </c>
      <c r="K609" s="9">
        <v>2404.5</v>
      </c>
      <c r="L609" s="9">
        <v>923.31371999999999</v>
      </c>
      <c r="M609" s="24">
        <f>+Tabla1[[#This Row],[Costo Venta]]/Tabla1[[#This Row],[Cantidad]]</f>
        <v>13.190196</v>
      </c>
      <c r="N609" s="3">
        <v>1</v>
      </c>
      <c r="O609" s="8">
        <f>+Tabla1[[#This Row],[Conversión]]*Tabla1[[#This Row],[Cantidad]]</f>
        <v>70</v>
      </c>
      <c r="P609" s="43">
        <f>Tabla1[[#This Row],[Neto]]-Tabla1[[#This Row],[Costo Venta]]</f>
        <v>1481.1862799999999</v>
      </c>
    </row>
    <row r="610" spans="1:16" x14ac:dyDescent="0.25">
      <c r="A610" s="48">
        <v>44963</v>
      </c>
      <c r="B610" s="1" t="s">
        <v>419</v>
      </c>
      <c r="C610" s="1" t="s">
        <v>65</v>
      </c>
      <c r="D610" s="1" t="s">
        <v>139</v>
      </c>
      <c r="E610" s="1" t="s">
        <v>71</v>
      </c>
      <c r="F610" s="1" t="s">
        <v>140</v>
      </c>
      <c r="G610" s="2">
        <v>6</v>
      </c>
      <c r="H610" s="1" t="s">
        <v>696</v>
      </c>
      <c r="I610" s="44">
        <f>Tabla1[[#This Row],[Descuento]]+Tabla1[[#This Row],[Neto]]</f>
        <v>211.20000000000002</v>
      </c>
      <c r="J610" s="9">
        <v>21.12</v>
      </c>
      <c r="K610" s="9">
        <v>190.08</v>
      </c>
      <c r="L610" s="9">
        <v>36.03</v>
      </c>
      <c r="M610" s="24">
        <f>+Tabla1[[#This Row],[Costo Venta]]/Tabla1[[#This Row],[Cantidad]]</f>
        <v>6.0049999999999999</v>
      </c>
      <c r="N610" s="3">
        <v>1</v>
      </c>
      <c r="O610" s="8">
        <f>+Tabla1[[#This Row],[Conversión]]*Tabla1[[#This Row],[Cantidad]]</f>
        <v>6</v>
      </c>
      <c r="P610" s="43">
        <f>Tabla1[[#This Row],[Neto]]-Tabla1[[#This Row],[Costo Venta]]</f>
        <v>154.05000000000001</v>
      </c>
    </row>
    <row r="611" spans="1:16" x14ac:dyDescent="0.25">
      <c r="A611" s="48">
        <v>45026</v>
      </c>
      <c r="B611" s="1" t="s">
        <v>419</v>
      </c>
      <c r="C611" s="1" t="s">
        <v>81</v>
      </c>
      <c r="D611" s="1" t="s">
        <v>697</v>
      </c>
      <c r="E611" s="1" t="s">
        <v>71</v>
      </c>
      <c r="F611" s="1" t="s">
        <v>698</v>
      </c>
      <c r="G611" s="2">
        <v>5</v>
      </c>
      <c r="H611" s="1" t="s">
        <v>696</v>
      </c>
      <c r="I611" s="44">
        <f>Tabla1[[#This Row],[Descuento]]+Tabla1[[#This Row],[Neto]]</f>
        <v>176</v>
      </c>
      <c r="J611" s="9">
        <v>26.4</v>
      </c>
      <c r="K611" s="9">
        <v>149.6</v>
      </c>
      <c r="L611" s="9">
        <v>29.346119999999999</v>
      </c>
      <c r="M611" s="24">
        <f>+Tabla1[[#This Row],[Costo Venta]]/Tabla1[[#This Row],[Cantidad]]</f>
        <v>5.869224</v>
      </c>
      <c r="N611" s="3">
        <v>1</v>
      </c>
      <c r="O611" s="8">
        <f>+Tabla1[[#This Row],[Conversión]]*Tabla1[[#This Row],[Cantidad]]</f>
        <v>5</v>
      </c>
      <c r="P611" s="43">
        <f>Tabla1[[#This Row],[Neto]]-Tabla1[[#This Row],[Costo Venta]]</f>
        <v>120.25388</v>
      </c>
    </row>
    <row r="612" spans="1:16" x14ac:dyDescent="0.25">
      <c r="A612" s="48">
        <v>45027</v>
      </c>
      <c r="B612" s="1" t="s">
        <v>419</v>
      </c>
      <c r="C612" s="1" t="s">
        <v>109</v>
      </c>
      <c r="D612" s="1" t="s">
        <v>699</v>
      </c>
      <c r="E612" s="1" t="s">
        <v>67</v>
      </c>
      <c r="F612" s="1" t="s">
        <v>9</v>
      </c>
      <c r="G612" s="2">
        <v>6</v>
      </c>
      <c r="H612" s="1" t="s">
        <v>696</v>
      </c>
      <c r="I612" s="44">
        <f>Tabla1[[#This Row],[Descuento]]+Tabla1[[#This Row],[Neto]]</f>
        <v>192</v>
      </c>
      <c r="J612" s="9">
        <v>67.2</v>
      </c>
      <c r="K612" s="9">
        <v>124.8</v>
      </c>
      <c r="L612" s="9">
        <v>35.215344000000002</v>
      </c>
      <c r="M612" s="24">
        <f>+Tabla1[[#This Row],[Costo Venta]]/Tabla1[[#This Row],[Cantidad]]</f>
        <v>5.869224</v>
      </c>
      <c r="N612" s="3">
        <v>1</v>
      </c>
      <c r="O612" s="8">
        <f>+Tabla1[[#This Row],[Conversión]]*Tabla1[[#This Row],[Cantidad]]</f>
        <v>6</v>
      </c>
      <c r="P612" s="43">
        <f>Tabla1[[#This Row],[Neto]]-Tabla1[[#This Row],[Costo Venta]]</f>
        <v>89.584655999999995</v>
      </c>
    </row>
    <row r="613" spans="1:16" x14ac:dyDescent="0.25">
      <c r="A613" s="48">
        <v>45173</v>
      </c>
      <c r="B613" s="1" t="s">
        <v>419</v>
      </c>
      <c r="C613" s="1" t="s">
        <v>214</v>
      </c>
      <c r="D613" s="1" t="s">
        <v>233</v>
      </c>
      <c r="E613" s="1" t="s">
        <v>71</v>
      </c>
      <c r="F613" s="1" t="s">
        <v>234</v>
      </c>
      <c r="G613" s="2">
        <v>4</v>
      </c>
      <c r="H613" s="1" t="s">
        <v>696</v>
      </c>
      <c r="I613" s="44">
        <f>Tabla1[[#This Row],[Descuento]]+Tabla1[[#This Row],[Neto]]</f>
        <v>137.4</v>
      </c>
      <c r="J613" s="9">
        <v>0</v>
      </c>
      <c r="K613" s="9">
        <v>137.4</v>
      </c>
      <c r="L613" s="9">
        <v>23.476896</v>
      </c>
      <c r="M613" s="24">
        <f>+Tabla1[[#This Row],[Costo Venta]]/Tabla1[[#This Row],[Cantidad]]</f>
        <v>5.869224</v>
      </c>
      <c r="N613" s="3">
        <v>1</v>
      </c>
      <c r="O613" s="8">
        <f>+Tabla1[[#This Row],[Conversión]]*Tabla1[[#This Row],[Cantidad]]</f>
        <v>4</v>
      </c>
      <c r="P613" s="43">
        <f>Tabla1[[#This Row],[Neto]]-Tabla1[[#This Row],[Costo Venta]]</f>
        <v>113.92310400000001</v>
      </c>
    </row>
    <row r="614" spans="1:16" x14ac:dyDescent="0.25">
      <c r="A614" s="48">
        <v>45201</v>
      </c>
      <c r="B614" s="1" t="s">
        <v>419</v>
      </c>
      <c r="C614" s="1" t="s">
        <v>214</v>
      </c>
      <c r="D614" s="1" t="s">
        <v>700</v>
      </c>
      <c r="E614" s="1" t="s">
        <v>71</v>
      </c>
      <c r="F614" s="1" t="s">
        <v>701</v>
      </c>
      <c r="G614" s="2">
        <v>1.2</v>
      </c>
      <c r="H614" s="1" t="s">
        <v>696</v>
      </c>
      <c r="I614" s="44">
        <f>Tabla1[[#This Row],[Descuento]]+Tabla1[[#This Row],[Neto]]</f>
        <v>41.22</v>
      </c>
      <c r="J614" s="9">
        <v>0</v>
      </c>
      <c r="K614" s="9">
        <v>41.22</v>
      </c>
      <c r="L614" s="9">
        <v>6.9916428000000002</v>
      </c>
      <c r="M614" s="24">
        <f>+Tabla1[[#This Row],[Costo Venta]]/Tabla1[[#This Row],[Cantidad]]</f>
        <v>5.8263690000000006</v>
      </c>
      <c r="N614" s="3">
        <v>1</v>
      </c>
      <c r="O614" s="8">
        <f>+Tabla1[[#This Row],[Conversión]]*Tabla1[[#This Row],[Cantidad]]</f>
        <v>1.2</v>
      </c>
      <c r="P614" s="43">
        <f>Tabla1[[#This Row],[Neto]]-Tabla1[[#This Row],[Costo Venta]]</f>
        <v>34.228357199999998</v>
      </c>
    </row>
    <row r="615" spans="1:16" x14ac:dyDescent="0.25">
      <c r="A615" s="48">
        <v>45246</v>
      </c>
      <c r="B615" s="1" t="s">
        <v>419</v>
      </c>
      <c r="C615" s="1" t="s">
        <v>214</v>
      </c>
      <c r="D615" s="1" t="s">
        <v>702</v>
      </c>
      <c r="E615" s="1" t="s">
        <v>71</v>
      </c>
      <c r="F615" s="1" t="s">
        <v>703</v>
      </c>
      <c r="G615" s="2">
        <v>3</v>
      </c>
      <c r="H615" s="1" t="s">
        <v>696</v>
      </c>
      <c r="I615" s="44">
        <f>Tabla1[[#This Row],[Descuento]]+Tabla1[[#This Row],[Neto]]</f>
        <v>103.05</v>
      </c>
      <c r="J615" s="9">
        <v>0</v>
      </c>
      <c r="K615" s="9">
        <v>103.05</v>
      </c>
      <c r="L615" s="9">
        <v>17.479106999999999</v>
      </c>
      <c r="M615" s="24">
        <f>+Tabla1[[#This Row],[Costo Venta]]/Tabla1[[#This Row],[Cantidad]]</f>
        <v>5.8263689999999997</v>
      </c>
      <c r="N615" s="3">
        <v>1</v>
      </c>
      <c r="O615" s="8">
        <f>+Tabla1[[#This Row],[Conversión]]*Tabla1[[#This Row],[Cantidad]]</f>
        <v>3</v>
      </c>
      <c r="P615" s="43">
        <f>Tabla1[[#This Row],[Neto]]-Tabla1[[#This Row],[Costo Venta]]</f>
        <v>85.570892999999998</v>
      </c>
    </row>
    <row r="616" spans="1:16" x14ac:dyDescent="0.25">
      <c r="A616" s="48">
        <v>45322</v>
      </c>
      <c r="B616" s="1" t="s">
        <v>419</v>
      </c>
      <c r="C616" s="1" t="s">
        <v>81</v>
      </c>
      <c r="D616" s="1" t="s">
        <v>282</v>
      </c>
      <c r="E616" s="1" t="s">
        <v>71</v>
      </c>
      <c r="F616" s="1" t="s">
        <v>283</v>
      </c>
      <c r="G616" s="2">
        <v>72</v>
      </c>
      <c r="H616" s="1" t="s">
        <v>696</v>
      </c>
      <c r="I616" s="44">
        <f>Tabla1[[#This Row],[Descuento]]+Tabla1[[#This Row],[Neto]]</f>
        <v>2473.2000000000003</v>
      </c>
      <c r="J616" s="9">
        <v>247.32</v>
      </c>
      <c r="K616" s="9">
        <v>2225.88</v>
      </c>
      <c r="L616" s="9">
        <v>387.07423199999999</v>
      </c>
      <c r="M616" s="24">
        <f>+Tabla1[[#This Row],[Costo Venta]]/Tabla1[[#This Row],[Cantidad]]</f>
        <v>5.3760310000000002</v>
      </c>
      <c r="N616" s="3">
        <v>1</v>
      </c>
      <c r="O616" s="8">
        <f>+Tabla1[[#This Row],[Conversión]]*Tabla1[[#This Row],[Cantidad]]</f>
        <v>72</v>
      </c>
      <c r="P616" s="43">
        <f>Tabla1[[#This Row],[Neto]]-Tabla1[[#This Row],[Costo Venta]]</f>
        <v>1838.8057680000002</v>
      </c>
    </row>
    <row r="617" spans="1:16" x14ac:dyDescent="0.25">
      <c r="A617" s="48">
        <v>45422</v>
      </c>
      <c r="B617" s="1" t="s">
        <v>419</v>
      </c>
      <c r="C617" s="1" t="s">
        <v>65</v>
      </c>
      <c r="D617" s="1" t="s">
        <v>704</v>
      </c>
      <c r="E617" s="1" t="s">
        <v>71</v>
      </c>
      <c r="F617" s="1" t="s">
        <v>705</v>
      </c>
      <c r="G617" s="2">
        <v>10</v>
      </c>
      <c r="H617" s="1" t="s">
        <v>696</v>
      </c>
      <c r="I617" s="44">
        <f>Tabla1[[#This Row],[Descuento]]+Tabla1[[#This Row],[Neto]]</f>
        <v>343.5</v>
      </c>
      <c r="J617" s="9">
        <v>103.05</v>
      </c>
      <c r="K617" s="9">
        <v>240.45</v>
      </c>
      <c r="L617" s="9">
        <v>45.780720000000002</v>
      </c>
      <c r="M617" s="24">
        <f>+Tabla1[[#This Row],[Costo Venta]]/Tabla1[[#This Row],[Cantidad]]</f>
        <v>4.5780720000000006</v>
      </c>
      <c r="N617" s="3">
        <v>1</v>
      </c>
      <c r="O617" s="8">
        <f>+Tabla1[[#This Row],[Conversión]]*Tabla1[[#This Row],[Cantidad]]</f>
        <v>10</v>
      </c>
      <c r="P617" s="43">
        <f>Tabla1[[#This Row],[Neto]]-Tabla1[[#This Row],[Costo Venta]]</f>
        <v>194.66927999999999</v>
      </c>
    </row>
    <row r="618" spans="1:16" x14ac:dyDescent="0.25">
      <c r="A618" s="48">
        <v>45601</v>
      </c>
      <c r="B618" s="1" t="s">
        <v>419</v>
      </c>
      <c r="C618" s="1" t="s">
        <v>65</v>
      </c>
      <c r="D618" s="1" t="s">
        <v>706</v>
      </c>
      <c r="E618" s="1" t="s">
        <v>67</v>
      </c>
      <c r="F618" s="1" t="s">
        <v>9</v>
      </c>
      <c r="G618" s="2">
        <v>44</v>
      </c>
      <c r="H618" s="1" t="s">
        <v>696</v>
      </c>
      <c r="I618" s="44">
        <f>Tabla1[[#This Row],[Descuento]]+Tabla1[[#This Row],[Neto]]</f>
        <v>1511.4</v>
      </c>
      <c r="J618" s="9">
        <v>680.13</v>
      </c>
      <c r="K618" s="9">
        <v>831.27</v>
      </c>
      <c r="L618" s="9">
        <v>174.39998399999999</v>
      </c>
      <c r="M618" s="24">
        <f>+Tabla1[[#This Row],[Costo Venta]]/Tabla1[[#This Row],[Cantidad]]</f>
        <v>3.9636359999999997</v>
      </c>
      <c r="N618" s="3">
        <v>1</v>
      </c>
      <c r="O618" s="8">
        <f>+Tabla1[[#This Row],[Conversión]]*Tabla1[[#This Row],[Cantidad]]</f>
        <v>44</v>
      </c>
      <c r="P618" s="43">
        <f>Tabla1[[#This Row],[Neto]]-Tabla1[[#This Row],[Costo Venta]]</f>
        <v>656.87001599999996</v>
      </c>
    </row>
    <row r="619" spans="1:16" x14ac:dyDescent="0.25">
      <c r="A619" s="48">
        <v>45518</v>
      </c>
      <c r="B619" s="1" t="s">
        <v>419</v>
      </c>
      <c r="C619" s="1" t="s">
        <v>65</v>
      </c>
      <c r="D619" s="1" t="s">
        <v>707</v>
      </c>
      <c r="E619" s="1" t="s">
        <v>67</v>
      </c>
      <c r="F619" s="1" t="s">
        <v>20</v>
      </c>
      <c r="G619" s="2">
        <v>91.3</v>
      </c>
      <c r="H619" s="51" t="s">
        <v>708</v>
      </c>
      <c r="I619" s="44">
        <f>Tabla1[[#This Row],[Descuento]]+Tabla1[[#This Row],[Neto]]</f>
        <v>3136.15425</v>
      </c>
      <c r="J619" s="9">
        <v>1097.65425</v>
      </c>
      <c r="K619" s="9">
        <v>2038.5</v>
      </c>
      <c r="L619" s="9">
        <v>566.05999999999995</v>
      </c>
      <c r="M619" s="24">
        <f>+Tabla1[[#This Row],[Costo Venta]]/Tabla1[[#This Row],[Cantidad]]</f>
        <v>6.1999999999999993</v>
      </c>
      <c r="N619" s="3">
        <v>0.55000000000000004</v>
      </c>
      <c r="O619" s="8">
        <f>+Tabla1[[#This Row],[Conversión]]*Tabla1[[#This Row],[Cantidad]]</f>
        <v>50.215000000000003</v>
      </c>
      <c r="P619" s="43">
        <f>Tabla1[[#This Row],[Neto]]-Tabla1[[#This Row],[Costo Venta]]</f>
        <v>1472.44</v>
      </c>
    </row>
    <row r="620" spans="1:16" x14ac:dyDescent="0.25">
      <c r="A620" s="48">
        <v>45625</v>
      </c>
      <c r="B620" s="1" t="s">
        <v>419</v>
      </c>
      <c r="C620" s="1" t="s">
        <v>29</v>
      </c>
      <c r="D620" s="1" t="s">
        <v>347</v>
      </c>
      <c r="E620" s="1" t="s">
        <v>132</v>
      </c>
      <c r="F620" s="1" t="s">
        <v>29</v>
      </c>
      <c r="G620" s="2">
        <v>55.55</v>
      </c>
      <c r="H620" s="51" t="s">
        <v>708</v>
      </c>
      <c r="I620" s="44">
        <f>Tabla1[[#This Row],[Descuento]]+Tabla1[[#This Row],[Neto]]</f>
        <v>1908.14275</v>
      </c>
      <c r="J620" s="9">
        <v>572.44275000000005</v>
      </c>
      <c r="K620" s="9">
        <v>1335.7</v>
      </c>
      <c r="L620" s="9">
        <v>491.88180690000002</v>
      </c>
      <c r="M620" s="24">
        <f>+Tabla1[[#This Row],[Costo Venta]]/Tabla1[[#This Row],[Cantidad]]</f>
        <v>8.8547580000000004</v>
      </c>
      <c r="N620" s="3">
        <v>0.55000000000000004</v>
      </c>
      <c r="O620" s="8">
        <f>+Tabla1[[#This Row],[Conversión]]*Tabla1[[#This Row],[Cantidad]]</f>
        <v>30.552500000000002</v>
      </c>
      <c r="P620" s="43">
        <f>Tabla1[[#This Row],[Neto]]-Tabla1[[#This Row],[Costo Venta]]</f>
        <v>843.81819310000003</v>
      </c>
    </row>
    <row r="621" spans="1:16" x14ac:dyDescent="0.25">
      <c r="A621" s="48">
        <v>45784</v>
      </c>
      <c r="B621" s="1" t="s">
        <v>419</v>
      </c>
      <c r="C621" s="1" t="s">
        <v>65</v>
      </c>
      <c r="D621" s="1" t="s">
        <v>377</v>
      </c>
      <c r="E621" s="1" t="s">
        <v>132</v>
      </c>
      <c r="F621" s="1" t="s">
        <v>29</v>
      </c>
      <c r="G621" s="2">
        <v>64.349999999999994</v>
      </c>
      <c r="H621" s="51" t="s">
        <v>708</v>
      </c>
      <c r="I621" s="44">
        <f>Tabla1[[#This Row],[Descuento]]+Tabla1[[#This Row],[Neto]]</f>
        <v>2210.4167499999999</v>
      </c>
      <c r="J621" s="9">
        <v>663.12675000000002</v>
      </c>
      <c r="K621" s="9">
        <v>1547.29</v>
      </c>
      <c r="L621" s="9">
        <v>439.27935480000002</v>
      </c>
      <c r="M621" s="24">
        <f>+Tabla1[[#This Row],[Costo Venta]]/Tabla1[[#This Row],[Cantidad]]</f>
        <v>6.8264080000000007</v>
      </c>
      <c r="N621" s="3">
        <v>0.55000000000000004</v>
      </c>
      <c r="O621" s="8">
        <f>+Tabla1[[#This Row],[Conversión]]*Tabla1[[#This Row],[Cantidad]]</f>
        <v>35.392499999999998</v>
      </c>
      <c r="P621" s="43">
        <f>Tabla1[[#This Row],[Neto]]-Tabla1[[#This Row],[Costo Venta]]</f>
        <v>1108.0106452</v>
      </c>
    </row>
    <row r="622" spans="1:16" x14ac:dyDescent="0.25">
      <c r="A622" s="48">
        <v>45831</v>
      </c>
      <c r="B622" s="1" t="s">
        <v>419</v>
      </c>
      <c r="C622" s="1" t="s">
        <v>65</v>
      </c>
      <c r="D622" s="1" t="s">
        <v>384</v>
      </c>
      <c r="E622" s="1" t="s">
        <v>71</v>
      </c>
      <c r="F622" s="1" t="s">
        <v>45</v>
      </c>
      <c r="G622" s="2">
        <v>25</v>
      </c>
      <c r="H622" s="51" t="s">
        <v>708</v>
      </c>
      <c r="I622" s="44">
        <f>Tabla1[[#This Row],[Descuento]]+Tabla1[[#This Row],[Neto]]</f>
        <v>858.75250000000005</v>
      </c>
      <c r="J622" s="9">
        <v>300.5625</v>
      </c>
      <c r="K622" s="9">
        <v>558.19000000000005</v>
      </c>
      <c r="L622" s="9">
        <v>139.554025</v>
      </c>
      <c r="M622" s="24">
        <f>+Tabla1[[#This Row],[Costo Venta]]/Tabla1[[#This Row],[Cantidad]]</f>
        <v>5.5821610000000002</v>
      </c>
      <c r="N622" s="3">
        <v>0.55000000000000004</v>
      </c>
      <c r="O622" s="8">
        <f>+Tabla1[[#This Row],[Conversión]]*Tabla1[[#This Row],[Cantidad]]</f>
        <v>13.750000000000002</v>
      </c>
      <c r="P622" s="43">
        <f>Tabla1[[#This Row],[Neto]]-Tabla1[[#This Row],[Costo Venta]]</f>
        <v>418.63597500000003</v>
      </c>
    </row>
    <row r="623" spans="1:16" x14ac:dyDescent="0.25">
      <c r="A623" s="48">
        <v>45870</v>
      </c>
      <c r="B623" s="1" t="s">
        <v>419</v>
      </c>
      <c r="C623" s="1" t="s">
        <v>65</v>
      </c>
      <c r="D623" s="1" t="s">
        <v>392</v>
      </c>
      <c r="E623" s="1" t="s">
        <v>71</v>
      </c>
      <c r="F623" s="1" t="s">
        <v>393</v>
      </c>
      <c r="G623" s="2">
        <v>110</v>
      </c>
      <c r="H623" s="51" t="s">
        <v>708</v>
      </c>
      <c r="I623" s="44">
        <f>Tabla1[[#This Row],[Descuento]]+Tabla1[[#This Row],[Neto]]</f>
        <v>3778.5050000000001</v>
      </c>
      <c r="J623" s="9">
        <v>944.625</v>
      </c>
      <c r="K623" s="9">
        <v>2833.88</v>
      </c>
      <c r="L623" s="9">
        <v>621.5</v>
      </c>
      <c r="M623" s="24">
        <f>+Tabla1[[#This Row],[Costo Venta]]/Tabla1[[#This Row],[Cantidad]]</f>
        <v>5.65</v>
      </c>
      <c r="N623" s="3">
        <v>0.55000000000000004</v>
      </c>
      <c r="O623" s="8">
        <f>+Tabla1[[#This Row],[Conversión]]*Tabla1[[#This Row],[Cantidad]]</f>
        <v>60.500000000000007</v>
      </c>
      <c r="P623" s="43">
        <f>Tabla1[[#This Row],[Neto]]-Tabla1[[#This Row],[Costo Venta]]</f>
        <v>2212.38</v>
      </c>
    </row>
    <row r="624" spans="1:16" x14ac:dyDescent="0.25">
      <c r="A624" s="48">
        <v>45896</v>
      </c>
      <c r="B624" s="1" t="s">
        <v>419</v>
      </c>
      <c r="C624" s="1" t="s">
        <v>65</v>
      </c>
      <c r="D624" s="1" t="s">
        <v>709</v>
      </c>
      <c r="E624" s="1" t="s">
        <v>67</v>
      </c>
      <c r="F624" s="1" t="s">
        <v>20</v>
      </c>
      <c r="G624" s="2">
        <v>28</v>
      </c>
      <c r="H624" s="51" t="s">
        <v>708</v>
      </c>
      <c r="I624" s="44">
        <f>Tabla1[[#This Row],[Descuento]]+Tabla1[[#This Row],[Neto]]</f>
        <v>961.8</v>
      </c>
      <c r="J624" s="9">
        <v>288.54000000000002</v>
      </c>
      <c r="K624" s="9">
        <v>673.26</v>
      </c>
      <c r="L624" s="9">
        <v>149.779616</v>
      </c>
      <c r="M624" s="24">
        <f>+Tabla1[[#This Row],[Costo Venta]]/Tabla1[[#This Row],[Cantidad]]</f>
        <v>5.349272</v>
      </c>
      <c r="N624" s="3">
        <v>0.55000000000000004</v>
      </c>
      <c r="O624" s="8">
        <f>+Tabla1[[#This Row],[Conversión]]*Tabla1[[#This Row],[Cantidad]]</f>
        <v>15.400000000000002</v>
      </c>
      <c r="P624" s="43">
        <f>Tabla1[[#This Row],[Neto]]-Tabla1[[#This Row],[Costo Venta]]</f>
        <v>523.48038399999996</v>
      </c>
    </row>
    <row r="625" spans="1:16" x14ac:dyDescent="0.25">
      <c r="A625" s="48">
        <v>45040</v>
      </c>
      <c r="B625" s="1" t="s">
        <v>419</v>
      </c>
      <c r="C625" s="1" t="s">
        <v>109</v>
      </c>
      <c r="D625" s="1" t="s">
        <v>169</v>
      </c>
      <c r="E625" s="1" t="s">
        <v>67</v>
      </c>
      <c r="F625" s="1" t="s">
        <v>170</v>
      </c>
      <c r="G625" s="2">
        <v>22</v>
      </c>
      <c r="H625" s="51" t="s">
        <v>708</v>
      </c>
      <c r="I625" s="44">
        <f>Tabla1[[#This Row],[Descuento]]+Tabla1[[#This Row],[Neto]]</f>
        <v>774.4</v>
      </c>
      <c r="J625" s="9">
        <v>387.2</v>
      </c>
      <c r="K625" s="9">
        <v>387.2</v>
      </c>
      <c r="L625" s="9">
        <v>151.64971800000001</v>
      </c>
      <c r="M625" s="24">
        <f>+Tabla1[[#This Row],[Costo Venta]]/Tabla1[[#This Row],[Cantidad]]</f>
        <v>6.8931690000000003</v>
      </c>
      <c r="N625" s="3">
        <v>1</v>
      </c>
      <c r="O625" s="8">
        <f>+Tabla1[[#This Row],[Conversión]]*Tabla1[[#This Row],[Cantidad]]</f>
        <v>22</v>
      </c>
      <c r="P625" s="43">
        <f>Tabla1[[#This Row],[Neto]]-Tabla1[[#This Row],[Costo Venta]]</f>
        <v>235.55028199999998</v>
      </c>
    </row>
    <row r="626" spans="1:16" x14ac:dyDescent="0.25">
      <c r="A626" s="48">
        <v>45131</v>
      </c>
      <c r="B626" s="1" t="s">
        <v>419</v>
      </c>
      <c r="C626" s="1" t="s">
        <v>81</v>
      </c>
      <c r="D626" s="1" t="s">
        <v>710</v>
      </c>
      <c r="E626" s="1" t="s">
        <v>67</v>
      </c>
      <c r="F626" s="1" t="s">
        <v>20</v>
      </c>
      <c r="G626" s="2">
        <v>22</v>
      </c>
      <c r="H626" s="51" t="s">
        <v>708</v>
      </c>
      <c r="I626" s="44">
        <f>Tabla1[[#This Row],[Descuento]]+Tabla1[[#This Row],[Neto]]</f>
        <v>748</v>
      </c>
      <c r="J626" s="9">
        <v>261.8</v>
      </c>
      <c r="K626" s="9">
        <v>486.2</v>
      </c>
      <c r="L626" s="9">
        <v>120.012882</v>
      </c>
      <c r="M626" s="24">
        <f>+Tabla1[[#This Row],[Costo Venta]]/Tabla1[[#This Row],[Cantidad]]</f>
        <v>5.4551310000000006</v>
      </c>
      <c r="N626" s="3">
        <v>1</v>
      </c>
      <c r="O626" s="8">
        <f>+Tabla1[[#This Row],[Conversión]]*Tabla1[[#This Row],[Cantidad]]</f>
        <v>22</v>
      </c>
      <c r="P626" s="43">
        <f>Tabla1[[#This Row],[Neto]]-Tabla1[[#This Row],[Costo Venta]]</f>
        <v>366.187118</v>
      </c>
    </row>
    <row r="627" spans="1:16" x14ac:dyDescent="0.25">
      <c r="A627" s="48">
        <v>45201</v>
      </c>
      <c r="B627" s="1" t="s">
        <v>419</v>
      </c>
      <c r="C627" s="1" t="s">
        <v>214</v>
      </c>
      <c r="D627" s="1" t="s">
        <v>242</v>
      </c>
      <c r="E627" s="1" t="s">
        <v>71</v>
      </c>
      <c r="F627" s="1" t="s">
        <v>243</v>
      </c>
      <c r="G627" s="2">
        <v>38.85</v>
      </c>
      <c r="H627" s="51" t="s">
        <v>708</v>
      </c>
      <c r="I627" s="44">
        <f>Tabla1[[#This Row],[Descuento]]+Tabla1[[#This Row],[Neto]]</f>
        <v>1334.4970625000001</v>
      </c>
      <c r="J627" s="9">
        <v>233.53706249999999</v>
      </c>
      <c r="K627" s="9">
        <v>1100.96</v>
      </c>
      <c r="L627" s="9">
        <v>211.87216574999999</v>
      </c>
      <c r="M627" s="24">
        <f>+Tabla1[[#This Row],[Costo Venta]]/Tabla1[[#This Row],[Cantidad]]</f>
        <v>5.453595</v>
      </c>
      <c r="N627" s="3">
        <v>1</v>
      </c>
      <c r="O627" s="8">
        <f>+Tabla1[[#This Row],[Conversión]]*Tabla1[[#This Row],[Cantidad]]</f>
        <v>38.85</v>
      </c>
      <c r="P627" s="43">
        <f>Tabla1[[#This Row],[Neto]]-Tabla1[[#This Row],[Costo Venta]]</f>
        <v>889.08783425000001</v>
      </c>
    </row>
    <row r="628" spans="1:16" x14ac:dyDescent="0.25">
      <c r="A628" s="48">
        <v>45448</v>
      </c>
      <c r="B628" s="1" t="s">
        <v>419</v>
      </c>
      <c r="C628" s="1" t="s">
        <v>29</v>
      </c>
      <c r="D628" s="1" t="s">
        <v>711</v>
      </c>
      <c r="E628" s="1" t="s">
        <v>132</v>
      </c>
      <c r="F628" s="1" t="s">
        <v>29</v>
      </c>
      <c r="G628" s="2">
        <v>14.3</v>
      </c>
      <c r="H628" s="51" t="s">
        <v>708</v>
      </c>
      <c r="I628" s="44">
        <f>Tabla1[[#This Row],[Descuento]]+Tabla1[[#This Row],[Neto]]</f>
        <v>517.22929999999997</v>
      </c>
      <c r="J628" s="9">
        <v>155.16929999999999</v>
      </c>
      <c r="K628" s="9">
        <v>362.06</v>
      </c>
      <c r="L628" s="9">
        <v>77.8089169</v>
      </c>
      <c r="M628" s="24">
        <f>+Tabla1[[#This Row],[Costo Venta]]/Tabla1[[#This Row],[Cantidad]]</f>
        <v>5.4411829999999997</v>
      </c>
      <c r="N628" s="3">
        <v>1</v>
      </c>
      <c r="O628" s="8">
        <f>+Tabla1[[#This Row],[Conversión]]*Tabla1[[#This Row],[Cantidad]]</f>
        <v>14.3</v>
      </c>
      <c r="P628" s="43">
        <f>Tabla1[[#This Row],[Neto]]-Tabla1[[#This Row],[Costo Venta]]</f>
        <v>284.25108310000002</v>
      </c>
    </row>
    <row r="629" spans="1:16" x14ac:dyDescent="0.25">
      <c r="A629" s="48">
        <v>45460</v>
      </c>
      <c r="B629" s="1" t="s">
        <v>419</v>
      </c>
      <c r="C629" s="1" t="s">
        <v>65</v>
      </c>
      <c r="D629" s="1" t="s">
        <v>712</v>
      </c>
      <c r="E629" s="1" t="s">
        <v>67</v>
      </c>
      <c r="F629" s="1" t="s">
        <v>365</v>
      </c>
      <c r="G629" s="2">
        <v>11</v>
      </c>
      <c r="H629" s="51" t="s">
        <v>708</v>
      </c>
      <c r="I629" s="44">
        <f>Tabla1[[#This Row],[Descuento]]+Tabla1[[#This Row],[Neto]]</f>
        <v>377.84500000000003</v>
      </c>
      <c r="J629" s="9">
        <v>113.355</v>
      </c>
      <c r="K629" s="9">
        <v>264.49</v>
      </c>
      <c r="L629" s="9">
        <v>60.204374999999999</v>
      </c>
      <c r="M629" s="24">
        <f>+Tabla1[[#This Row],[Costo Venta]]/Tabla1[[#This Row],[Cantidad]]</f>
        <v>5.4731249999999996</v>
      </c>
      <c r="N629" s="3">
        <v>1</v>
      </c>
      <c r="O629" s="8">
        <f>+Tabla1[[#This Row],[Conversión]]*Tabla1[[#This Row],[Cantidad]]</f>
        <v>11</v>
      </c>
      <c r="P629" s="43">
        <f>Tabla1[[#This Row],[Neto]]-Tabla1[[#This Row],[Costo Venta]]</f>
        <v>204.28562500000001</v>
      </c>
    </row>
    <row r="630" spans="1:16" x14ac:dyDescent="0.25">
      <c r="A630" s="48">
        <v>45505</v>
      </c>
      <c r="B630" s="1" t="s">
        <v>419</v>
      </c>
      <c r="C630" s="1" t="s">
        <v>65</v>
      </c>
      <c r="D630" s="1" t="s">
        <v>713</v>
      </c>
      <c r="E630" s="1" t="s">
        <v>67</v>
      </c>
      <c r="F630" s="1" t="s">
        <v>20</v>
      </c>
      <c r="G630" s="2">
        <v>11</v>
      </c>
      <c r="H630" s="51" t="s">
        <v>708</v>
      </c>
      <c r="I630" s="44">
        <f>Tabla1[[#This Row],[Descuento]]+Tabla1[[#This Row],[Neto]]</f>
        <v>377.84749999999997</v>
      </c>
      <c r="J630" s="9">
        <v>132.2475</v>
      </c>
      <c r="K630" s="9">
        <v>245.6</v>
      </c>
      <c r="L630" s="9">
        <v>60.226672000000001</v>
      </c>
      <c r="M630" s="24">
        <f>+Tabla1[[#This Row],[Costo Venta]]/Tabla1[[#This Row],[Cantidad]]</f>
        <v>5.4751520000000005</v>
      </c>
      <c r="N630" s="3">
        <v>1</v>
      </c>
      <c r="O630" s="8">
        <f>+Tabla1[[#This Row],[Conversión]]*Tabla1[[#This Row],[Cantidad]]</f>
        <v>11</v>
      </c>
      <c r="P630" s="43">
        <f>Tabla1[[#This Row],[Neto]]-Tabla1[[#This Row],[Costo Venta]]</f>
        <v>185.37332799999999</v>
      </c>
    </row>
    <row r="631" spans="1:16" x14ac:dyDescent="0.25">
      <c r="A631" s="48">
        <v>45540</v>
      </c>
      <c r="B631" s="1" t="s">
        <v>419</v>
      </c>
      <c r="C631" s="1" t="s">
        <v>65</v>
      </c>
      <c r="D631" s="1" t="s">
        <v>332</v>
      </c>
      <c r="E631" s="1" t="s">
        <v>132</v>
      </c>
      <c r="F631" s="1" t="s">
        <v>333</v>
      </c>
      <c r="G631" s="2">
        <v>80</v>
      </c>
      <c r="H631" s="51" t="s">
        <v>708</v>
      </c>
      <c r="I631" s="44">
        <f>Tabla1[[#This Row],[Descuento]]+Tabla1[[#This Row],[Neto]]</f>
        <v>2748</v>
      </c>
      <c r="J631" s="9">
        <v>274.8</v>
      </c>
      <c r="K631" s="9">
        <v>2473.1999999999998</v>
      </c>
      <c r="L631" s="9">
        <v>438.65352000000001</v>
      </c>
      <c r="M631" s="24">
        <f>+Tabla1[[#This Row],[Costo Venta]]/Tabla1[[#This Row],[Cantidad]]</f>
        <v>5.4831690000000002</v>
      </c>
      <c r="N631" s="3">
        <v>1</v>
      </c>
      <c r="O631" s="8">
        <f>+Tabla1[[#This Row],[Conversión]]*Tabla1[[#This Row],[Cantidad]]</f>
        <v>80</v>
      </c>
      <c r="P631" s="43">
        <f>Tabla1[[#This Row],[Neto]]-Tabla1[[#This Row],[Costo Venta]]</f>
        <v>2034.5464799999997</v>
      </c>
    </row>
    <row r="632" spans="1:16" x14ac:dyDescent="0.25">
      <c r="A632" s="48">
        <v>45579</v>
      </c>
      <c r="B632" s="1" t="s">
        <v>419</v>
      </c>
      <c r="C632" s="1" t="s">
        <v>65</v>
      </c>
      <c r="D632" s="1" t="s">
        <v>338</v>
      </c>
      <c r="E632" s="1" t="s">
        <v>132</v>
      </c>
      <c r="F632" s="1" t="s">
        <v>333</v>
      </c>
      <c r="G632" s="2">
        <v>16</v>
      </c>
      <c r="H632" s="51" t="s">
        <v>708</v>
      </c>
      <c r="I632" s="44">
        <f>Tabla1[[#This Row],[Descuento]]+Tabla1[[#This Row],[Neto]]</f>
        <v>549.6</v>
      </c>
      <c r="J632" s="9">
        <v>54.96</v>
      </c>
      <c r="K632" s="9">
        <v>494.64</v>
      </c>
      <c r="L632" s="9">
        <v>89.619103999999993</v>
      </c>
      <c r="M632" s="24">
        <f>+Tabla1[[#This Row],[Costo Venta]]/Tabla1[[#This Row],[Cantidad]]</f>
        <v>5.6011939999999996</v>
      </c>
      <c r="N632" s="3">
        <v>1</v>
      </c>
      <c r="O632" s="8">
        <f>+Tabla1[[#This Row],[Conversión]]*Tabla1[[#This Row],[Cantidad]]</f>
        <v>16</v>
      </c>
      <c r="P632" s="43">
        <f>Tabla1[[#This Row],[Neto]]-Tabla1[[#This Row],[Costo Venta]]</f>
        <v>405.02089599999999</v>
      </c>
    </row>
    <row r="633" spans="1:16" x14ac:dyDescent="0.25">
      <c r="A633" s="48">
        <v>45708</v>
      </c>
      <c r="B633" s="1" t="s">
        <v>419</v>
      </c>
      <c r="C633" s="1" t="s">
        <v>65</v>
      </c>
      <c r="D633" s="1" t="s">
        <v>714</v>
      </c>
      <c r="E633" s="1" t="s">
        <v>67</v>
      </c>
      <c r="F633" s="1" t="s">
        <v>44</v>
      </c>
      <c r="G633" s="2">
        <v>15</v>
      </c>
      <c r="H633" s="51" t="s">
        <v>708</v>
      </c>
      <c r="I633" s="44">
        <f>Tabla1[[#This Row],[Descuento]]+Tabla1[[#This Row],[Neto]]</f>
        <v>515.24750000000006</v>
      </c>
      <c r="J633" s="9">
        <v>180.33750000000001</v>
      </c>
      <c r="K633" s="9">
        <v>334.91</v>
      </c>
      <c r="L633" s="9">
        <v>84.465779999999995</v>
      </c>
      <c r="M633" s="24">
        <f>+Tabla1[[#This Row],[Costo Venta]]/Tabla1[[#This Row],[Cantidad]]</f>
        <v>5.6310519999999995</v>
      </c>
      <c r="N633" s="3">
        <v>1</v>
      </c>
      <c r="O633" s="8">
        <f>+Tabla1[[#This Row],[Conversión]]*Tabla1[[#This Row],[Cantidad]]</f>
        <v>15</v>
      </c>
      <c r="P633" s="43">
        <f>Tabla1[[#This Row],[Neto]]-Tabla1[[#This Row],[Costo Venta]]</f>
        <v>250.44422000000003</v>
      </c>
    </row>
    <row r="634" spans="1:16" x14ac:dyDescent="0.25">
      <c r="A634" s="48">
        <v>45751</v>
      </c>
      <c r="B634" s="1" t="s">
        <v>419</v>
      </c>
      <c r="C634" s="1" t="s">
        <v>65</v>
      </c>
      <c r="D634" s="1" t="s">
        <v>715</v>
      </c>
      <c r="E634" s="1" t="s">
        <v>67</v>
      </c>
      <c r="F634" s="1" t="s">
        <v>44</v>
      </c>
      <c r="G634" s="2">
        <v>142</v>
      </c>
      <c r="H634" s="51" t="s">
        <v>708</v>
      </c>
      <c r="I634" s="44">
        <f>Tabla1[[#This Row],[Descuento]]+Tabla1[[#This Row],[Neto]]</f>
        <v>4877.6949999999997</v>
      </c>
      <c r="J634" s="9">
        <v>1707.1949999999999</v>
      </c>
      <c r="K634" s="9">
        <v>3170.5</v>
      </c>
      <c r="L634" s="9">
        <v>801.05721600000004</v>
      </c>
      <c r="M634" s="24">
        <f>+Tabla1[[#This Row],[Costo Venta]]/Tabla1[[#This Row],[Cantidad]]</f>
        <v>5.641248</v>
      </c>
      <c r="N634" s="3">
        <v>1</v>
      </c>
      <c r="O634" s="8">
        <f>+Tabla1[[#This Row],[Conversión]]*Tabla1[[#This Row],[Cantidad]]</f>
        <v>142</v>
      </c>
      <c r="P634" s="43">
        <f>Tabla1[[#This Row],[Neto]]-Tabla1[[#This Row],[Costo Venta]]</f>
        <v>2369.4427839999998</v>
      </c>
    </row>
    <row r="635" spans="1:16" x14ac:dyDescent="0.25">
      <c r="A635" s="48">
        <v>45811</v>
      </c>
      <c r="B635" s="1" t="s">
        <v>419</v>
      </c>
      <c r="C635" s="1" t="s">
        <v>65</v>
      </c>
      <c r="D635" s="1" t="s">
        <v>381</v>
      </c>
      <c r="E635" s="1" t="s">
        <v>137</v>
      </c>
      <c r="F635" s="1" t="s">
        <v>382</v>
      </c>
      <c r="G635" s="2">
        <v>77</v>
      </c>
      <c r="H635" s="51" t="s">
        <v>708</v>
      </c>
      <c r="I635" s="44">
        <f>Tabla1[[#This Row],[Descuento]]+Tabla1[[#This Row],[Neto]]</f>
        <v>2644.95</v>
      </c>
      <c r="J635" s="9">
        <v>528.99</v>
      </c>
      <c r="K635" s="9">
        <v>2115.96</v>
      </c>
      <c r="L635" s="9">
        <v>456.24263300000001</v>
      </c>
      <c r="M635" s="24">
        <f>+Tabla1[[#This Row],[Costo Venta]]/Tabla1[[#This Row],[Cantidad]]</f>
        <v>5.9252289999999999</v>
      </c>
      <c r="N635" s="3">
        <v>1</v>
      </c>
      <c r="O635" s="8">
        <f>+Tabla1[[#This Row],[Conversión]]*Tabla1[[#This Row],[Cantidad]]</f>
        <v>77</v>
      </c>
      <c r="P635" s="43">
        <f>Tabla1[[#This Row],[Neto]]-Tabla1[[#This Row],[Costo Venta]]</f>
        <v>1659.717367</v>
      </c>
    </row>
    <row r="636" spans="1:16" x14ac:dyDescent="0.25">
      <c r="A636" s="48">
        <v>45915</v>
      </c>
      <c r="B636" s="1" t="s">
        <v>419</v>
      </c>
      <c r="C636" s="1" t="s">
        <v>65</v>
      </c>
      <c r="D636" s="1" t="s">
        <v>716</v>
      </c>
      <c r="E636" s="1" t="s">
        <v>67</v>
      </c>
      <c r="F636" s="1" t="s">
        <v>9</v>
      </c>
      <c r="G636" s="2">
        <v>54</v>
      </c>
      <c r="H636" s="51" t="s">
        <v>708</v>
      </c>
      <c r="I636" s="44">
        <f>Tabla1[[#This Row],[Descuento]]+Tabla1[[#This Row],[Neto]]</f>
        <v>1854.9050000000002</v>
      </c>
      <c r="J636" s="9">
        <v>834.70500000000004</v>
      </c>
      <c r="K636" s="9">
        <v>1020.2</v>
      </c>
      <c r="L636" s="9">
        <v>346.79064599999998</v>
      </c>
      <c r="M636" s="24">
        <f>+Tabla1[[#This Row],[Costo Venta]]/Tabla1[[#This Row],[Cantidad]]</f>
        <v>6.4220489999999995</v>
      </c>
      <c r="N636" s="3">
        <v>1</v>
      </c>
      <c r="O636" s="8">
        <f>+Tabla1[[#This Row],[Conversión]]*Tabla1[[#This Row],[Cantidad]]</f>
        <v>54</v>
      </c>
      <c r="P636" s="43">
        <f>Tabla1[[#This Row],[Neto]]-Tabla1[[#This Row],[Costo Venta]]</f>
        <v>673.40935400000012</v>
      </c>
    </row>
    <row r="637" spans="1:16" x14ac:dyDescent="0.25">
      <c r="A637" s="48">
        <v>45924</v>
      </c>
      <c r="B637" s="1" t="s">
        <v>419</v>
      </c>
      <c r="C637" s="1" t="s">
        <v>65</v>
      </c>
      <c r="D637" s="1" t="s">
        <v>404</v>
      </c>
      <c r="E637" s="1" t="s">
        <v>67</v>
      </c>
      <c r="F637" s="1" t="s">
        <v>44</v>
      </c>
      <c r="G637" s="2">
        <v>55</v>
      </c>
      <c r="H637" s="51" t="s">
        <v>708</v>
      </c>
      <c r="I637" s="44">
        <f>Tabla1[[#This Row],[Descuento]]+Tabla1[[#This Row],[Neto]]</f>
        <v>1889.2474999999999</v>
      </c>
      <c r="J637" s="9">
        <v>661.23749999999995</v>
      </c>
      <c r="K637" s="9">
        <v>1228.01</v>
      </c>
      <c r="L637" s="9">
        <v>349.66327000000001</v>
      </c>
      <c r="M637" s="24">
        <f>+Tabla1[[#This Row],[Costo Venta]]/Tabla1[[#This Row],[Cantidad]]</f>
        <v>6.3575140000000001</v>
      </c>
      <c r="N637" s="3">
        <v>1</v>
      </c>
      <c r="O637" s="8">
        <f>+Tabla1[[#This Row],[Conversión]]*Tabla1[[#This Row],[Cantidad]]</f>
        <v>55</v>
      </c>
      <c r="P637" s="43">
        <f>Tabla1[[#This Row],[Neto]]-Tabla1[[#This Row],[Costo Venta]]</f>
        <v>878.34672999999998</v>
      </c>
    </row>
    <row r="638" spans="1:16" x14ac:dyDescent="0.25">
      <c r="A638" s="48">
        <v>45930</v>
      </c>
      <c r="B638" s="1" t="s">
        <v>419</v>
      </c>
      <c r="C638" s="1" t="s">
        <v>65</v>
      </c>
      <c r="D638" s="1" t="s">
        <v>693</v>
      </c>
      <c r="E638" s="1" t="s">
        <v>67</v>
      </c>
      <c r="F638" s="1" t="s">
        <v>44</v>
      </c>
      <c r="G638" s="2">
        <v>30</v>
      </c>
      <c r="H638" s="51" t="s">
        <v>708</v>
      </c>
      <c r="I638" s="44">
        <f>Tabla1[[#This Row],[Descuento]]+Tabla1[[#This Row],[Neto]]</f>
        <v>1030.4950000000001</v>
      </c>
      <c r="J638" s="9">
        <v>360.67500000000001</v>
      </c>
      <c r="K638" s="9">
        <v>669.82</v>
      </c>
      <c r="L638" s="9">
        <v>187.74</v>
      </c>
      <c r="M638" s="24">
        <f>+Tabla1[[#This Row],[Costo Venta]]/Tabla1[[#This Row],[Cantidad]]</f>
        <v>6.258</v>
      </c>
      <c r="N638" s="3">
        <v>1</v>
      </c>
      <c r="O638" s="8">
        <f>+Tabla1[[#This Row],[Conversión]]*Tabla1[[#This Row],[Cantidad]]</f>
        <v>30</v>
      </c>
      <c r="P638" s="43">
        <f>Tabla1[[#This Row],[Neto]]-Tabla1[[#This Row],[Costo Venta]]</f>
        <v>482.08000000000004</v>
      </c>
    </row>
    <row r="639" spans="1:16" x14ac:dyDescent="0.25">
      <c r="A639" s="48">
        <v>44950</v>
      </c>
      <c r="B639" s="1" t="s">
        <v>419</v>
      </c>
      <c r="C639" s="1" t="s">
        <v>115</v>
      </c>
      <c r="D639" s="1" t="s">
        <v>129</v>
      </c>
      <c r="E639" s="1" t="s">
        <v>71</v>
      </c>
      <c r="F639" s="1" t="s">
        <v>130</v>
      </c>
      <c r="G639" s="2">
        <v>30.8</v>
      </c>
      <c r="H639" s="51" t="s">
        <v>717</v>
      </c>
      <c r="I639" s="44">
        <f>Tabla1[[#This Row],[Descuento]]+Tabla1[[#This Row],[Neto]]</f>
        <v>1084.164</v>
      </c>
      <c r="J639" s="9">
        <v>162.624</v>
      </c>
      <c r="K639" s="9">
        <v>921.54</v>
      </c>
      <c r="L639" s="9">
        <v>216.8598432</v>
      </c>
      <c r="M639" s="24">
        <f>+Tabla1[[#This Row],[Costo Venta]]/Tabla1[[#This Row],[Cantidad]]</f>
        <v>7.0409040000000003</v>
      </c>
      <c r="N639" s="3">
        <v>1</v>
      </c>
      <c r="O639" s="8">
        <f>+Tabla1[[#This Row],[Conversión]]*Tabla1[[#This Row],[Cantidad]]</f>
        <v>30.8</v>
      </c>
      <c r="P639" s="43">
        <f>Tabla1[[#This Row],[Neto]]-Tabla1[[#This Row],[Costo Venta]]</f>
        <v>704.68015679999996</v>
      </c>
    </row>
    <row r="640" spans="1:16" x14ac:dyDescent="0.25">
      <c r="A640" s="48">
        <v>45042</v>
      </c>
      <c r="B640" s="1" t="s">
        <v>419</v>
      </c>
      <c r="C640" s="1" t="s">
        <v>81</v>
      </c>
      <c r="D640" s="1" t="s">
        <v>718</v>
      </c>
      <c r="E640" s="1" t="s">
        <v>132</v>
      </c>
      <c r="F640" s="1" t="s">
        <v>617</v>
      </c>
      <c r="G640" s="2">
        <v>10.45</v>
      </c>
      <c r="H640" s="51" t="s">
        <v>717</v>
      </c>
      <c r="I640" s="44">
        <f>Tabla1[[#This Row],[Descuento]]+Tabla1[[#This Row],[Neto]]</f>
        <v>355.30500000000001</v>
      </c>
      <c r="J640" s="9">
        <v>17.765000000000001</v>
      </c>
      <c r="K640" s="9">
        <v>337.54</v>
      </c>
      <c r="L640" s="9">
        <v>73.577446800000004</v>
      </c>
      <c r="M640" s="24">
        <f>+Tabla1[[#This Row],[Costo Venta]]/Tabla1[[#This Row],[Cantidad]]</f>
        <v>7.0409040000000012</v>
      </c>
      <c r="N640" s="3">
        <v>1</v>
      </c>
      <c r="O640" s="8">
        <f>+Tabla1[[#This Row],[Conversión]]*Tabla1[[#This Row],[Cantidad]]</f>
        <v>10.45</v>
      </c>
      <c r="P640" s="43">
        <f>Tabla1[[#This Row],[Neto]]-Tabla1[[#This Row],[Costo Venta]]</f>
        <v>263.9625532</v>
      </c>
    </row>
    <row r="641" spans="1:16" x14ac:dyDescent="0.25">
      <c r="A641" s="48">
        <v>45124</v>
      </c>
      <c r="B641" s="1" t="s">
        <v>419</v>
      </c>
      <c r="C641" s="1" t="s">
        <v>109</v>
      </c>
      <c r="D641" s="1" t="s">
        <v>211</v>
      </c>
      <c r="E641" s="1" t="s">
        <v>71</v>
      </c>
      <c r="F641" s="1" t="s">
        <v>210</v>
      </c>
      <c r="G641" s="2">
        <v>7.15</v>
      </c>
      <c r="H641" s="51" t="s">
        <v>717</v>
      </c>
      <c r="I641" s="44">
        <f>Tabla1[[#This Row],[Descuento]]+Tabla1[[#This Row],[Neto]]</f>
        <v>243.1</v>
      </c>
      <c r="J641" s="9">
        <v>24.31</v>
      </c>
      <c r="K641" s="9">
        <v>218.79</v>
      </c>
      <c r="L641" s="9">
        <v>49.898512949999997</v>
      </c>
      <c r="M641" s="24">
        <f>+Tabla1[[#This Row],[Costo Venta]]/Tabla1[[#This Row],[Cantidad]]</f>
        <v>6.9788129999999988</v>
      </c>
      <c r="N641" s="3">
        <v>1</v>
      </c>
      <c r="O641" s="8">
        <f>+Tabla1[[#This Row],[Conversión]]*Tabla1[[#This Row],[Cantidad]]</f>
        <v>7.15</v>
      </c>
      <c r="P641" s="43">
        <f>Tabla1[[#This Row],[Neto]]-Tabla1[[#This Row],[Costo Venta]]</f>
        <v>168.89148704999999</v>
      </c>
    </row>
    <row r="642" spans="1:16" x14ac:dyDescent="0.25">
      <c r="A642" s="48">
        <v>45167</v>
      </c>
      <c r="B642" s="1" t="s">
        <v>419</v>
      </c>
      <c r="C642" s="1" t="s">
        <v>214</v>
      </c>
      <c r="D642" s="1" t="s">
        <v>228</v>
      </c>
      <c r="E642" s="1" t="s">
        <v>71</v>
      </c>
      <c r="F642" s="1" t="s">
        <v>229</v>
      </c>
      <c r="G642" s="2">
        <v>42</v>
      </c>
      <c r="H642" s="51" t="s">
        <v>717</v>
      </c>
      <c r="I642" s="44">
        <f>Tabla1[[#This Row],[Descuento]]+Tabla1[[#This Row],[Neto]]</f>
        <v>1442.7025000000001</v>
      </c>
      <c r="J642" s="9">
        <v>252.4725</v>
      </c>
      <c r="K642" s="9">
        <v>1190.23</v>
      </c>
      <c r="L642" s="9">
        <v>293.11014599999999</v>
      </c>
      <c r="M642" s="24">
        <f>+Tabla1[[#This Row],[Costo Venta]]/Tabla1[[#This Row],[Cantidad]]</f>
        <v>6.9788129999999997</v>
      </c>
      <c r="N642" s="3">
        <v>1</v>
      </c>
      <c r="O642" s="8">
        <f>+Tabla1[[#This Row],[Conversión]]*Tabla1[[#This Row],[Cantidad]]</f>
        <v>42</v>
      </c>
      <c r="P642" s="43">
        <f>Tabla1[[#This Row],[Neto]]-Tabla1[[#This Row],[Costo Venta]]</f>
        <v>897.11985400000003</v>
      </c>
    </row>
    <row r="643" spans="1:16" x14ac:dyDescent="0.25">
      <c r="A643" s="48">
        <v>45210</v>
      </c>
      <c r="B643" s="1" t="s">
        <v>419</v>
      </c>
      <c r="C643" s="1" t="s">
        <v>214</v>
      </c>
      <c r="D643" s="1" t="s">
        <v>250</v>
      </c>
      <c r="E643" s="1" t="s">
        <v>71</v>
      </c>
      <c r="F643" s="1" t="s">
        <v>251</v>
      </c>
      <c r="G643" s="2">
        <v>2.0499999999999998</v>
      </c>
      <c r="H643" s="51" t="s">
        <v>717</v>
      </c>
      <c r="I643" s="44">
        <f>Tabla1[[#This Row],[Descuento]]+Tabla1[[#This Row],[Neto]]</f>
        <v>70.421750000000003</v>
      </c>
      <c r="J643" s="9">
        <v>7.0417500000000004</v>
      </c>
      <c r="K643" s="9">
        <v>63.38</v>
      </c>
      <c r="L643" s="9">
        <v>14.268000000000001</v>
      </c>
      <c r="M643" s="24">
        <f>+Tabla1[[#This Row],[Costo Venta]]/Tabla1[[#This Row],[Cantidad]]</f>
        <v>6.9600000000000009</v>
      </c>
      <c r="N643" s="3">
        <v>1</v>
      </c>
      <c r="O643" s="8">
        <f>+Tabla1[[#This Row],[Conversión]]*Tabla1[[#This Row],[Cantidad]]</f>
        <v>2.0499999999999998</v>
      </c>
      <c r="P643" s="43">
        <f>Tabla1[[#This Row],[Neto]]-Tabla1[[#This Row],[Costo Venta]]</f>
        <v>49.112000000000002</v>
      </c>
    </row>
    <row r="644" spans="1:16" x14ac:dyDescent="0.25">
      <c r="A644" s="48">
        <v>45212</v>
      </c>
      <c r="B644" s="1" t="s">
        <v>419</v>
      </c>
      <c r="C644" s="1" t="s">
        <v>214</v>
      </c>
      <c r="D644" s="1" t="s">
        <v>254</v>
      </c>
      <c r="E644" s="1" t="s">
        <v>71</v>
      </c>
      <c r="F644" s="1" t="s">
        <v>229</v>
      </c>
      <c r="G644" s="2">
        <v>5</v>
      </c>
      <c r="H644" s="51" t="s">
        <v>717</v>
      </c>
      <c r="I644" s="44">
        <f>Tabla1[[#This Row],[Descuento]]+Tabla1[[#This Row],[Neto]]</f>
        <v>171.7525</v>
      </c>
      <c r="J644" s="9">
        <v>25.762499999999999</v>
      </c>
      <c r="K644" s="9">
        <v>145.99</v>
      </c>
      <c r="L644" s="9">
        <v>34.799999999999997</v>
      </c>
      <c r="M644" s="24">
        <f>+Tabla1[[#This Row],[Costo Venta]]/Tabla1[[#This Row],[Cantidad]]</f>
        <v>6.9599999999999991</v>
      </c>
      <c r="N644" s="3">
        <v>1</v>
      </c>
      <c r="O644" s="8">
        <f>+Tabla1[[#This Row],[Conversión]]*Tabla1[[#This Row],[Cantidad]]</f>
        <v>5</v>
      </c>
      <c r="P644" s="43">
        <f>Tabla1[[#This Row],[Neto]]-Tabla1[[#This Row],[Costo Venta]]</f>
        <v>111.19000000000001</v>
      </c>
    </row>
    <row r="645" spans="1:16" x14ac:dyDescent="0.25">
      <c r="A645" s="48">
        <v>45264</v>
      </c>
      <c r="B645" s="1" t="s">
        <v>419</v>
      </c>
      <c r="C645" s="1" t="s">
        <v>214</v>
      </c>
      <c r="D645" s="1" t="s">
        <v>719</v>
      </c>
      <c r="E645" s="1" t="s">
        <v>71</v>
      </c>
      <c r="F645" s="1" t="s">
        <v>278</v>
      </c>
      <c r="G645" s="2">
        <v>15</v>
      </c>
      <c r="H645" s="51" t="s">
        <v>717</v>
      </c>
      <c r="I645" s="44">
        <f>Tabla1[[#This Row],[Descuento]]+Tabla1[[#This Row],[Neto]]</f>
        <v>515.25</v>
      </c>
      <c r="J645" s="9">
        <v>103.05</v>
      </c>
      <c r="K645" s="9">
        <v>412.2</v>
      </c>
      <c r="L645" s="9">
        <v>104.16</v>
      </c>
      <c r="M645" s="24">
        <f>+Tabla1[[#This Row],[Costo Venta]]/Tabla1[[#This Row],[Cantidad]]</f>
        <v>6.944</v>
      </c>
      <c r="N645" s="3">
        <v>1</v>
      </c>
      <c r="O645" s="8">
        <f>+Tabla1[[#This Row],[Conversión]]*Tabla1[[#This Row],[Cantidad]]</f>
        <v>15</v>
      </c>
      <c r="P645" s="43">
        <f>Tabla1[[#This Row],[Neto]]-Tabla1[[#This Row],[Costo Venta]]</f>
        <v>308.03999999999996</v>
      </c>
    </row>
    <row r="646" spans="1:16" x14ac:dyDescent="0.25">
      <c r="A646" s="48">
        <v>45294</v>
      </c>
      <c r="B646" s="1" t="s">
        <v>419</v>
      </c>
      <c r="C646" s="1" t="s">
        <v>214</v>
      </c>
      <c r="D646" s="1" t="s">
        <v>277</v>
      </c>
      <c r="E646" s="1" t="s">
        <v>71</v>
      </c>
      <c r="F646" s="1" t="s">
        <v>278</v>
      </c>
      <c r="G646" s="2">
        <v>2.2000000000000002</v>
      </c>
      <c r="H646" s="51" t="s">
        <v>717</v>
      </c>
      <c r="I646" s="44">
        <f>Tabla1[[#This Row],[Descuento]]+Tabla1[[#This Row],[Neto]]</f>
        <v>75.567000000000007</v>
      </c>
      <c r="J646" s="9">
        <v>7.5570000000000004</v>
      </c>
      <c r="K646" s="9">
        <v>68.010000000000005</v>
      </c>
      <c r="L646" s="9">
        <v>15.139999599999999</v>
      </c>
      <c r="M646" s="24">
        <f>+Tabla1[[#This Row],[Costo Venta]]/Tabla1[[#This Row],[Cantidad]]</f>
        <v>6.8818179999999991</v>
      </c>
      <c r="N646" s="3">
        <v>1</v>
      </c>
      <c r="O646" s="8">
        <f>+Tabla1[[#This Row],[Conversión]]*Tabla1[[#This Row],[Cantidad]]</f>
        <v>2.2000000000000002</v>
      </c>
      <c r="P646" s="43">
        <f>Tabla1[[#This Row],[Neto]]-Tabla1[[#This Row],[Costo Venta]]</f>
        <v>52.870000400000009</v>
      </c>
    </row>
    <row r="647" spans="1:16" x14ac:dyDescent="0.25">
      <c r="A647" s="48">
        <v>45306</v>
      </c>
      <c r="B647" s="1" t="s">
        <v>419</v>
      </c>
      <c r="C647" s="1" t="s">
        <v>214</v>
      </c>
      <c r="D647" s="1" t="s">
        <v>720</v>
      </c>
      <c r="E647" s="1" t="s">
        <v>71</v>
      </c>
      <c r="F647" s="1" t="s">
        <v>721</v>
      </c>
      <c r="G647" s="2">
        <v>3</v>
      </c>
      <c r="H647" s="51" t="s">
        <v>717</v>
      </c>
      <c r="I647" s="44">
        <f>Tabla1[[#This Row],[Descuento]]+Tabla1[[#This Row],[Neto]]</f>
        <v>103.05</v>
      </c>
      <c r="J647" s="23">
        <v>0</v>
      </c>
      <c r="K647" s="23">
        <v>103.05</v>
      </c>
      <c r="L647" s="23">
        <v>20.645454000000001</v>
      </c>
      <c r="M647" s="24">
        <f>+Tabla1[[#This Row],[Costo Venta]]/Tabla1[[#This Row],[Cantidad]]</f>
        <v>6.881818</v>
      </c>
      <c r="N647" s="3">
        <v>1</v>
      </c>
      <c r="O647" s="8">
        <f>+Tabla1[[#This Row],[Conversión]]*Tabla1[[#This Row],[Cantidad]]</f>
        <v>3</v>
      </c>
      <c r="P647" s="43">
        <f>Tabla1[[#This Row],[Neto]]-Tabla1[[#This Row],[Costo Venta]]</f>
        <v>82.404545999999996</v>
      </c>
    </row>
    <row r="648" spans="1:16" x14ac:dyDescent="0.25">
      <c r="A648" s="48">
        <v>45307</v>
      </c>
      <c r="B648" s="1" t="s">
        <v>419</v>
      </c>
      <c r="C648" s="1" t="s">
        <v>65</v>
      </c>
      <c r="D648" s="1" t="s">
        <v>722</v>
      </c>
      <c r="E648" s="1" t="s">
        <v>71</v>
      </c>
      <c r="F648" s="1" t="s">
        <v>721</v>
      </c>
      <c r="G648" s="2">
        <v>5</v>
      </c>
      <c r="H648" s="51" t="s">
        <v>717</v>
      </c>
      <c r="I648" s="44">
        <f>Tabla1[[#This Row],[Descuento]]+Tabla1[[#This Row],[Neto]]</f>
        <v>171.75</v>
      </c>
      <c r="J648" s="23">
        <v>0</v>
      </c>
      <c r="K648" s="23">
        <v>171.75</v>
      </c>
      <c r="L648" s="23">
        <v>34.409089999999999</v>
      </c>
      <c r="M648" s="24">
        <f>+Tabla1[[#This Row],[Costo Venta]]/Tabla1[[#This Row],[Cantidad]]</f>
        <v>6.881818</v>
      </c>
      <c r="N648" s="3">
        <v>1</v>
      </c>
      <c r="O648" s="8">
        <f>+Tabla1[[#This Row],[Conversión]]*Tabla1[[#This Row],[Cantidad]]</f>
        <v>5</v>
      </c>
      <c r="P648" s="43">
        <f>Tabla1[[#This Row],[Neto]]-Tabla1[[#This Row],[Costo Venta]]</f>
        <v>137.34091000000001</v>
      </c>
    </row>
    <row r="649" spans="1:16" x14ac:dyDescent="0.25">
      <c r="A649" s="48">
        <v>45377</v>
      </c>
      <c r="B649" s="1" t="s">
        <v>419</v>
      </c>
      <c r="C649" s="1" t="s">
        <v>81</v>
      </c>
      <c r="D649" s="1" t="s">
        <v>723</v>
      </c>
      <c r="E649" s="1" t="s">
        <v>71</v>
      </c>
      <c r="F649" s="1" t="s">
        <v>724</v>
      </c>
      <c r="G649" s="2">
        <v>120</v>
      </c>
      <c r="H649" s="51" t="s">
        <v>717</v>
      </c>
      <c r="I649" s="44">
        <f>Tabla1[[#This Row],[Descuento]]+Tabla1[[#This Row],[Neto]]</f>
        <v>4122</v>
      </c>
      <c r="J649" s="9">
        <v>1030.5</v>
      </c>
      <c r="K649" s="9">
        <v>3091.5</v>
      </c>
      <c r="L649" s="9">
        <v>437.72052000000002</v>
      </c>
      <c r="M649" s="24">
        <f>+Tabla1[[#This Row],[Costo Venta]]/Tabla1[[#This Row],[Cantidad]]</f>
        <v>3.6476710000000003</v>
      </c>
      <c r="N649" s="3">
        <v>1</v>
      </c>
      <c r="O649" s="8">
        <f>+Tabla1[[#This Row],[Conversión]]*Tabla1[[#This Row],[Cantidad]]</f>
        <v>120</v>
      </c>
      <c r="P649" s="43">
        <f>Tabla1[[#This Row],[Neto]]-Tabla1[[#This Row],[Costo Venta]]</f>
        <v>2653.7794800000001</v>
      </c>
    </row>
    <row r="650" spans="1:16" x14ac:dyDescent="0.25">
      <c r="A650" s="48">
        <v>45390</v>
      </c>
      <c r="B650" s="1" t="s">
        <v>419</v>
      </c>
      <c r="C650" s="1" t="s">
        <v>65</v>
      </c>
      <c r="D650" s="1" t="s">
        <v>725</v>
      </c>
      <c r="E650" s="1" t="s">
        <v>71</v>
      </c>
      <c r="F650" s="1" t="s">
        <v>726</v>
      </c>
      <c r="G650" s="2">
        <v>16</v>
      </c>
      <c r="H650" s="51" t="s">
        <v>717</v>
      </c>
      <c r="I650" s="44">
        <f>Tabla1[[#This Row],[Descuento]]+Tabla1[[#This Row],[Neto]]</f>
        <v>549.6</v>
      </c>
      <c r="J650" s="9">
        <v>0</v>
      </c>
      <c r="K650" s="9">
        <v>549.6</v>
      </c>
      <c r="L650" s="9">
        <v>52.12632</v>
      </c>
      <c r="M650" s="24">
        <f>+Tabla1[[#This Row],[Costo Venta]]/Tabla1[[#This Row],[Cantidad]]</f>
        <v>3.257895</v>
      </c>
      <c r="N650" s="3">
        <v>1</v>
      </c>
      <c r="O650" s="8">
        <f>+Tabla1[[#This Row],[Conversión]]*Tabla1[[#This Row],[Cantidad]]</f>
        <v>16</v>
      </c>
      <c r="P650" s="43">
        <f>Tabla1[[#This Row],[Neto]]-Tabla1[[#This Row],[Costo Venta]]</f>
        <v>497.47368</v>
      </c>
    </row>
    <row r="651" spans="1:16" x14ac:dyDescent="0.25">
      <c r="A651" s="48">
        <v>45432</v>
      </c>
      <c r="B651" s="1" t="s">
        <v>419</v>
      </c>
      <c r="C651" s="1" t="s">
        <v>81</v>
      </c>
      <c r="D651" s="1" t="s">
        <v>314</v>
      </c>
      <c r="E651" s="1" t="s">
        <v>71</v>
      </c>
      <c r="F651" s="1" t="s">
        <v>315</v>
      </c>
      <c r="G651" s="2">
        <v>37</v>
      </c>
      <c r="H651" s="51" t="s">
        <v>717</v>
      </c>
      <c r="I651" s="44">
        <f>Tabla1[[#This Row],[Descuento]]+Tabla1[[#This Row],[Neto]]</f>
        <v>1270.9449999999999</v>
      </c>
      <c r="J651" s="9">
        <v>127.095</v>
      </c>
      <c r="K651" s="9">
        <v>1143.8499999999999</v>
      </c>
      <c r="L651" s="9">
        <v>115.78217600000001</v>
      </c>
      <c r="M651" s="24">
        <f>+Tabla1[[#This Row],[Costo Venta]]/Tabla1[[#This Row],[Cantidad]]</f>
        <v>3.129248</v>
      </c>
      <c r="N651" s="3">
        <v>1</v>
      </c>
      <c r="O651" s="8">
        <f>+Tabla1[[#This Row],[Conversión]]*Tabla1[[#This Row],[Cantidad]]</f>
        <v>37</v>
      </c>
      <c r="P651" s="43">
        <f>Tabla1[[#This Row],[Neto]]-Tabla1[[#This Row],[Costo Venta]]</f>
        <v>1028.067824</v>
      </c>
    </row>
    <row r="652" spans="1:16" x14ac:dyDescent="0.25">
      <c r="A652" s="48">
        <v>45443</v>
      </c>
      <c r="B652" s="1" t="s">
        <v>419</v>
      </c>
      <c r="C652" s="1" t="s">
        <v>65</v>
      </c>
      <c r="D652" s="1" t="s">
        <v>727</v>
      </c>
      <c r="E652" s="1" t="s">
        <v>71</v>
      </c>
      <c r="F652" s="1" t="s">
        <v>315</v>
      </c>
      <c r="G652" s="2">
        <v>6</v>
      </c>
      <c r="H652" s="51" t="s">
        <v>717</v>
      </c>
      <c r="I652" s="44">
        <f>Tabla1[[#This Row],[Descuento]]+Tabla1[[#This Row],[Neto]]</f>
        <v>206.1</v>
      </c>
      <c r="J652" s="9">
        <v>103.05</v>
      </c>
      <c r="K652" s="9">
        <v>103.05</v>
      </c>
      <c r="L652" s="9">
        <v>20.73</v>
      </c>
      <c r="M652" s="24">
        <f>+Tabla1[[#This Row],[Costo Venta]]/Tabla1[[#This Row],[Cantidad]]</f>
        <v>3.4550000000000001</v>
      </c>
      <c r="N652" s="3">
        <v>1</v>
      </c>
      <c r="O652" s="8">
        <f>+Tabla1[[#This Row],[Conversión]]*Tabla1[[#This Row],[Cantidad]]</f>
        <v>6</v>
      </c>
      <c r="P652" s="43">
        <f>Tabla1[[#This Row],[Neto]]-Tabla1[[#This Row],[Costo Venta]]</f>
        <v>82.32</v>
      </c>
    </row>
    <row r="653" spans="1:16" x14ac:dyDescent="0.25">
      <c r="A653" s="48">
        <v>45527</v>
      </c>
      <c r="B653" s="1" t="s">
        <v>419</v>
      </c>
      <c r="C653" s="1" t="s">
        <v>65</v>
      </c>
      <c r="D653" s="1" t="s">
        <v>728</v>
      </c>
      <c r="E653" s="1" t="s">
        <v>71</v>
      </c>
      <c r="F653" s="1" t="s">
        <v>729</v>
      </c>
      <c r="G653" s="2">
        <v>21</v>
      </c>
      <c r="H653" s="51" t="s">
        <v>717</v>
      </c>
      <c r="I653" s="44">
        <f>Tabla1[[#This Row],[Descuento]]+Tabla1[[#This Row],[Neto]]</f>
        <v>721.34500000000003</v>
      </c>
      <c r="J653" s="9">
        <v>360.67500000000001</v>
      </c>
      <c r="K653" s="9">
        <v>360.67</v>
      </c>
      <c r="L653" s="9">
        <v>72.383724000000001</v>
      </c>
      <c r="M653" s="24">
        <f>+Tabla1[[#This Row],[Costo Venta]]/Tabla1[[#This Row],[Cantidad]]</f>
        <v>3.446844</v>
      </c>
      <c r="N653" s="3">
        <v>1</v>
      </c>
      <c r="O653" s="8">
        <f>+Tabla1[[#This Row],[Conversión]]*Tabla1[[#This Row],[Cantidad]]</f>
        <v>21</v>
      </c>
      <c r="P653" s="43">
        <f>Tabla1[[#This Row],[Neto]]-Tabla1[[#This Row],[Costo Venta]]</f>
        <v>288.28627600000004</v>
      </c>
    </row>
    <row r="654" spans="1:16" x14ac:dyDescent="0.25">
      <c r="A654" s="48">
        <v>45681</v>
      </c>
      <c r="B654" s="1" t="s">
        <v>419</v>
      </c>
      <c r="C654" s="1" t="s">
        <v>65</v>
      </c>
      <c r="D654" s="1" t="s">
        <v>364</v>
      </c>
      <c r="E654" s="1" t="s">
        <v>67</v>
      </c>
      <c r="F654" s="1" t="s">
        <v>365</v>
      </c>
      <c r="G654" s="2">
        <v>6</v>
      </c>
      <c r="H654" s="51" t="s">
        <v>717</v>
      </c>
      <c r="I654" s="44">
        <f>Tabla1[[#This Row],[Descuento]]+Tabla1[[#This Row],[Neto]]</f>
        <v>206.10000000000002</v>
      </c>
      <c r="J654" s="9">
        <v>61.83</v>
      </c>
      <c r="K654" s="9">
        <v>144.27000000000001</v>
      </c>
      <c r="L654" s="9">
        <v>20.122547999999998</v>
      </c>
      <c r="M654" s="24">
        <f>+Tabla1[[#This Row],[Costo Venta]]/Tabla1[[#This Row],[Cantidad]]</f>
        <v>3.3537579999999996</v>
      </c>
      <c r="N654" s="3">
        <v>1</v>
      </c>
      <c r="O654" s="8">
        <f>+Tabla1[[#This Row],[Conversión]]*Tabla1[[#This Row],[Cantidad]]</f>
        <v>6</v>
      </c>
      <c r="P654" s="43">
        <f>Tabla1[[#This Row],[Neto]]-Tabla1[[#This Row],[Costo Venta]]</f>
        <v>124.14745200000002</v>
      </c>
    </row>
    <row r="655" spans="1:16" x14ac:dyDescent="0.25">
      <c r="A655" s="48">
        <v>45682</v>
      </c>
      <c r="B655" s="1" t="s">
        <v>419</v>
      </c>
      <c r="C655" s="1" t="s">
        <v>65</v>
      </c>
      <c r="D655" s="1" t="s">
        <v>730</v>
      </c>
      <c r="E655" s="1" t="s">
        <v>67</v>
      </c>
      <c r="F655" s="1" t="s">
        <v>9</v>
      </c>
      <c r="G655" s="2">
        <v>9.9</v>
      </c>
      <c r="H655" s="51" t="s">
        <v>717</v>
      </c>
      <c r="I655" s="44">
        <f>Tabla1[[#This Row],[Descuento]]+Tabla1[[#This Row],[Neto]]</f>
        <v>340.06925000000001</v>
      </c>
      <c r="J655" s="9">
        <v>153.02924999999999</v>
      </c>
      <c r="K655" s="9">
        <v>187.04</v>
      </c>
      <c r="L655" s="9">
        <v>33.202204199999997</v>
      </c>
      <c r="M655" s="24">
        <f>+Tabla1[[#This Row],[Costo Venta]]/Tabla1[[#This Row],[Cantidad]]</f>
        <v>3.3537579999999996</v>
      </c>
      <c r="N655" s="3">
        <v>1</v>
      </c>
      <c r="O655" s="8">
        <f>+Tabla1[[#This Row],[Conversión]]*Tabla1[[#This Row],[Cantidad]]</f>
        <v>9.9</v>
      </c>
      <c r="P655" s="43">
        <f>Tabla1[[#This Row],[Neto]]-Tabla1[[#This Row],[Costo Venta]]</f>
        <v>153.83779579999998</v>
      </c>
    </row>
    <row r="656" spans="1:16" x14ac:dyDescent="0.25">
      <c r="A656" s="48">
        <v>45744</v>
      </c>
      <c r="B656" s="1" t="s">
        <v>419</v>
      </c>
      <c r="C656" s="1" t="s">
        <v>65</v>
      </c>
      <c r="D656" s="1" t="s">
        <v>731</v>
      </c>
      <c r="E656" s="1" t="s">
        <v>67</v>
      </c>
      <c r="F656" s="1" t="s">
        <v>20</v>
      </c>
      <c r="G656" s="2">
        <v>4.4000000000000004</v>
      </c>
      <c r="H656" s="51" t="s">
        <v>717</v>
      </c>
      <c r="I656" s="44">
        <f>Tabla1[[#This Row],[Descuento]]+Tabla1[[#This Row],[Neto]]</f>
        <v>151.142</v>
      </c>
      <c r="J656" s="9">
        <v>45.341999999999999</v>
      </c>
      <c r="K656" s="9">
        <v>105.8</v>
      </c>
      <c r="L656" s="9">
        <v>15.0638048</v>
      </c>
      <c r="M656" s="24">
        <f>+Tabla1[[#This Row],[Costo Venta]]/Tabla1[[#This Row],[Cantidad]]</f>
        <v>3.4235919999999997</v>
      </c>
      <c r="N656" s="3">
        <v>1</v>
      </c>
      <c r="O656" s="8">
        <f>+Tabla1[[#This Row],[Conversión]]*Tabla1[[#This Row],[Cantidad]]</f>
        <v>4.4000000000000004</v>
      </c>
      <c r="P656" s="43">
        <f>Tabla1[[#This Row],[Neto]]-Tabla1[[#This Row],[Costo Venta]]</f>
        <v>90.736195199999997</v>
      </c>
    </row>
    <row r="657" spans="1:16" x14ac:dyDescent="0.25">
      <c r="A657" s="48">
        <v>45744</v>
      </c>
      <c r="B657" s="1" t="s">
        <v>419</v>
      </c>
      <c r="C657" s="1" t="s">
        <v>65</v>
      </c>
      <c r="D657" s="1" t="s">
        <v>732</v>
      </c>
      <c r="E657" s="1" t="s">
        <v>67</v>
      </c>
      <c r="F657" s="1" t="s">
        <v>20</v>
      </c>
      <c r="G657" s="2">
        <v>3.3</v>
      </c>
      <c r="H657" s="51" t="s">
        <v>717</v>
      </c>
      <c r="I657" s="44">
        <f>Tabla1[[#This Row],[Descuento]]+Tabla1[[#This Row],[Neto]]</f>
        <v>113.34650000000001</v>
      </c>
      <c r="J657" s="9">
        <v>34.006500000000003</v>
      </c>
      <c r="K657" s="9">
        <v>79.34</v>
      </c>
      <c r="L657" s="9">
        <v>11.2978536</v>
      </c>
      <c r="M657" s="24">
        <f>+Tabla1[[#This Row],[Costo Venta]]/Tabla1[[#This Row],[Cantidad]]</f>
        <v>3.4235920000000002</v>
      </c>
      <c r="N657" s="3">
        <v>1</v>
      </c>
      <c r="O657" s="8">
        <f>+Tabla1[[#This Row],[Conversión]]*Tabla1[[#This Row],[Cantidad]]</f>
        <v>3.3</v>
      </c>
      <c r="P657" s="43">
        <f>Tabla1[[#This Row],[Neto]]-Tabla1[[#This Row],[Costo Venta]]</f>
        <v>68.042146400000007</v>
      </c>
    </row>
    <row r="658" spans="1:16" x14ac:dyDescent="0.25">
      <c r="A658" s="48">
        <v>45855</v>
      </c>
      <c r="B658" s="1" t="s">
        <v>419</v>
      </c>
      <c r="C658" s="1" t="s">
        <v>65</v>
      </c>
      <c r="D658" s="1" t="s">
        <v>386</v>
      </c>
      <c r="E658" s="1" t="s">
        <v>71</v>
      </c>
      <c r="F658" s="1" t="s">
        <v>387</v>
      </c>
      <c r="G658" s="2">
        <v>35</v>
      </c>
      <c r="H658" s="51" t="s">
        <v>717</v>
      </c>
      <c r="I658" s="44">
        <f>Tabla1[[#This Row],[Descuento]]+Tabla1[[#This Row],[Neto]]</f>
        <v>1202.2474999999999</v>
      </c>
      <c r="J658" s="9">
        <v>180.33750000000001</v>
      </c>
      <c r="K658" s="9">
        <v>1021.91</v>
      </c>
      <c r="L658" s="9">
        <v>119.82572</v>
      </c>
      <c r="M658" s="24">
        <f>+Tabla1[[#This Row],[Costo Venta]]/Tabla1[[#This Row],[Cantidad]]</f>
        <v>3.4235920000000002</v>
      </c>
      <c r="N658" s="3">
        <v>1</v>
      </c>
      <c r="O658" s="8">
        <f>+Tabla1[[#This Row],[Conversión]]*Tabla1[[#This Row],[Cantidad]]</f>
        <v>35</v>
      </c>
      <c r="P658" s="43">
        <f>Tabla1[[#This Row],[Neto]]-Tabla1[[#This Row],[Costo Venta]]</f>
        <v>902.08427999999992</v>
      </c>
    </row>
    <row r="659" spans="1:16" x14ac:dyDescent="0.25">
      <c r="A659" s="48">
        <v>45913</v>
      </c>
      <c r="B659" s="1" t="s">
        <v>419</v>
      </c>
      <c r="C659" s="1" t="s">
        <v>65</v>
      </c>
      <c r="D659" s="1" t="s">
        <v>733</v>
      </c>
      <c r="E659" s="1" t="s">
        <v>67</v>
      </c>
      <c r="F659" s="1" t="s">
        <v>44</v>
      </c>
      <c r="G659" s="2">
        <v>21</v>
      </c>
      <c r="H659" s="51" t="s">
        <v>717</v>
      </c>
      <c r="I659" s="44">
        <f>Tabla1[[#This Row],[Descuento]]+Tabla1[[#This Row],[Neto]]</f>
        <v>721.35249999999996</v>
      </c>
      <c r="J659" s="9">
        <v>252.4725</v>
      </c>
      <c r="K659" s="9">
        <v>468.88</v>
      </c>
      <c r="L659" s="9">
        <v>73.371752999999998</v>
      </c>
      <c r="M659" s="24">
        <f>+Tabla1[[#This Row],[Costo Venta]]/Tabla1[[#This Row],[Cantidad]]</f>
        <v>3.4938929999999999</v>
      </c>
      <c r="N659" s="3">
        <v>1</v>
      </c>
      <c r="O659" s="8">
        <f>+Tabla1[[#This Row],[Conversión]]*Tabla1[[#This Row],[Cantidad]]</f>
        <v>21</v>
      </c>
      <c r="P659" s="43">
        <f>Tabla1[[#This Row],[Neto]]-Tabla1[[#This Row],[Costo Venta]]</f>
        <v>395.50824699999998</v>
      </c>
    </row>
    <row r="660" spans="1:16" x14ac:dyDescent="0.25">
      <c r="A660" s="48">
        <v>45922</v>
      </c>
      <c r="B660" s="1" t="s">
        <v>419</v>
      </c>
      <c r="C660" s="1" t="s">
        <v>65</v>
      </c>
      <c r="D660" s="1" t="s">
        <v>403</v>
      </c>
      <c r="E660" s="1" t="s">
        <v>67</v>
      </c>
      <c r="F660" s="1" t="s">
        <v>44</v>
      </c>
      <c r="G660" s="2">
        <v>200</v>
      </c>
      <c r="H660" s="51" t="s">
        <v>717</v>
      </c>
      <c r="I660" s="44">
        <f>Tabla1[[#This Row],[Descuento]]+Tabla1[[#This Row],[Neto]]</f>
        <v>6870</v>
      </c>
      <c r="J660" s="9">
        <v>2404.5</v>
      </c>
      <c r="K660" s="9">
        <v>4465.5</v>
      </c>
      <c r="L660" s="9">
        <v>698.77859999999998</v>
      </c>
      <c r="M660" s="24">
        <f>+Tabla1[[#This Row],[Costo Venta]]/Tabla1[[#This Row],[Cantidad]]</f>
        <v>3.4938929999999999</v>
      </c>
      <c r="N660" s="3">
        <v>1</v>
      </c>
      <c r="O660" s="8">
        <f>+Tabla1[[#This Row],[Conversión]]*Tabla1[[#This Row],[Cantidad]]</f>
        <v>200</v>
      </c>
      <c r="P660" s="43">
        <f>Tabla1[[#This Row],[Neto]]-Tabla1[[#This Row],[Costo Venta]]</f>
        <v>3766.7213999999999</v>
      </c>
    </row>
    <row r="661" spans="1:16" x14ac:dyDescent="0.25">
      <c r="A661" s="48">
        <v>45924</v>
      </c>
      <c r="B661" s="1" t="s">
        <v>419</v>
      </c>
      <c r="C661" s="1" t="s">
        <v>65</v>
      </c>
      <c r="D661" s="1" t="s">
        <v>404</v>
      </c>
      <c r="E661" s="1" t="s">
        <v>67</v>
      </c>
      <c r="F661" s="1" t="s">
        <v>44</v>
      </c>
      <c r="G661" s="2">
        <v>20</v>
      </c>
      <c r="H661" s="51" t="s">
        <v>717</v>
      </c>
      <c r="I661" s="44">
        <f>Tabla1[[#This Row],[Descuento]]+Tabla1[[#This Row],[Neto]]</f>
        <v>687</v>
      </c>
      <c r="J661" s="9">
        <v>687</v>
      </c>
      <c r="K661" s="9">
        <v>0</v>
      </c>
      <c r="L661" s="9">
        <v>70.58</v>
      </c>
      <c r="M661" s="24">
        <f>+Tabla1[[#This Row],[Costo Venta]]/Tabla1[[#This Row],[Cantidad]]</f>
        <v>3.5289999999999999</v>
      </c>
      <c r="N661" s="3">
        <v>1</v>
      </c>
      <c r="O661" s="8">
        <f>+Tabla1[[#This Row],[Conversión]]*Tabla1[[#This Row],[Cantidad]]</f>
        <v>20</v>
      </c>
      <c r="P661" s="43">
        <f>Tabla1[[#This Row],[Neto]]-Tabla1[[#This Row],[Costo Venta]]</f>
        <v>-70.58</v>
      </c>
    </row>
    <row r="662" spans="1:16" x14ac:dyDescent="0.25">
      <c r="A662" s="48">
        <v>45924</v>
      </c>
      <c r="B662" s="1" t="s">
        <v>419</v>
      </c>
      <c r="C662" s="1" t="s">
        <v>65</v>
      </c>
      <c r="D662" s="1" t="s">
        <v>404</v>
      </c>
      <c r="E662" s="1" t="s">
        <v>67</v>
      </c>
      <c r="F662" s="1" t="s">
        <v>44</v>
      </c>
      <c r="G662" s="2">
        <v>54</v>
      </c>
      <c r="H662" s="51" t="s">
        <v>717</v>
      </c>
      <c r="I662" s="44">
        <f>Tabla1[[#This Row],[Descuento]]+Tabla1[[#This Row],[Neto]]</f>
        <v>1854.8979999999999</v>
      </c>
      <c r="J662" s="9">
        <v>779.05799999999999</v>
      </c>
      <c r="K662" s="9">
        <v>1075.8399999999999</v>
      </c>
      <c r="L662" s="9">
        <v>190.566</v>
      </c>
      <c r="M662" s="24">
        <f>+Tabla1[[#This Row],[Costo Venta]]/Tabla1[[#This Row],[Cantidad]]</f>
        <v>3.5289999999999999</v>
      </c>
      <c r="N662" s="3">
        <v>1</v>
      </c>
      <c r="O662" s="8">
        <f>+Tabla1[[#This Row],[Conversión]]*Tabla1[[#This Row],[Cantidad]]</f>
        <v>54</v>
      </c>
      <c r="P662" s="43">
        <f>Tabla1[[#This Row],[Neto]]-Tabla1[[#This Row],[Costo Venta]]</f>
        <v>885.27399999999989</v>
      </c>
    </row>
    <row r="663" spans="1:16" x14ac:dyDescent="0.25">
      <c r="A663" s="48">
        <v>45107</v>
      </c>
      <c r="B663" s="1" t="s">
        <v>481</v>
      </c>
      <c r="C663" s="1" t="s">
        <v>109</v>
      </c>
      <c r="D663" s="1" t="s">
        <v>485</v>
      </c>
      <c r="E663" s="1" t="s">
        <v>71</v>
      </c>
      <c r="F663" s="1" t="s">
        <v>486</v>
      </c>
      <c r="G663" s="2">
        <v>37.43</v>
      </c>
      <c r="H663" s="1" t="s">
        <v>734</v>
      </c>
      <c r="I663" s="44">
        <f>Tabla1[[#This Row],[Descuento]]+Tabla1[[#This Row],[Neto]]</f>
        <v>1125.1775743999999</v>
      </c>
      <c r="J663" s="9">
        <v>112.5175744</v>
      </c>
      <c r="K663" s="9">
        <v>1012.66</v>
      </c>
      <c r="L663" s="9">
        <v>833.56610000000001</v>
      </c>
      <c r="M663" s="24">
        <f>+Tabla1[[#This Row],[Costo Venta]]/Tabla1[[#This Row],[Cantidad]]</f>
        <v>22.27</v>
      </c>
      <c r="N663" s="3">
        <v>1</v>
      </c>
      <c r="O663" s="8">
        <f>+Tabla1[[#This Row],[Conversión]]*Tabla1[[#This Row],[Cantidad]]</f>
        <v>37.43</v>
      </c>
      <c r="P663" s="43">
        <f>Tabla1[[#This Row],[Neto]]-Tabla1[[#This Row],[Costo Venta]]</f>
        <v>179.09389999999996</v>
      </c>
    </row>
    <row r="664" spans="1:16" x14ac:dyDescent="0.25">
      <c r="A664" s="48">
        <v>44950</v>
      </c>
      <c r="B664" s="1" t="s">
        <v>735</v>
      </c>
      <c r="C664" s="1" t="s">
        <v>115</v>
      </c>
      <c r="D664" s="1" t="s">
        <v>129</v>
      </c>
      <c r="E664" s="1" t="s">
        <v>71</v>
      </c>
      <c r="F664" s="1" t="s">
        <v>130</v>
      </c>
      <c r="G664" s="2">
        <v>20</v>
      </c>
      <c r="H664" s="1" t="s">
        <v>736</v>
      </c>
      <c r="I664" s="44">
        <f>Tabla1[[#This Row],[Descuento]]+Tabla1[[#This Row],[Neto]]</f>
        <v>600</v>
      </c>
      <c r="J664" s="9">
        <v>90</v>
      </c>
      <c r="K664" s="9">
        <v>510</v>
      </c>
      <c r="L664" s="9">
        <v>55.52</v>
      </c>
      <c r="M664" s="24">
        <f>+Tabla1[[#This Row],[Costo Venta]]/Tabla1[[#This Row],[Cantidad]]</f>
        <v>2.7760000000000002</v>
      </c>
      <c r="N664" s="3">
        <v>0.42</v>
      </c>
      <c r="O664" s="8">
        <f>+Tabla1[[#This Row],[Conversión]]*Tabla1[[#This Row],[Cantidad]]</f>
        <v>8.4</v>
      </c>
      <c r="P664" s="43">
        <f>Tabla1[[#This Row],[Neto]]-Tabla1[[#This Row],[Costo Venta]]</f>
        <v>454.48</v>
      </c>
    </row>
    <row r="665" spans="1:16" x14ac:dyDescent="0.25">
      <c r="A665" s="48">
        <v>45093</v>
      </c>
      <c r="B665" s="1" t="s">
        <v>735</v>
      </c>
      <c r="C665" s="1" t="s">
        <v>81</v>
      </c>
      <c r="D665" s="1" t="s">
        <v>737</v>
      </c>
      <c r="E665" s="1" t="s">
        <v>71</v>
      </c>
      <c r="F665" s="1" t="s">
        <v>738</v>
      </c>
      <c r="G665" s="2">
        <v>8</v>
      </c>
      <c r="H665" s="1" t="s">
        <v>736</v>
      </c>
      <c r="I665" s="44">
        <f>Tabla1[[#This Row],[Descuento]]+Tabla1[[#This Row],[Neto]]</f>
        <v>240</v>
      </c>
      <c r="J665" s="9">
        <v>0</v>
      </c>
      <c r="K665" s="9">
        <v>240</v>
      </c>
      <c r="L665" s="9">
        <v>21.98</v>
      </c>
      <c r="M665" s="24">
        <f>+Tabla1[[#This Row],[Costo Venta]]/Tabla1[[#This Row],[Cantidad]]</f>
        <v>2.7475000000000001</v>
      </c>
      <c r="N665" s="3">
        <v>0.42</v>
      </c>
      <c r="O665" s="8">
        <f>+Tabla1[[#This Row],[Conversión]]*Tabla1[[#This Row],[Cantidad]]</f>
        <v>3.36</v>
      </c>
      <c r="P665" s="43">
        <f>Tabla1[[#This Row],[Neto]]-Tabla1[[#This Row],[Costo Venta]]</f>
        <v>218.02</v>
      </c>
    </row>
    <row r="666" spans="1:16" x14ac:dyDescent="0.25">
      <c r="A666" s="48">
        <v>45201</v>
      </c>
      <c r="B666" s="1" t="s">
        <v>735</v>
      </c>
      <c r="C666" s="1" t="s">
        <v>214</v>
      </c>
      <c r="D666" s="1" t="s">
        <v>244</v>
      </c>
      <c r="E666" s="1" t="s">
        <v>71</v>
      </c>
      <c r="F666" s="1" t="s">
        <v>22</v>
      </c>
      <c r="G666" s="2">
        <v>32</v>
      </c>
      <c r="H666" s="1" t="s">
        <v>736</v>
      </c>
      <c r="I666" s="44">
        <f>Tabla1[[#This Row],[Descuento]]+Tabla1[[#This Row],[Neto]]</f>
        <v>960</v>
      </c>
      <c r="J666" s="9">
        <v>144</v>
      </c>
      <c r="K666" s="9">
        <v>816</v>
      </c>
      <c r="L666" s="9">
        <v>87.92</v>
      </c>
      <c r="M666" s="24">
        <f>+Tabla1[[#This Row],[Costo Venta]]/Tabla1[[#This Row],[Cantidad]]</f>
        <v>2.7475000000000001</v>
      </c>
      <c r="N666" s="3">
        <v>0.42</v>
      </c>
      <c r="O666" s="8">
        <f>+Tabla1[[#This Row],[Conversión]]*Tabla1[[#This Row],[Cantidad]]</f>
        <v>13.44</v>
      </c>
      <c r="P666" s="43">
        <f>Tabla1[[#This Row],[Neto]]-Tabla1[[#This Row],[Costo Venta]]</f>
        <v>728.08</v>
      </c>
    </row>
    <row r="667" spans="1:16" x14ac:dyDescent="0.25">
      <c r="A667" s="48">
        <v>45041</v>
      </c>
      <c r="B667" s="1" t="s">
        <v>686</v>
      </c>
      <c r="C667" s="1" t="s">
        <v>109</v>
      </c>
      <c r="D667" s="1" t="s">
        <v>171</v>
      </c>
      <c r="E667" s="1" t="s">
        <v>71</v>
      </c>
      <c r="F667" s="1" t="s">
        <v>140</v>
      </c>
      <c r="G667" s="2">
        <v>12.22</v>
      </c>
      <c r="H667" s="1" t="s">
        <v>739</v>
      </c>
      <c r="I667" s="44">
        <f>Tabla1[[#This Row],[Descuento]]+Tabla1[[#This Row],[Neto]]</f>
        <v>672.09500000000003</v>
      </c>
      <c r="J667" s="9">
        <v>235.23500000000001</v>
      </c>
      <c r="K667" s="9">
        <v>436.86</v>
      </c>
      <c r="L667" s="9">
        <v>76.799999380000003</v>
      </c>
      <c r="M667" s="24">
        <f>+Tabla1[[#This Row],[Costo Venta]]/Tabla1[[#This Row],[Cantidad]]</f>
        <v>6.2847789999999994</v>
      </c>
      <c r="N667" s="3">
        <v>1</v>
      </c>
      <c r="O667" s="8">
        <f>+Tabla1[[#This Row],[Conversión]]*Tabla1[[#This Row],[Cantidad]]</f>
        <v>12.22</v>
      </c>
      <c r="P667" s="43">
        <f>Tabla1[[#This Row],[Neto]]-Tabla1[[#This Row],[Costo Venta]]</f>
        <v>360.06000061999998</v>
      </c>
    </row>
    <row r="668" spans="1:16" x14ac:dyDescent="0.25">
      <c r="A668" s="48">
        <v>45531</v>
      </c>
      <c r="B668" s="1" t="s">
        <v>686</v>
      </c>
      <c r="C668" s="1" t="s">
        <v>65</v>
      </c>
      <c r="D668" s="1" t="s">
        <v>740</v>
      </c>
      <c r="E668" s="1" t="s">
        <v>67</v>
      </c>
      <c r="F668" s="1" t="s">
        <v>20</v>
      </c>
      <c r="G668" s="2">
        <v>25.49</v>
      </c>
      <c r="H668" s="1" t="s">
        <v>739</v>
      </c>
      <c r="I668" s="44">
        <f>Tabla1[[#This Row],[Descuento]]+Tabla1[[#This Row],[Neto]]</f>
        <v>1261.2458199999999</v>
      </c>
      <c r="J668" s="9">
        <v>441.43581999999998</v>
      </c>
      <c r="K668" s="9">
        <v>819.81</v>
      </c>
      <c r="L668" s="9">
        <v>117.8076428</v>
      </c>
      <c r="M668" s="24">
        <f>+Tabla1[[#This Row],[Costo Venta]]/Tabla1[[#This Row],[Cantidad]]</f>
        <v>4.6217199999999998</v>
      </c>
      <c r="N668" s="3">
        <v>1</v>
      </c>
      <c r="O668" s="8">
        <f>+Tabla1[[#This Row],[Conversión]]*Tabla1[[#This Row],[Cantidad]]</f>
        <v>25.49</v>
      </c>
      <c r="P668" s="43">
        <f>Tabla1[[#This Row],[Neto]]-Tabla1[[#This Row],[Costo Venta]]</f>
        <v>702.00235720000001</v>
      </c>
    </row>
    <row r="669" spans="1:16" x14ac:dyDescent="0.25">
      <c r="A669" s="48">
        <v>45159</v>
      </c>
      <c r="B669" s="1" t="s">
        <v>419</v>
      </c>
      <c r="C669" s="1" t="s">
        <v>109</v>
      </c>
      <c r="D669" s="1" t="s">
        <v>741</v>
      </c>
      <c r="E669" s="1" t="s">
        <v>67</v>
      </c>
      <c r="F669" s="1" t="s">
        <v>9</v>
      </c>
      <c r="G669" s="2">
        <v>16.12</v>
      </c>
      <c r="H669" s="51" t="s">
        <v>742</v>
      </c>
      <c r="I669" s="44">
        <f>Tabla1[[#This Row],[Descuento]]+Tabla1[[#This Row],[Neto]]</f>
        <v>548.07799999999997</v>
      </c>
      <c r="J669" s="9">
        <v>191.828</v>
      </c>
      <c r="K669" s="9">
        <v>356.25</v>
      </c>
      <c r="L669" s="9">
        <v>100.35341576</v>
      </c>
      <c r="M669" s="24">
        <f>+Tabla1[[#This Row],[Costo Venta]]/Tabla1[[#This Row],[Cantidad]]</f>
        <v>6.2253980000000002</v>
      </c>
      <c r="N669" s="3">
        <v>1</v>
      </c>
      <c r="O669" s="8">
        <f>+Tabla1[[#This Row],[Conversión]]*Tabla1[[#This Row],[Cantidad]]</f>
        <v>16.12</v>
      </c>
      <c r="P669" s="43">
        <f>Tabla1[[#This Row],[Neto]]-Tabla1[[#This Row],[Costo Venta]]</f>
        <v>255.89658423999998</v>
      </c>
    </row>
    <row r="670" spans="1:16" x14ac:dyDescent="0.25">
      <c r="A670" s="48">
        <v>45196</v>
      </c>
      <c r="B670" s="1" t="s">
        <v>419</v>
      </c>
      <c r="C670" s="1" t="s">
        <v>29</v>
      </c>
      <c r="D670" s="1" t="s">
        <v>743</v>
      </c>
      <c r="E670" s="1" t="s">
        <v>67</v>
      </c>
      <c r="F670" s="1" t="s">
        <v>9</v>
      </c>
      <c r="G670" s="2">
        <v>86.18</v>
      </c>
      <c r="H670" s="51" t="s">
        <v>742</v>
      </c>
      <c r="I670" s="44">
        <f>Tabla1[[#This Row],[Descuento]]+Tabla1[[#This Row],[Neto]]</f>
        <v>2960.2831999999999</v>
      </c>
      <c r="J670" s="9">
        <v>1184.1132</v>
      </c>
      <c r="K670" s="9">
        <v>1776.17</v>
      </c>
      <c r="L670" s="9">
        <v>536.50479963999999</v>
      </c>
      <c r="M670" s="24">
        <f>+Tabla1[[#This Row],[Costo Venta]]/Tabla1[[#This Row],[Cantidad]]</f>
        <v>6.2253979999999993</v>
      </c>
      <c r="N670" s="3">
        <v>1</v>
      </c>
      <c r="O670" s="8">
        <f>+Tabla1[[#This Row],[Conversión]]*Tabla1[[#This Row],[Cantidad]]</f>
        <v>86.18</v>
      </c>
      <c r="P670" s="43">
        <f>Tabla1[[#This Row],[Neto]]-Tabla1[[#This Row],[Costo Venta]]</f>
        <v>1239.6652003600002</v>
      </c>
    </row>
    <row r="671" spans="1:16" x14ac:dyDescent="0.25">
      <c r="A671" s="48">
        <v>45603</v>
      </c>
      <c r="B671" s="1" t="s">
        <v>419</v>
      </c>
      <c r="C671" s="1" t="s">
        <v>65</v>
      </c>
      <c r="D671" s="1" t="s">
        <v>744</v>
      </c>
      <c r="E671" s="1" t="s">
        <v>67</v>
      </c>
      <c r="F671" s="1" t="s">
        <v>9</v>
      </c>
      <c r="G671" s="2">
        <v>6.2</v>
      </c>
      <c r="H671" s="51" t="s">
        <v>742</v>
      </c>
      <c r="I671" s="44">
        <f>Tabla1[[#This Row],[Descuento]]+Tabla1[[#This Row],[Neto]]</f>
        <v>212.9665</v>
      </c>
      <c r="J671" s="9">
        <v>95.836500000000001</v>
      </c>
      <c r="K671" s="9">
        <v>117.13</v>
      </c>
      <c r="L671" s="9">
        <v>38.765921599999999</v>
      </c>
      <c r="M671" s="24">
        <f>+Tabla1[[#This Row],[Costo Venta]]/Tabla1[[#This Row],[Cantidad]]</f>
        <v>6.2525679999999992</v>
      </c>
      <c r="N671" s="3">
        <v>1</v>
      </c>
      <c r="O671" s="8">
        <f>+Tabla1[[#This Row],[Conversión]]*Tabla1[[#This Row],[Cantidad]]</f>
        <v>6.2</v>
      </c>
      <c r="P671" s="43">
        <f>Tabla1[[#This Row],[Neto]]-Tabla1[[#This Row],[Costo Venta]]</f>
        <v>78.364078399999997</v>
      </c>
    </row>
    <row r="672" spans="1:16" x14ac:dyDescent="0.25">
      <c r="A672" s="48">
        <v>45628</v>
      </c>
      <c r="B672" s="1" t="s">
        <v>419</v>
      </c>
      <c r="C672" s="1" t="s">
        <v>65</v>
      </c>
      <c r="D672" s="1" t="s">
        <v>745</v>
      </c>
      <c r="E672" s="1" t="s">
        <v>67</v>
      </c>
      <c r="F672" s="1" t="s">
        <v>44</v>
      </c>
      <c r="G672" s="2">
        <v>25</v>
      </c>
      <c r="H672" s="51" t="s">
        <v>742</v>
      </c>
      <c r="I672" s="44">
        <f>Tabla1[[#This Row],[Descuento]]+Tabla1[[#This Row],[Neto]]</f>
        <v>858.75250000000005</v>
      </c>
      <c r="J672" s="9">
        <v>300.5625</v>
      </c>
      <c r="K672" s="9">
        <v>558.19000000000005</v>
      </c>
      <c r="L672" s="9">
        <v>156.3142</v>
      </c>
      <c r="M672" s="24">
        <f>+Tabla1[[#This Row],[Costo Venta]]/Tabla1[[#This Row],[Cantidad]]</f>
        <v>6.2525680000000001</v>
      </c>
      <c r="N672" s="3">
        <v>1</v>
      </c>
      <c r="O672" s="8">
        <f>+Tabla1[[#This Row],[Conversión]]*Tabla1[[#This Row],[Cantidad]]</f>
        <v>25</v>
      </c>
      <c r="P672" s="43">
        <f>Tabla1[[#This Row],[Neto]]-Tabla1[[#This Row],[Costo Venta]]</f>
        <v>401.87580000000003</v>
      </c>
    </row>
    <row r="673" spans="1:16" x14ac:dyDescent="0.25">
      <c r="A673" s="48">
        <v>45776</v>
      </c>
      <c r="B673" s="1" t="s">
        <v>419</v>
      </c>
      <c r="C673" s="1" t="s">
        <v>65</v>
      </c>
      <c r="D673" s="1" t="s">
        <v>746</v>
      </c>
      <c r="E673" s="1" t="s">
        <v>67</v>
      </c>
      <c r="F673" s="1" t="s">
        <v>20</v>
      </c>
      <c r="G673" s="2">
        <v>37.200000000000003</v>
      </c>
      <c r="H673" s="51" t="s">
        <v>742</v>
      </c>
      <c r="I673" s="44">
        <f>Tabla1[[#This Row],[Descuento]]+Tabla1[[#This Row],[Neto]]</f>
        <v>1277.816</v>
      </c>
      <c r="J673" s="9">
        <v>383.346</v>
      </c>
      <c r="K673" s="9">
        <v>894.47</v>
      </c>
      <c r="L673" s="9">
        <v>225.76531199999999</v>
      </c>
      <c r="M673" s="24">
        <f>+Tabla1[[#This Row],[Costo Venta]]/Tabla1[[#This Row],[Cantidad]]</f>
        <v>6.0689599999999997</v>
      </c>
      <c r="N673" s="3">
        <v>1</v>
      </c>
      <c r="O673" s="8">
        <f>+Tabla1[[#This Row],[Conversión]]*Tabla1[[#This Row],[Cantidad]]</f>
        <v>37.200000000000003</v>
      </c>
      <c r="P673" s="43">
        <f>Tabla1[[#This Row],[Neto]]-Tabla1[[#This Row],[Costo Venta]]</f>
        <v>668.70468800000003</v>
      </c>
    </row>
    <row r="674" spans="1:16" x14ac:dyDescent="0.25">
      <c r="A674" s="48">
        <v>45805</v>
      </c>
      <c r="B674" s="1" t="s">
        <v>419</v>
      </c>
      <c r="C674" s="1" t="s">
        <v>65</v>
      </c>
      <c r="D674" s="1" t="s">
        <v>747</v>
      </c>
      <c r="E674" s="1" t="s">
        <v>67</v>
      </c>
      <c r="F674" s="1" t="s">
        <v>20</v>
      </c>
      <c r="G674" s="2">
        <v>25.42</v>
      </c>
      <c r="H674" s="51" t="s">
        <v>742</v>
      </c>
      <c r="I674" s="44">
        <f>Tabla1[[#This Row],[Descuento]]+Tabla1[[#This Row],[Neto]]</f>
        <v>873.18309999999997</v>
      </c>
      <c r="J674" s="9">
        <v>261.95310000000001</v>
      </c>
      <c r="K674" s="9">
        <v>611.23</v>
      </c>
      <c r="L674" s="9">
        <v>153.71280808</v>
      </c>
      <c r="M674" s="24">
        <f>+Tabla1[[#This Row],[Costo Venta]]/Tabla1[[#This Row],[Cantidad]]</f>
        <v>6.0469239999999997</v>
      </c>
      <c r="N674" s="3">
        <v>1</v>
      </c>
      <c r="O674" s="8">
        <f>+Tabla1[[#This Row],[Conversión]]*Tabla1[[#This Row],[Cantidad]]</f>
        <v>25.42</v>
      </c>
      <c r="P674" s="43">
        <f>Tabla1[[#This Row],[Neto]]-Tabla1[[#This Row],[Costo Venta]]</f>
        <v>457.51719192000002</v>
      </c>
    </row>
    <row r="675" spans="1:16" x14ac:dyDescent="0.25">
      <c r="A675" s="48">
        <v>45849</v>
      </c>
      <c r="B675" s="1" t="s">
        <v>419</v>
      </c>
      <c r="C675" s="1" t="s">
        <v>65</v>
      </c>
      <c r="D675" s="1" t="s">
        <v>748</v>
      </c>
      <c r="E675" s="1" t="s">
        <v>67</v>
      </c>
      <c r="F675" s="1" t="s">
        <v>20</v>
      </c>
      <c r="G675" s="2">
        <v>4.34</v>
      </c>
      <c r="H675" s="51" t="s">
        <v>742</v>
      </c>
      <c r="I675" s="44">
        <f>Tabla1[[#This Row],[Descuento]]+Tabla1[[#This Row],[Neto]]</f>
        <v>149.08369999999999</v>
      </c>
      <c r="J675" s="9">
        <v>44.723700000000001</v>
      </c>
      <c r="K675" s="9">
        <v>104.36</v>
      </c>
      <c r="L675" s="9">
        <v>27.6272682</v>
      </c>
      <c r="M675" s="24">
        <f>+Tabla1[[#This Row],[Costo Venta]]/Tabla1[[#This Row],[Cantidad]]</f>
        <v>6.3657300000000001</v>
      </c>
      <c r="N675" s="3">
        <v>1</v>
      </c>
      <c r="O675" s="8">
        <f>+Tabla1[[#This Row],[Conversión]]*Tabla1[[#This Row],[Cantidad]]</f>
        <v>4.34</v>
      </c>
      <c r="P675" s="43">
        <f>Tabla1[[#This Row],[Neto]]-Tabla1[[#This Row],[Costo Venta]]</f>
        <v>76.732731799999996</v>
      </c>
    </row>
    <row r="676" spans="1:16" x14ac:dyDescent="0.25">
      <c r="A676" s="48">
        <v>45862</v>
      </c>
      <c r="B676" s="1" t="s">
        <v>419</v>
      </c>
      <c r="C676" s="1" t="s">
        <v>65</v>
      </c>
      <c r="D676" s="1" t="s">
        <v>749</v>
      </c>
      <c r="E676" s="1" t="s">
        <v>67</v>
      </c>
      <c r="F676" s="1" t="s">
        <v>9</v>
      </c>
      <c r="G676" s="2">
        <v>16.12</v>
      </c>
      <c r="H676" s="51" t="s">
        <v>742</v>
      </c>
      <c r="I676" s="44">
        <f>Tabla1[[#This Row],[Descuento]]+Tabla1[[#This Row],[Neto]]</f>
        <v>553.72490000000005</v>
      </c>
      <c r="J676" s="9">
        <v>249.17490000000001</v>
      </c>
      <c r="K676" s="9">
        <v>304.55</v>
      </c>
      <c r="L676" s="9">
        <v>102.61556760000001</v>
      </c>
      <c r="M676" s="24">
        <f>+Tabla1[[#This Row],[Costo Venta]]/Tabla1[[#This Row],[Cantidad]]</f>
        <v>6.3657300000000001</v>
      </c>
      <c r="N676" s="3">
        <v>1</v>
      </c>
      <c r="O676" s="8">
        <f>+Tabla1[[#This Row],[Conversión]]*Tabla1[[#This Row],[Cantidad]]</f>
        <v>16.12</v>
      </c>
      <c r="P676" s="43">
        <f>Tabla1[[#This Row],[Neto]]-Tabla1[[#This Row],[Costo Venta]]</f>
        <v>201.93443239999999</v>
      </c>
    </row>
    <row r="677" spans="1:16" x14ac:dyDescent="0.25">
      <c r="A677" s="48">
        <v>45604</v>
      </c>
      <c r="B677" s="1" t="s">
        <v>419</v>
      </c>
      <c r="C677" s="1" t="s">
        <v>65</v>
      </c>
      <c r="D677" s="1" t="s">
        <v>341</v>
      </c>
      <c r="E677" s="1" t="s">
        <v>67</v>
      </c>
      <c r="F677" s="1" t="s">
        <v>34</v>
      </c>
      <c r="G677" s="2">
        <v>7</v>
      </c>
      <c r="H677" s="51" t="s">
        <v>742</v>
      </c>
      <c r="I677" s="44">
        <f>Tabla1[[#This Row],[Descuento]]+Tabla1[[#This Row],[Neto]]</f>
        <v>240.44749999999999</v>
      </c>
      <c r="J677" s="9">
        <v>84.157499999999999</v>
      </c>
      <c r="K677" s="9">
        <v>156.29</v>
      </c>
      <c r="L677" s="9">
        <v>4.3299969999999997</v>
      </c>
      <c r="M677" s="24">
        <f>+Tabla1[[#This Row],[Costo Venta]]/Tabla1[[#This Row],[Cantidad]]</f>
        <v>0.61857099999999998</v>
      </c>
      <c r="N677" s="3">
        <v>1</v>
      </c>
      <c r="O677" s="8">
        <f>+Tabla1[[#This Row],[Conversión]]*Tabla1[[#This Row],[Cantidad]]</f>
        <v>7</v>
      </c>
      <c r="P677" s="43">
        <f>Tabla1[[#This Row],[Neto]]-Tabla1[[#This Row],[Costo Venta]]</f>
        <v>151.960003</v>
      </c>
    </row>
    <row r="678" spans="1:16" x14ac:dyDescent="0.25">
      <c r="A678" s="48">
        <v>44963</v>
      </c>
      <c r="B678" s="1" t="s">
        <v>419</v>
      </c>
      <c r="C678" s="1" t="s">
        <v>65</v>
      </c>
      <c r="D678" s="1" t="s">
        <v>139</v>
      </c>
      <c r="E678" s="1" t="s">
        <v>71</v>
      </c>
      <c r="F678" s="1" t="s">
        <v>140</v>
      </c>
      <c r="G678" s="2">
        <v>56.42</v>
      </c>
      <c r="H678" s="51" t="s">
        <v>750</v>
      </c>
      <c r="I678" s="44">
        <f>Tabla1[[#This Row],[Descuento]]+Tabla1[[#This Row],[Neto]]</f>
        <v>1985.9784000000002</v>
      </c>
      <c r="J678" s="9">
        <v>198.5984</v>
      </c>
      <c r="K678" s="9">
        <v>1787.38</v>
      </c>
      <c r="L678" s="9">
        <v>382.63479799999999</v>
      </c>
      <c r="M678" s="24">
        <f>+Tabla1[[#This Row],[Costo Venta]]/Tabla1[[#This Row],[Cantidad]]</f>
        <v>6.7818999999999994</v>
      </c>
      <c r="N678" s="3">
        <v>1</v>
      </c>
      <c r="O678" s="8">
        <f>+Tabla1[[#This Row],[Conversión]]*Tabla1[[#This Row],[Cantidad]]</f>
        <v>56.42</v>
      </c>
      <c r="P678" s="43">
        <f>Tabla1[[#This Row],[Neto]]-Tabla1[[#This Row],[Costo Venta]]</f>
        <v>1404.7452020000001</v>
      </c>
    </row>
    <row r="679" spans="1:16" x14ac:dyDescent="0.25">
      <c r="A679" s="48">
        <v>45063</v>
      </c>
      <c r="B679" s="1" t="s">
        <v>419</v>
      </c>
      <c r="C679" s="1" t="s">
        <v>109</v>
      </c>
      <c r="D679" s="1" t="s">
        <v>641</v>
      </c>
      <c r="E679" s="1" t="s">
        <v>132</v>
      </c>
      <c r="F679" s="1" t="s">
        <v>642</v>
      </c>
      <c r="G679" s="2">
        <v>3.1</v>
      </c>
      <c r="H679" s="51" t="s">
        <v>750</v>
      </c>
      <c r="I679" s="44">
        <f>Tabla1[[#This Row],[Descuento]]+Tabla1[[#This Row],[Neto]]</f>
        <v>105.4</v>
      </c>
      <c r="J679" s="9">
        <v>31.62</v>
      </c>
      <c r="K679" s="9">
        <v>73.78</v>
      </c>
      <c r="L679" s="9">
        <v>20.77</v>
      </c>
      <c r="M679" s="24">
        <f>+Tabla1[[#This Row],[Costo Venta]]/Tabla1[[#This Row],[Cantidad]]</f>
        <v>6.6999999999999993</v>
      </c>
      <c r="N679" s="3">
        <v>1</v>
      </c>
      <c r="O679" s="8">
        <f>+Tabla1[[#This Row],[Conversión]]*Tabla1[[#This Row],[Cantidad]]</f>
        <v>3.1</v>
      </c>
      <c r="P679" s="43">
        <f>Tabla1[[#This Row],[Neto]]-Tabla1[[#This Row],[Costo Venta]]</f>
        <v>53.010000000000005</v>
      </c>
    </row>
    <row r="680" spans="1:16" x14ac:dyDescent="0.25">
      <c r="A680" s="48">
        <v>45091</v>
      </c>
      <c r="B680" s="1" t="s">
        <v>419</v>
      </c>
      <c r="C680" s="1" t="s">
        <v>109</v>
      </c>
      <c r="D680" s="1" t="s">
        <v>751</v>
      </c>
      <c r="E680" s="1" t="s">
        <v>67</v>
      </c>
      <c r="F680" s="1" t="s">
        <v>9</v>
      </c>
      <c r="G680" s="2">
        <v>47.12</v>
      </c>
      <c r="H680" s="51" t="s">
        <v>750</v>
      </c>
      <c r="I680" s="44">
        <f>Tabla1[[#This Row],[Descuento]]+Tabla1[[#This Row],[Neto]]</f>
        <v>1602.078</v>
      </c>
      <c r="J680" s="9">
        <v>560.72799999999995</v>
      </c>
      <c r="K680" s="9">
        <v>1041.3499999999999</v>
      </c>
      <c r="L680" s="9">
        <v>321.66491559999997</v>
      </c>
      <c r="M680" s="24">
        <f>+Tabla1[[#This Row],[Costo Venta]]/Tabla1[[#This Row],[Cantidad]]</f>
        <v>6.826505</v>
      </c>
      <c r="N680" s="3">
        <v>1</v>
      </c>
      <c r="O680" s="8">
        <f>+Tabla1[[#This Row],[Conversión]]*Tabla1[[#This Row],[Cantidad]]</f>
        <v>47.12</v>
      </c>
      <c r="P680" s="43">
        <f>Tabla1[[#This Row],[Neto]]-Tabla1[[#This Row],[Costo Venta]]</f>
        <v>719.68508439999994</v>
      </c>
    </row>
    <row r="681" spans="1:16" x14ac:dyDescent="0.25">
      <c r="A681" s="48">
        <v>45100</v>
      </c>
      <c r="B681" s="1" t="s">
        <v>419</v>
      </c>
      <c r="C681" s="1" t="s">
        <v>109</v>
      </c>
      <c r="D681" s="1" t="s">
        <v>752</v>
      </c>
      <c r="E681" s="1" t="s">
        <v>67</v>
      </c>
      <c r="F681" s="1" t="s">
        <v>9</v>
      </c>
      <c r="G681" s="2">
        <v>615.04</v>
      </c>
      <c r="H681" s="51" t="s">
        <v>750</v>
      </c>
      <c r="I681" s="44">
        <f>Tabla1[[#This Row],[Descuento]]+Tabla1[[#This Row],[Neto]]</f>
        <v>20911.364000000001</v>
      </c>
      <c r="J681" s="9">
        <v>8364.5439999999999</v>
      </c>
      <c r="K681" s="9">
        <v>12546.82</v>
      </c>
      <c r="L681" s="9">
        <v>3945.6624217600001</v>
      </c>
      <c r="M681" s="24">
        <f>+Tabla1[[#This Row],[Costo Venta]]/Tabla1[[#This Row],[Cantidad]]</f>
        <v>6.4152940000000003</v>
      </c>
      <c r="N681" s="3">
        <v>1</v>
      </c>
      <c r="O681" s="8">
        <f>+Tabla1[[#This Row],[Conversión]]*Tabla1[[#This Row],[Cantidad]]</f>
        <v>615.04</v>
      </c>
      <c r="P681" s="43">
        <f>Tabla1[[#This Row],[Neto]]-Tabla1[[#This Row],[Costo Venta]]</f>
        <v>8601.1575782399996</v>
      </c>
    </row>
    <row r="682" spans="1:16" x14ac:dyDescent="0.25">
      <c r="A682" s="48">
        <v>45260</v>
      </c>
      <c r="B682" s="1" t="s">
        <v>419</v>
      </c>
      <c r="C682" s="1" t="s">
        <v>214</v>
      </c>
      <c r="D682" s="1" t="s">
        <v>267</v>
      </c>
      <c r="E682" s="1" t="s">
        <v>71</v>
      </c>
      <c r="F682" s="1" t="s">
        <v>22</v>
      </c>
      <c r="G682" s="2">
        <v>118</v>
      </c>
      <c r="H682" s="51" t="s">
        <v>750</v>
      </c>
      <c r="I682" s="44">
        <f>Tabla1[[#This Row],[Descuento]]+Tabla1[[#This Row],[Neto]]</f>
        <v>4053.2999999999997</v>
      </c>
      <c r="J682" s="9">
        <v>810.66</v>
      </c>
      <c r="K682" s="9">
        <v>3242.64</v>
      </c>
      <c r="L682" s="9">
        <v>696.64828199999999</v>
      </c>
      <c r="M682" s="24">
        <f>+Tabla1[[#This Row],[Costo Venta]]/Tabla1[[#This Row],[Cantidad]]</f>
        <v>5.9037990000000002</v>
      </c>
      <c r="N682" s="3">
        <v>1</v>
      </c>
      <c r="O682" s="8">
        <f>+Tabla1[[#This Row],[Conversión]]*Tabla1[[#This Row],[Cantidad]]</f>
        <v>118</v>
      </c>
      <c r="P682" s="43">
        <f>Tabla1[[#This Row],[Neto]]-Tabla1[[#This Row],[Costo Venta]]</f>
        <v>2545.9917179999998</v>
      </c>
    </row>
    <row r="683" spans="1:16" x14ac:dyDescent="0.25">
      <c r="A683" s="48">
        <v>45422</v>
      </c>
      <c r="B683" s="1" t="s">
        <v>419</v>
      </c>
      <c r="C683" s="1" t="s">
        <v>65</v>
      </c>
      <c r="D683" s="1" t="s">
        <v>704</v>
      </c>
      <c r="E683" s="1" t="s">
        <v>71</v>
      </c>
      <c r="F683" s="1" t="s">
        <v>705</v>
      </c>
      <c r="G683" s="2">
        <v>10.01</v>
      </c>
      <c r="H683" s="51" t="s">
        <v>750</v>
      </c>
      <c r="I683" s="44">
        <f>Tabla1[[#This Row],[Descuento]]+Tabla1[[#This Row],[Neto]]</f>
        <v>343.84305000000001</v>
      </c>
      <c r="J683" s="9">
        <v>103.15304999999999</v>
      </c>
      <c r="K683" s="9">
        <v>240.69</v>
      </c>
      <c r="L683" s="9">
        <v>50.512832369999998</v>
      </c>
      <c r="M683" s="24">
        <f>+Tabla1[[#This Row],[Costo Venta]]/Tabla1[[#This Row],[Cantidad]]</f>
        <v>5.0462369999999996</v>
      </c>
      <c r="N683" s="3">
        <v>1</v>
      </c>
      <c r="O683" s="8">
        <f>+Tabla1[[#This Row],[Conversión]]*Tabla1[[#This Row],[Cantidad]]</f>
        <v>10.01</v>
      </c>
      <c r="P683" s="43">
        <f>Tabla1[[#This Row],[Neto]]-Tabla1[[#This Row],[Costo Venta]]</f>
        <v>190.17716762999999</v>
      </c>
    </row>
    <row r="684" spans="1:16" x14ac:dyDescent="0.25">
      <c r="A684" s="48">
        <v>45450</v>
      </c>
      <c r="B684" s="1" t="s">
        <v>419</v>
      </c>
      <c r="C684" s="1" t="s">
        <v>65</v>
      </c>
      <c r="D684" s="1" t="s">
        <v>753</v>
      </c>
      <c r="E684" s="1" t="s">
        <v>71</v>
      </c>
      <c r="F684" s="1" t="s">
        <v>31</v>
      </c>
      <c r="G684" s="2">
        <v>122</v>
      </c>
      <c r="H684" s="51" t="s">
        <v>750</v>
      </c>
      <c r="I684" s="44">
        <f>Tabla1[[#This Row],[Descuento]]+Tabla1[[#This Row],[Neto]]</f>
        <v>4190.7049999999999</v>
      </c>
      <c r="J684" s="9">
        <v>1466.7449999999999</v>
      </c>
      <c r="K684" s="9">
        <v>2723.96</v>
      </c>
      <c r="L684" s="9">
        <v>602.560562</v>
      </c>
      <c r="M684" s="24">
        <f>+Tabla1[[#This Row],[Costo Venta]]/Tabla1[[#This Row],[Cantidad]]</f>
        <v>4.9390210000000003</v>
      </c>
      <c r="N684" s="3">
        <v>1</v>
      </c>
      <c r="O684" s="8">
        <f>+Tabla1[[#This Row],[Conversión]]*Tabla1[[#This Row],[Cantidad]]</f>
        <v>122</v>
      </c>
      <c r="P684" s="43">
        <f>Tabla1[[#This Row],[Neto]]-Tabla1[[#This Row],[Costo Venta]]</f>
        <v>2121.3994379999999</v>
      </c>
    </row>
    <row r="685" spans="1:16" x14ac:dyDescent="0.25">
      <c r="A685" s="48">
        <v>45478</v>
      </c>
      <c r="B685" s="1" t="s">
        <v>419</v>
      </c>
      <c r="C685" s="1" t="s">
        <v>65</v>
      </c>
      <c r="D685" s="1" t="s">
        <v>754</v>
      </c>
      <c r="E685" s="1" t="s">
        <v>71</v>
      </c>
      <c r="F685" s="1" t="s">
        <v>31</v>
      </c>
      <c r="G685" s="2">
        <v>27.28</v>
      </c>
      <c r="H685" s="51" t="s">
        <v>750</v>
      </c>
      <c r="I685" s="44">
        <f>Tabla1[[#This Row],[Descuento]]+Tabla1[[#This Row],[Neto]]</f>
        <v>937.07380000000001</v>
      </c>
      <c r="J685" s="9">
        <v>327.97379999999998</v>
      </c>
      <c r="K685" s="9">
        <v>609.1</v>
      </c>
      <c r="L685" s="9">
        <v>113.01241951999999</v>
      </c>
      <c r="M685" s="24">
        <f>+Tabla1[[#This Row],[Costo Venta]]/Tabla1[[#This Row],[Cantidad]]</f>
        <v>4.142684</v>
      </c>
      <c r="N685" s="3">
        <v>1</v>
      </c>
      <c r="O685" s="8">
        <f>+Tabla1[[#This Row],[Conversión]]*Tabla1[[#This Row],[Cantidad]]</f>
        <v>27.28</v>
      </c>
      <c r="P685" s="43">
        <f>Tabla1[[#This Row],[Neto]]-Tabla1[[#This Row],[Costo Venta]]</f>
        <v>496.08758048000004</v>
      </c>
    </row>
    <row r="686" spans="1:16" x14ac:dyDescent="0.25">
      <c r="A686" s="48">
        <v>45575</v>
      </c>
      <c r="B686" s="1" t="s">
        <v>419</v>
      </c>
      <c r="C686" s="1" t="s">
        <v>143</v>
      </c>
      <c r="D686" s="1" t="s">
        <v>337</v>
      </c>
      <c r="E686" s="1" t="s">
        <v>137</v>
      </c>
      <c r="F686" s="1" t="s">
        <v>38</v>
      </c>
      <c r="G686" s="2">
        <v>7.0000000000000007E-2</v>
      </c>
      <c r="H686" s="51" t="s">
        <v>750</v>
      </c>
      <c r="I686" s="44">
        <f>Tabla1[[#This Row],[Descuento]]+Tabla1[[#This Row],[Neto]]</f>
        <v>2.4045000000000001</v>
      </c>
      <c r="J686" s="9">
        <v>2.4045000000000001</v>
      </c>
      <c r="K686" s="9">
        <v>0</v>
      </c>
      <c r="L686" s="9">
        <v>0.29940988000000002</v>
      </c>
      <c r="M686" s="24">
        <f>+Tabla1[[#This Row],[Costo Venta]]/Tabla1[[#This Row],[Cantidad]]</f>
        <v>4.2772839999999999</v>
      </c>
      <c r="N686" s="3">
        <v>1</v>
      </c>
      <c r="O686" s="8">
        <f>+Tabla1[[#This Row],[Conversión]]*Tabla1[[#This Row],[Cantidad]]</f>
        <v>7.0000000000000007E-2</v>
      </c>
      <c r="P686" s="43">
        <f>Tabla1[[#This Row],[Neto]]-Tabla1[[#This Row],[Costo Venta]]</f>
        <v>-0.29940988000000002</v>
      </c>
    </row>
    <row r="687" spans="1:16" x14ac:dyDescent="0.25">
      <c r="A687" s="48">
        <v>45603</v>
      </c>
      <c r="B687" s="1" t="s">
        <v>419</v>
      </c>
      <c r="C687" s="1" t="s">
        <v>65</v>
      </c>
      <c r="D687" s="1" t="s">
        <v>744</v>
      </c>
      <c r="E687" s="1" t="s">
        <v>67</v>
      </c>
      <c r="F687" s="1" t="s">
        <v>9</v>
      </c>
      <c r="G687" s="2">
        <v>44.02</v>
      </c>
      <c r="H687" s="51" t="s">
        <v>750</v>
      </c>
      <c r="I687" s="44">
        <f>Tabla1[[#This Row],[Descuento]]+Tabla1[[#This Row],[Neto]]</f>
        <v>1512.08915</v>
      </c>
      <c r="J687" s="9">
        <v>680.43915000000004</v>
      </c>
      <c r="K687" s="9">
        <v>831.65</v>
      </c>
      <c r="L687" s="9">
        <v>187.21023690000001</v>
      </c>
      <c r="M687" s="24">
        <f>+Tabla1[[#This Row],[Costo Venta]]/Tabla1[[#This Row],[Cantidad]]</f>
        <v>4.2528449999999998</v>
      </c>
      <c r="N687" s="3">
        <v>1</v>
      </c>
      <c r="O687" s="8">
        <f>+Tabla1[[#This Row],[Conversión]]*Tabla1[[#This Row],[Cantidad]]</f>
        <v>44.02</v>
      </c>
      <c r="P687" s="43">
        <f>Tabla1[[#This Row],[Neto]]-Tabla1[[#This Row],[Costo Venta]]</f>
        <v>644.43976309999994</v>
      </c>
    </row>
    <row r="688" spans="1:16" x14ac:dyDescent="0.25">
      <c r="A688" s="48">
        <v>45604</v>
      </c>
      <c r="B688" s="1" t="s">
        <v>419</v>
      </c>
      <c r="C688" s="1" t="s">
        <v>65</v>
      </c>
      <c r="D688" s="1" t="s">
        <v>341</v>
      </c>
      <c r="E688" s="1" t="s">
        <v>67</v>
      </c>
      <c r="F688" s="1" t="s">
        <v>34</v>
      </c>
      <c r="G688" s="2">
        <v>1</v>
      </c>
      <c r="H688" s="51" t="s">
        <v>750</v>
      </c>
      <c r="I688" s="44">
        <f>Tabla1[[#This Row],[Descuento]]+Tabla1[[#This Row],[Neto]]</f>
        <v>34.352499999999999</v>
      </c>
      <c r="J688" s="9">
        <v>12.022500000000001</v>
      </c>
      <c r="K688" s="9">
        <v>22.33</v>
      </c>
      <c r="L688" s="9">
        <v>4.2528449999999998</v>
      </c>
      <c r="M688" s="24">
        <f>+Tabla1[[#This Row],[Costo Venta]]/Tabla1[[#This Row],[Cantidad]]</f>
        <v>4.2528449999999998</v>
      </c>
      <c r="N688" s="3">
        <v>1</v>
      </c>
      <c r="O688" s="8">
        <f>+Tabla1[[#This Row],[Conversión]]*Tabla1[[#This Row],[Cantidad]]</f>
        <v>1</v>
      </c>
      <c r="P688" s="43">
        <f>Tabla1[[#This Row],[Neto]]-Tabla1[[#This Row],[Costo Venta]]</f>
        <v>18.077154999999998</v>
      </c>
    </row>
    <row r="689" spans="1:16" x14ac:dyDescent="0.25">
      <c r="A689" s="48">
        <v>45674</v>
      </c>
      <c r="B689" s="1" t="s">
        <v>419</v>
      </c>
      <c r="C689" s="1" t="s">
        <v>65</v>
      </c>
      <c r="D689" s="1" t="s">
        <v>361</v>
      </c>
      <c r="E689" s="1" t="s">
        <v>137</v>
      </c>
      <c r="F689" s="1" t="s">
        <v>38</v>
      </c>
      <c r="G689" s="2">
        <v>52</v>
      </c>
      <c r="H689" s="51" t="s">
        <v>750</v>
      </c>
      <c r="I689" s="44">
        <f>Tabla1[[#This Row],[Descuento]]+Tabla1[[#This Row],[Neto]]</f>
        <v>1786.2</v>
      </c>
      <c r="J689" s="9">
        <v>267.93</v>
      </c>
      <c r="K689" s="9">
        <v>1518.27</v>
      </c>
      <c r="L689" s="9">
        <v>233.53678400000001</v>
      </c>
      <c r="M689" s="24">
        <f>+Tabla1[[#This Row],[Costo Venta]]/Tabla1[[#This Row],[Cantidad]]</f>
        <v>4.4910920000000001</v>
      </c>
      <c r="N689" s="3">
        <v>1</v>
      </c>
      <c r="O689" s="8">
        <f>+Tabla1[[#This Row],[Conversión]]*Tabla1[[#This Row],[Cantidad]]</f>
        <v>52</v>
      </c>
      <c r="P689" s="43">
        <f>Tabla1[[#This Row],[Neto]]-Tabla1[[#This Row],[Costo Venta]]</f>
        <v>1284.7332160000001</v>
      </c>
    </row>
    <row r="690" spans="1:16" x14ac:dyDescent="0.25">
      <c r="A690" s="48">
        <v>45721</v>
      </c>
      <c r="B690" s="1" t="s">
        <v>419</v>
      </c>
      <c r="C690" s="1" t="s">
        <v>65</v>
      </c>
      <c r="D690" s="1" t="s">
        <v>755</v>
      </c>
      <c r="E690" s="1" t="s">
        <v>137</v>
      </c>
      <c r="F690" s="1" t="s">
        <v>38</v>
      </c>
      <c r="G690" s="2">
        <v>3.1</v>
      </c>
      <c r="H690" s="51" t="s">
        <v>750</v>
      </c>
      <c r="I690" s="44">
        <f>Tabla1[[#This Row],[Descuento]]+Tabla1[[#This Row],[Neto]]</f>
        <v>106.49275</v>
      </c>
      <c r="J690" s="9">
        <v>15.97275</v>
      </c>
      <c r="K690" s="9">
        <v>90.52</v>
      </c>
      <c r="L690" s="9">
        <v>14.3306521</v>
      </c>
      <c r="M690" s="24">
        <f>+Tabla1[[#This Row],[Costo Venta]]/Tabla1[[#This Row],[Cantidad]]</f>
        <v>4.6227909999999994</v>
      </c>
      <c r="N690" s="3">
        <v>1</v>
      </c>
      <c r="O690" s="8">
        <f>+Tabla1[[#This Row],[Conversión]]*Tabla1[[#This Row],[Cantidad]]</f>
        <v>3.1</v>
      </c>
      <c r="P690" s="43">
        <f>Tabla1[[#This Row],[Neto]]-Tabla1[[#This Row],[Costo Venta]]</f>
        <v>76.189347900000001</v>
      </c>
    </row>
    <row r="691" spans="1:16" x14ac:dyDescent="0.25">
      <c r="A691" s="48">
        <v>45853</v>
      </c>
      <c r="B691" s="1" t="s">
        <v>419</v>
      </c>
      <c r="C691" s="1" t="s">
        <v>65</v>
      </c>
      <c r="D691" s="1" t="s">
        <v>756</v>
      </c>
      <c r="E691" s="1" t="s">
        <v>67</v>
      </c>
      <c r="F691" s="1" t="s">
        <v>9</v>
      </c>
      <c r="G691" s="2">
        <v>3.1</v>
      </c>
      <c r="H691" s="51" t="s">
        <v>750</v>
      </c>
      <c r="I691" s="44">
        <f>Tabla1[[#This Row],[Descuento]]+Tabla1[[#This Row],[Neto]]</f>
        <v>106.47825</v>
      </c>
      <c r="J691" s="9">
        <v>47.91825</v>
      </c>
      <c r="K691" s="9">
        <v>58.56</v>
      </c>
      <c r="L691" s="9">
        <v>14.3306521</v>
      </c>
      <c r="M691" s="24">
        <f>+Tabla1[[#This Row],[Costo Venta]]/Tabla1[[#This Row],[Cantidad]]</f>
        <v>4.6227909999999994</v>
      </c>
      <c r="N691" s="3">
        <v>1</v>
      </c>
      <c r="O691" s="8">
        <f>+Tabla1[[#This Row],[Conversión]]*Tabla1[[#This Row],[Cantidad]]</f>
        <v>3.1</v>
      </c>
      <c r="P691" s="43">
        <f>Tabla1[[#This Row],[Neto]]-Tabla1[[#This Row],[Costo Venta]]</f>
        <v>44.2293479</v>
      </c>
    </row>
    <row r="692" spans="1:16" x14ac:dyDescent="0.25">
      <c r="A692" s="48">
        <v>45895</v>
      </c>
      <c r="B692" s="1" t="s">
        <v>419</v>
      </c>
      <c r="C692" s="1" t="s">
        <v>65</v>
      </c>
      <c r="D692" s="1" t="s">
        <v>395</v>
      </c>
      <c r="E692" s="1" t="s">
        <v>67</v>
      </c>
      <c r="F692" s="1" t="s">
        <v>34</v>
      </c>
      <c r="G692" s="2">
        <v>2</v>
      </c>
      <c r="H692" s="51" t="s">
        <v>750</v>
      </c>
      <c r="I692" s="44">
        <f>Tabla1[[#This Row],[Descuento]]+Tabla1[[#This Row],[Neto]]</f>
        <v>68.7</v>
      </c>
      <c r="J692" s="9">
        <v>0</v>
      </c>
      <c r="K692" s="9">
        <v>68.7</v>
      </c>
      <c r="L692" s="9">
        <v>9.2455820000000006</v>
      </c>
      <c r="M692" s="24">
        <f>+Tabla1[[#This Row],[Costo Venta]]/Tabla1[[#This Row],[Cantidad]]</f>
        <v>4.6227910000000003</v>
      </c>
      <c r="N692" s="3">
        <v>1</v>
      </c>
      <c r="O692" s="8">
        <f>+Tabla1[[#This Row],[Conversión]]*Tabla1[[#This Row],[Cantidad]]</f>
        <v>2</v>
      </c>
      <c r="P692" s="43">
        <f>Tabla1[[#This Row],[Neto]]-Tabla1[[#This Row],[Costo Venta]]</f>
        <v>59.454418000000004</v>
      </c>
    </row>
    <row r="693" spans="1:16" x14ac:dyDescent="0.25">
      <c r="A693" s="48">
        <v>45793</v>
      </c>
      <c r="B693" s="1" t="s">
        <v>757</v>
      </c>
      <c r="C693" s="1" t="s">
        <v>65</v>
      </c>
      <c r="D693" s="1" t="s">
        <v>758</v>
      </c>
      <c r="E693" s="1" t="s">
        <v>67</v>
      </c>
      <c r="F693" s="1" t="s">
        <v>9</v>
      </c>
      <c r="G693" s="2">
        <v>30.1</v>
      </c>
      <c r="H693" s="1" t="s">
        <v>759</v>
      </c>
      <c r="I693" s="44">
        <f>Tabla1[[#This Row],[Descuento]]+Tabla1[[#This Row],[Neto]]</f>
        <v>1170.2896000000001</v>
      </c>
      <c r="J693" s="9">
        <v>526.62959999999998</v>
      </c>
      <c r="K693" s="9">
        <v>643.66</v>
      </c>
      <c r="L693" s="9">
        <v>17.948509600000001</v>
      </c>
      <c r="M693" s="24">
        <f>+Tabla1[[#This Row],[Costo Venta]]/Tabla1[[#This Row],[Cantidad]]</f>
        <v>0.59629600000000005</v>
      </c>
      <c r="N693" s="3">
        <v>1</v>
      </c>
      <c r="O693" s="8">
        <f>+Tabla1[[#This Row],[Conversión]]*Tabla1[[#This Row],[Cantidad]]</f>
        <v>30.1</v>
      </c>
      <c r="P693" s="43">
        <f>Tabla1[[#This Row],[Neto]]-Tabla1[[#This Row],[Costo Venta]]</f>
        <v>625.7114904</v>
      </c>
    </row>
    <row r="694" spans="1:16" x14ac:dyDescent="0.25">
      <c r="A694" s="48">
        <v>45623</v>
      </c>
      <c r="B694" s="1" t="s">
        <v>757</v>
      </c>
      <c r="C694" s="1" t="s">
        <v>65</v>
      </c>
      <c r="D694" s="1" t="s">
        <v>760</v>
      </c>
      <c r="E694" s="1" t="s">
        <v>67</v>
      </c>
      <c r="F694" s="1" t="s">
        <v>44</v>
      </c>
      <c r="G694" s="2">
        <v>24</v>
      </c>
      <c r="H694" s="51" t="s">
        <v>761</v>
      </c>
      <c r="I694" s="44">
        <f>Tabla1[[#This Row],[Descuento]]+Tabla1[[#This Row],[Neto]]</f>
        <v>824.40000000000009</v>
      </c>
      <c r="J694" s="9">
        <v>288.54000000000002</v>
      </c>
      <c r="K694" s="9">
        <v>535.86</v>
      </c>
      <c r="L694" s="9">
        <v>0</v>
      </c>
      <c r="M694" s="24">
        <f>+Tabla1[[#This Row],[Costo Venta]]/Tabla1[[#This Row],[Cantidad]]</f>
        <v>0</v>
      </c>
      <c r="N694" s="3">
        <v>1</v>
      </c>
      <c r="O694" s="8">
        <f>+Tabla1[[#This Row],[Conversión]]*Tabla1[[#This Row],[Cantidad]]</f>
        <v>24</v>
      </c>
      <c r="P694" s="43">
        <f>Tabla1[[#This Row],[Neto]]-Tabla1[[#This Row],[Costo Venta]]</f>
        <v>535.86</v>
      </c>
    </row>
    <row r="695" spans="1:16" x14ac:dyDescent="0.25">
      <c r="A695" s="48">
        <v>45644</v>
      </c>
      <c r="B695" s="1" t="s">
        <v>757</v>
      </c>
      <c r="C695" s="1" t="s">
        <v>65</v>
      </c>
      <c r="D695" s="1" t="s">
        <v>599</v>
      </c>
      <c r="E695" s="1" t="s">
        <v>67</v>
      </c>
      <c r="F695" s="1" t="s">
        <v>198</v>
      </c>
      <c r="G695" s="2">
        <v>9</v>
      </c>
      <c r="H695" s="51" t="s">
        <v>761</v>
      </c>
      <c r="I695" s="44">
        <f>Tabla1[[#This Row],[Descuento]]+Tabla1[[#This Row],[Neto]]</f>
        <v>309.15499999999997</v>
      </c>
      <c r="J695" s="9">
        <v>92.745000000000005</v>
      </c>
      <c r="K695" s="9">
        <v>216.41</v>
      </c>
      <c r="L695" s="9">
        <v>5.0312159999999997</v>
      </c>
      <c r="M695" s="24">
        <f>+Tabla1[[#This Row],[Costo Venta]]/Tabla1[[#This Row],[Cantidad]]</f>
        <v>0.55902399999999997</v>
      </c>
      <c r="N695" s="3">
        <v>1</v>
      </c>
      <c r="O695" s="8">
        <f>+Tabla1[[#This Row],[Conversión]]*Tabla1[[#This Row],[Cantidad]]</f>
        <v>9</v>
      </c>
      <c r="P695" s="43">
        <f>Tabla1[[#This Row],[Neto]]-Tabla1[[#This Row],[Costo Venta]]</f>
        <v>211.378784</v>
      </c>
    </row>
    <row r="696" spans="1:16" x14ac:dyDescent="0.25">
      <c r="A696" s="48">
        <v>45722</v>
      </c>
      <c r="B696" s="1" t="s">
        <v>757</v>
      </c>
      <c r="C696" s="1" t="s">
        <v>65</v>
      </c>
      <c r="D696" s="1" t="s">
        <v>762</v>
      </c>
      <c r="E696" s="1" t="s">
        <v>71</v>
      </c>
      <c r="F696" s="1" t="s">
        <v>763</v>
      </c>
      <c r="G696" s="2">
        <v>17.5</v>
      </c>
      <c r="H696" s="51" t="s">
        <v>761</v>
      </c>
      <c r="I696" s="44">
        <f>Tabla1[[#This Row],[Descuento]]+Tabla1[[#This Row],[Neto]]</f>
        <v>601.13249999999994</v>
      </c>
      <c r="J696" s="9">
        <v>60.112499999999997</v>
      </c>
      <c r="K696" s="9">
        <v>541.02</v>
      </c>
      <c r="L696" s="9">
        <v>9.0102600000000006</v>
      </c>
      <c r="M696" s="24">
        <f>+Tabla1[[#This Row],[Costo Venta]]/Tabla1[[#This Row],[Cantidad]]</f>
        <v>0.514872</v>
      </c>
      <c r="N696" s="3">
        <v>1</v>
      </c>
      <c r="O696" s="8">
        <f>+Tabla1[[#This Row],[Conversión]]*Tabla1[[#This Row],[Cantidad]]</f>
        <v>17.5</v>
      </c>
      <c r="P696" s="43">
        <f>Tabla1[[#This Row],[Neto]]-Tabla1[[#This Row],[Costo Venta]]</f>
        <v>532.00973999999997</v>
      </c>
    </row>
    <row r="697" spans="1:16" x14ac:dyDescent="0.25">
      <c r="A697" s="48">
        <v>44931</v>
      </c>
      <c r="B697" s="1" t="s">
        <v>764</v>
      </c>
      <c r="C697" s="1" t="s">
        <v>115</v>
      </c>
      <c r="D697" s="1" t="s">
        <v>765</v>
      </c>
      <c r="E697" s="1" t="s">
        <v>71</v>
      </c>
      <c r="F697" s="1" t="s">
        <v>766</v>
      </c>
      <c r="G697" s="2">
        <v>10.08</v>
      </c>
      <c r="H697" s="51" t="s">
        <v>767</v>
      </c>
      <c r="I697" s="44">
        <f>Tabla1[[#This Row],[Descuento]]+Tabla1[[#This Row],[Neto]]</f>
        <v>423.36400000000003</v>
      </c>
      <c r="J697" s="9">
        <v>63.503999999999998</v>
      </c>
      <c r="K697" s="9">
        <v>359.86</v>
      </c>
      <c r="L697" s="9">
        <v>71.808004800000006</v>
      </c>
      <c r="M697" s="24">
        <f>+Tabla1[[#This Row],[Costo Venta]]/Tabla1[[#This Row],[Cantidad]]</f>
        <v>7.1238100000000006</v>
      </c>
      <c r="N697" s="3">
        <v>1</v>
      </c>
      <c r="O697" s="8">
        <f>+Tabla1[[#This Row],[Conversión]]*Tabla1[[#This Row],[Cantidad]]</f>
        <v>10.08</v>
      </c>
      <c r="P697" s="43">
        <f>Tabla1[[#This Row],[Neto]]-Tabla1[[#This Row],[Costo Venta]]</f>
        <v>288.05199520000002</v>
      </c>
    </row>
    <row r="698" spans="1:16" x14ac:dyDescent="0.25">
      <c r="A698" s="48">
        <v>45054</v>
      </c>
      <c r="B698" s="1" t="s">
        <v>764</v>
      </c>
      <c r="C698" s="1" t="s">
        <v>81</v>
      </c>
      <c r="D698" s="1" t="s">
        <v>176</v>
      </c>
      <c r="E698" s="1" t="s">
        <v>71</v>
      </c>
      <c r="F698" s="1" t="s">
        <v>177</v>
      </c>
      <c r="G698" s="2">
        <v>5.18</v>
      </c>
      <c r="H698" s="51" t="s">
        <v>767</v>
      </c>
      <c r="I698" s="44">
        <f>Tabla1[[#This Row],[Descuento]]+Tabla1[[#This Row],[Neto]]</f>
        <v>217.55799999999999</v>
      </c>
      <c r="J698" s="9">
        <v>10.878</v>
      </c>
      <c r="K698" s="9">
        <v>206.68</v>
      </c>
      <c r="L698" s="9">
        <v>38.993890039999997</v>
      </c>
      <c r="M698" s="24">
        <f>+Tabla1[[#This Row],[Costo Venta]]/Tabla1[[#This Row],[Cantidad]]</f>
        <v>7.5277779999999996</v>
      </c>
      <c r="N698" s="3">
        <v>1</v>
      </c>
      <c r="O698" s="8">
        <f>+Tabla1[[#This Row],[Conversión]]*Tabla1[[#This Row],[Cantidad]]</f>
        <v>5.18</v>
      </c>
      <c r="P698" s="43">
        <f>Tabla1[[#This Row],[Neto]]-Tabla1[[#This Row],[Costo Venta]]</f>
        <v>167.68610996000001</v>
      </c>
    </row>
    <row r="699" spans="1:16" x14ac:dyDescent="0.25">
      <c r="A699" s="48">
        <v>45141</v>
      </c>
      <c r="B699" s="1" t="s">
        <v>764</v>
      </c>
      <c r="C699" s="1" t="s">
        <v>81</v>
      </c>
      <c r="D699" s="1" t="s">
        <v>768</v>
      </c>
      <c r="E699" s="1" t="s">
        <v>71</v>
      </c>
      <c r="F699" s="1" t="s">
        <v>769</v>
      </c>
      <c r="G699" s="2">
        <v>1.8</v>
      </c>
      <c r="H699" s="51" t="s">
        <v>767</v>
      </c>
      <c r="I699" s="44">
        <f>Tabla1[[#This Row],[Descuento]]+Tabla1[[#This Row],[Neto]]</f>
        <v>75.599999999999994</v>
      </c>
      <c r="J699" s="9">
        <v>0</v>
      </c>
      <c r="K699" s="9">
        <v>75.599999999999994</v>
      </c>
      <c r="L699" s="9">
        <v>13.202999999999999</v>
      </c>
      <c r="M699" s="24">
        <f>+Tabla1[[#This Row],[Costo Venta]]/Tabla1[[#This Row],[Cantidad]]</f>
        <v>7.3349999999999991</v>
      </c>
      <c r="N699" s="3">
        <v>1</v>
      </c>
      <c r="O699" s="8">
        <f>+Tabla1[[#This Row],[Conversión]]*Tabla1[[#This Row],[Cantidad]]</f>
        <v>1.8</v>
      </c>
      <c r="P699" s="43">
        <f>Tabla1[[#This Row],[Neto]]-Tabla1[[#This Row],[Costo Venta]]</f>
        <v>62.396999999999991</v>
      </c>
    </row>
    <row r="700" spans="1:16" x14ac:dyDescent="0.25">
      <c r="A700" s="48">
        <v>45342</v>
      </c>
      <c r="B700" s="1" t="s">
        <v>764</v>
      </c>
      <c r="C700" s="1" t="s">
        <v>81</v>
      </c>
      <c r="D700" s="1" t="s">
        <v>288</v>
      </c>
      <c r="E700" s="1" t="s">
        <v>71</v>
      </c>
      <c r="F700" s="1" t="s">
        <v>289</v>
      </c>
      <c r="G700" s="2">
        <v>12</v>
      </c>
      <c r="H700" s="51" t="s">
        <v>767</v>
      </c>
      <c r="I700" s="44">
        <f>Tabla1[[#This Row],[Descuento]]+Tabla1[[#This Row],[Neto]]</f>
        <v>545.28200000000004</v>
      </c>
      <c r="J700" s="9">
        <v>81.792000000000002</v>
      </c>
      <c r="K700" s="9">
        <v>463.49</v>
      </c>
      <c r="L700" s="9">
        <v>77.716331999999994</v>
      </c>
      <c r="M700" s="24">
        <f>+Tabla1[[#This Row],[Costo Venta]]/Tabla1[[#This Row],[Cantidad]]</f>
        <v>6.4763609999999998</v>
      </c>
      <c r="N700" s="3">
        <v>1</v>
      </c>
      <c r="O700" s="8">
        <f>+Tabla1[[#This Row],[Conversión]]*Tabla1[[#This Row],[Cantidad]]</f>
        <v>12</v>
      </c>
      <c r="P700" s="43">
        <f>Tabla1[[#This Row],[Neto]]-Tabla1[[#This Row],[Costo Venta]]</f>
        <v>385.77366800000004</v>
      </c>
    </row>
    <row r="701" spans="1:16" x14ac:dyDescent="0.25">
      <c r="A701" s="48">
        <v>45406</v>
      </c>
      <c r="B701" s="1" t="s">
        <v>764</v>
      </c>
      <c r="C701" s="1" t="s">
        <v>81</v>
      </c>
      <c r="D701" s="1" t="s">
        <v>770</v>
      </c>
      <c r="E701" s="1" t="s">
        <v>71</v>
      </c>
      <c r="F701" s="1" t="s">
        <v>771</v>
      </c>
      <c r="G701" s="2">
        <v>1</v>
      </c>
      <c r="H701" s="51" t="s">
        <v>767</v>
      </c>
      <c r="I701" s="44">
        <f>Tabla1[[#This Row],[Descuento]]+Tabla1[[#This Row],[Neto]]</f>
        <v>38.880000000000003</v>
      </c>
      <c r="J701" s="9">
        <v>0</v>
      </c>
      <c r="K701" s="9">
        <v>38.880000000000003</v>
      </c>
      <c r="L701" s="9">
        <v>6.4763609999999998</v>
      </c>
      <c r="M701" s="24">
        <f>+Tabla1[[#This Row],[Costo Venta]]/Tabla1[[#This Row],[Cantidad]]</f>
        <v>6.4763609999999998</v>
      </c>
      <c r="N701" s="3">
        <v>1</v>
      </c>
      <c r="O701" s="8">
        <f>+Tabla1[[#This Row],[Conversión]]*Tabla1[[#This Row],[Cantidad]]</f>
        <v>1</v>
      </c>
      <c r="P701" s="43">
        <f>Tabla1[[#This Row],[Neto]]-Tabla1[[#This Row],[Costo Venta]]</f>
        <v>32.403639000000005</v>
      </c>
    </row>
    <row r="702" spans="1:16" x14ac:dyDescent="0.25">
      <c r="A702" s="48">
        <v>45421</v>
      </c>
      <c r="B702" s="1" t="s">
        <v>764</v>
      </c>
      <c r="C702" s="1" t="s">
        <v>81</v>
      </c>
      <c r="D702" s="1" t="s">
        <v>312</v>
      </c>
      <c r="E702" s="1" t="s">
        <v>71</v>
      </c>
      <c r="F702" s="1" t="s">
        <v>313</v>
      </c>
      <c r="G702" s="2">
        <v>20.399999999999999</v>
      </c>
      <c r="H702" s="51" t="s">
        <v>767</v>
      </c>
      <c r="I702" s="44">
        <f>Tabla1[[#This Row],[Descuento]]+Tabla1[[#This Row],[Neto]]</f>
        <v>793.14520000000005</v>
      </c>
      <c r="J702" s="9">
        <v>79.315200000000004</v>
      </c>
      <c r="K702" s="9">
        <v>713.83</v>
      </c>
      <c r="L702" s="9">
        <v>113.872086</v>
      </c>
      <c r="M702" s="24">
        <f>+Tabla1[[#This Row],[Costo Venta]]/Tabla1[[#This Row],[Cantidad]]</f>
        <v>5.5819650000000003</v>
      </c>
      <c r="N702" s="3">
        <v>1</v>
      </c>
      <c r="O702" s="8">
        <f>+Tabla1[[#This Row],[Conversión]]*Tabla1[[#This Row],[Cantidad]]</f>
        <v>20.399999999999999</v>
      </c>
      <c r="P702" s="43">
        <f>Tabla1[[#This Row],[Neto]]-Tabla1[[#This Row],[Costo Venta]]</f>
        <v>599.95791400000007</v>
      </c>
    </row>
    <row r="703" spans="1:16" x14ac:dyDescent="0.25">
      <c r="A703" s="48">
        <v>45460</v>
      </c>
      <c r="B703" s="1" t="s">
        <v>764</v>
      </c>
      <c r="C703" s="1" t="s">
        <v>65</v>
      </c>
      <c r="D703" s="1" t="s">
        <v>772</v>
      </c>
      <c r="E703" s="1" t="s">
        <v>71</v>
      </c>
      <c r="F703" s="1" t="s">
        <v>771</v>
      </c>
      <c r="G703" s="2">
        <v>1</v>
      </c>
      <c r="H703" s="51" t="s">
        <v>767</v>
      </c>
      <c r="I703" s="44">
        <f>Tabla1[[#This Row],[Descuento]]+Tabla1[[#This Row],[Neto]]</f>
        <v>38.880000000000003</v>
      </c>
      <c r="J703" s="9">
        <v>0</v>
      </c>
      <c r="K703" s="9">
        <v>38.880000000000003</v>
      </c>
      <c r="L703" s="9">
        <v>5.2327269999999997</v>
      </c>
      <c r="M703" s="24">
        <f>+Tabla1[[#This Row],[Costo Venta]]/Tabla1[[#This Row],[Cantidad]]</f>
        <v>5.2327269999999997</v>
      </c>
      <c r="N703" s="3">
        <v>1</v>
      </c>
      <c r="O703" s="8">
        <f>+Tabla1[[#This Row],[Conversión]]*Tabla1[[#This Row],[Cantidad]]</f>
        <v>1</v>
      </c>
      <c r="P703" s="43">
        <f>Tabla1[[#This Row],[Neto]]-Tabla1[[#This Row],[Costo Venta]]</f>
        <v>33.647273000000006</v>
      </c>
    </row>
    <row r="704" spans="1:16" x14ac:dyDescent="0.25">
      <c r="A704" s="48">
        <v>45863</v>
      </c>
      <c r="B704" s="1" t="s">
        <v>764</v>
      </c>
      <c r="C704" s="1" t="s">
        <v>65</v>
      </c>
      <c r="D704" s="1" t="s">
        <v>390</v>
      </c>
      <c r="E704" s="1" t="s">
        <v>71</v>
      </c>
      <c r="F704" s="1" t="s">
        <v>391</v>
      </c>
      <c r="G704" s="2">
        <v>125.67</v>
      </c>
      <c r="H704" s="51" t="s">
        <v>767</v>
      </c>
      <c r="I704" s="44">
        <f>Tabla1[[#This Row],[Descuento]]+Tabla1[[#This Row],[Neto]]</f>
        <v>4886.0499200000004</v>
      </c>
      <c r="J704" s="9">
        <v>977.20992000000001</v>
      </c>
      <c r="K704" s="9">
        <v>3908.84</v>
      </c>
      <c r="L704" s="9">
        <v>609.28774605000001</v>
      </c>
      <c r="M704" s="24">
        <f>+Tabla1[[#This Row],[Costo Venta]]/Tabla1[[#This Row],[Cantidad]]</f>
        <v>4.8483150000000004</v>
      </c>
      <c r="N704" s="3">
        <v>1</v>
      </c>
      <c r="O704" s="8">
        <f>+Tabla1[[#This Row],[Conversión]]*Tabla1[[#This Row],[Cantidad]]</f>
        <v>125.67</v>
      </c>
      <c r="P704" s="43">
        <f>Tabla1[[#This Row],[Neto]]-Tabla1[[#This Row],[Costo Venta]]</f>
        <v>3299.5522539500002</v>
      </c>
    </row>
    <row r="705" spans="1:16" x14ac:dyDescent="0.25">
      <c r="A705" s="48">
        <v>45869</v>
      </c>
      <c r="B705" s="1" t="s">
        <v>764</v>
      </c>
      <c r="C705" s="1" t="s">
        <v>65</v>
      </c>
      <c r="D705" s="1" t="s">
        <v>773</v>
      </c>
      <c r="E705" s="1" t="s">
        <v>71</v>
      </c>
      <c r="F705" s="1" t="s">
        <v>771</v>
      </c>
      <c r="G705" s="2">
        <v>1</v>
      </c>
      <c r="H705" s="51" t="s">
        <v>767</v>
      </c>
      <c r="I705" s="44">
        <f>Tabla1[[#This Row],[Descuento]]+Tabla1[[#This Row],[Neto]]</f>
        <v>38.880000000000003</v>
      </c>
      <c r="J705" s="9">
        <v>0</v>
      </c>
      <c r="K705" s="9">
        <v>38.880000000000003</v>
      </c>
      <c r="L705" s="9">
        <v>4.8483150000000004</v>
      </c>
      <c r="M705" s="24">
        <f>+Tabla1[[#This Row],[Costo Venta]]/Tabla1[[#This Row],[Cantidad]]</f>
        <v>4.8483150000000004</v>
      </c>
      <c r="N705" s="3">
        <v>1</v>
      </c>
      <c r="O705" s="8">
        <f>+Tabla1[[#This Row],[Conversión]]*Tabla1[[#This Row],[Cantidad]]</f>
        <v>1</v>
      </c>
      <c r="P705" s="43">
        <f>Tabla1[[#This Row],[Neto]]-Tabla1[[#This Row],[Costo Venta]]</f>
        <v>34.031685000000003</v>
      </c>
    </row>
    <row r="706" spans="1:16" x14ac:dyDescent="0.25">
      <c r="A706" s="48">
        <v>45054</v>
      </c>
      <c r="B706" s="1" t="s">
        <v>764</v>
      </c>
      <c r="C706" s="1" t="s">
        <v>81</v>
      </c>
      <c r="D706" s="1" t="s">
        <v>176</v>
      </c>
      <c r="E706" s="1" t="s">
        <v>71</v>
      </c>
      <c r="F706" s="1" t="s">
        <v>177</v>
      </c>
      <c r="G706" s="2">
        <v>7.92</v>
      </c>
      <c r="H706" s="51" t="s">
        <v>767</v>
      </c>
      <c r="I706" s="44">
        <f>Tabla1[[#This Row],[Descuento]]+Tabla1[[#This Row],[Neto]]</f>
        <v>356.4</v>
      </c>
      <c r="J706" s="9">
        <v>17.82</v>
      </c>
      <c r="K706" s="9">
        <v>338.58</v>
      </c>
      <c r="L706" s="9">
        <v>58.726799999999997</v>
      </c>
      <c r="M706" s="24">
        <f>+Tabla1[[#This Row],[Costo Venta]]/Tabla1[[#This Row],[Cantidad]]</f>
        <v>7.415</v>
      </c>
      <c r="N706" s="3">
        <v>1</v>
      </c>
      <c r="O706" s="8">
        <f>+Tabla1[[#This Row],[Conversión]]*Tabla1[[#This Row],[Cantidad]]</f>
        <v>7.92</v>
      </c>
      <c r="P706" s="43">
        <f>Tabla1[[#This Row],[Neto]]-Tabla1[[#This Row],[Costo Venta]]</f>
        <v>279.85320000000002</v>
      </c>
    </row>
    <row r="707" spans="1:16" x14ac:dyDescent="0.25">
      <c r="A707" s="48">
        <v>45141</v>
      </c>
      <c r="B707" s="1" t="s">
        <v>764</v>
      </c>
      <c r="C707" s="1" t="s">
        <v>81</v>
      </c>
      <c r="D707" s="1" t="s">
        <v>768</v>
      </c>
      <c r="E707" s="1" t="s">
        <v>71</v>
      </c>
      <c r="F707" s="1" t="s">
        <v>769</v>
      </c>
      <c r="G707" s="2">
        <v>1.2</v>
      </c>
      <c r="H707" s="51" t="s">
        <v>767</v>
      </c>
      <c r="I707" s="44">
        <f>Tabla1[[#This Row],[Descuento]]+Tabla1[[#This Row],[Neto]]</f>
        <v>54</v>
      </c>
      <c r="J707" s="9">
        <v>3.78</v>
      </c>
      <c r="K707" s="9">
        <v>50.22</v>
      </c>
      <c r="L707" s="9">
        <v>8.8019999999999996</v>
      </c>
      <c r="M707" s="24">
        <f>+Tabla1[[#This Row],[Costo Venta]]/Tabla1[[#This Row],[Cantidad]]</f>
        <v>7.335</v>
      </c>
      <c r="N707" s="3">
        <v>1</v>
      </c>
      <c r="O707" s="8">
        <f>+Tabla1[[#This Row],[Conversión]]*Tabla1[[#This Row],[Cantidad]]</f>
        <v>1.2</v>
      </c>
      <c r="P707" s="43">
        <f>Tabla1[[#This Row],[Neto]]-Tabla1[[#This Row],[Costo Venta]]</f>
        <v>41.417999999999999</v>
      </c>
    </row>
    <row r="708" spans="1:16" x14ac:dyDescent="0.25">
      <c r="A708" s="48">
        <v>45342</v>
      </c>
      <c r="B708" s="1" t="s">
        <v>764</v>
      </c>
      <c r="C708" s="1" t="s">
        <v>81</v>
      </c>
      <c r="D708" s="1" t="s">
        <v>288</v>
      </c>
      <c r="E708" s="1" t="s">
        <v>71</v>
      </c>
      <c r="F708" s="1" t="s">
        <v>289</v>
      </c>
      <c r="G708" s="2">
        <v>8</v>
      </c>
      <c r="H708" s="51" t="s">
        <v>767</v>
      </c>
      <c r="I708" s="44">
        <f>Tabla1[[#This Row],[Descuento]]+Tabla1[[#This Row],[Neto]]</f>
        <v>363.51800000000003</v>
      </c>
      <c r="J708" s="9">
        <v>54.527999999999999</v>
      </c>
      <c r="K708" s="9">
        <v>308.99</v>
      </c>
      <c r="L708" s="9">
        <v>50.561168000000002</v>
      </c>
      <c r="M708" s="24">
        <f>+Tabla1[[#This Row],[Costo Venta]]/Tabla1[[#This Row],[Cantidad]]</f>
        <v>6.3201460000000003</v>
      </c>
      <c r="N708" s="3">
        <v>1</v>
      </c>
      <c r="O708" s="8">
        <f>+Tabla1[[#This Row],[Conversión]]*Tabla1[[#This Row],[Cantidad]]</f>
        <v>8</v>
      </c>
      <c r="P708" s="43">
        <f>Tabla1[[#This Row],[Neto]]-Tabla1[[#This Row],[Costo Venta]]</f>
        <v>258.428832</v>
      </c>
    </row>
    <row r="709" spans="1:16" x14ac:dyDescent="0.25">
      <c r="A709" s="48">
        <v>45406</v>
      </c>
      <c r="B709" s="1" t="s">
        <v>764</v>
      </c>
      <c r="C709" s="1" t="s">
        <v>81</v>
      </c>
      <c r="D709" s="1" t="s">
        <v>770</v>
      </c>
      <c r="E709" s="1" t="s">
        <v>71</v>
      </c>
      <c r="F709" s="1" t="s">
        <v>771</v>
      </c>
      <c r="G709" s="2">
        <v>0.8</v>
      </c>
      <c r="H709" s="51" t="s">
        <v>767</v>
      </c>
      <c r="I709" s="44">
        <f>Tabla1[[#This Row],[Descuento]]+Tabla1[[#This Row],[Neto]]</f>
        <v>31.1</v>
      </c>
      <c r="J709" s="9">
        <v>0</v>
      </c>
      <c r="K709" s="9">
        <v>31.1</v>
      </c>
      <c r="L709" s="9">
        <v>4.8399479999999997</v>
      </c>
      <c r="M709" s="24">
        <f>+Tabla1[[#This Row],[Costo Venta]]/Tabla1[[#This Row],[Cantidad]]</f>
        <v>6.0499349999999996</v>
      </c>
      <c r="N709" s="3">
        <v>1</v>
      </c>
      <c r="O709" s="8">
        <f>+Tabla1[[#This Row],[Conversión]]*Tabla1[[#This Row],[Cantidad]]</f>
        <v>0.8</v>
      </c>
      <c r="P709" s="43">
        <f>Tabla1[[#This Row],[Neto]]-Tabla1[[#This Row],[Costo Venta]]</f>
        <v>26.260052000000002</v>
      </c>
    </row>
    <row r="710" spans="1:16" x14ac:dyDescent="0.25">
      <c r="A710" s="48">
        <v>45421</v>
      </c>
      <c r="B710" s="1" t="s">
        <v>764</v>
      </c>
      <c r="C710" s="1" t="s">
        <v>81</v>
      </c>
      <c r="D710" s="1" t="s">
        <v>312</v>
      </c>
      <c r="E710" s="1" t="s">
        <v>71</v>
      </c>
      <c r="F710" s="1" t="s">
        <v>313</v>
      </c>
      <c r="G710" s="2">
        <v>13.6</v>
      </c>
      <c r="H710" s="51" t="s">
        <v>767</v>
      </c>
      <c r="I710" s="44">
        <f>Tabla1[[#This Row],[Descuento]]+Tabla1[[#This Row],[Neto]]</f>
        <v>528.76679999999999</v>
      </c>
      <c r="J710" s="9">
        <v>52.876800000000003</v>
      </c>
      <c r="K710" s="9">
        <v>475.89</v>
      </c>
      <c r="L710" s="9">
        <v>80.2742176</v>
      </c>
      <c r="M710" s="24">
        <f>+Tabla1[[#This Row],[Costo Venta]]/Tabla1[[#This Row],[Cantidad]]</f>
        <v>5.9025160000000003</v>
      </c>
      <c r="N710" s="3">
        <v>1</v>
      </c>
      <c r="O710" s="8">
        <f>+Tabla1[[#This Row],[Conversión]]*Tabla1[[#This Row],[Cantidad]]</f>
        <v>13.6</v>
      </c>
      <c r="P710" s="43">
        <f>Tabla1[[#This Row],[Neto]]-Tabla1[[#This Row],[Costo Venta]]</f>
        <v>395.6157824</v>
      </c>
    </row>
    <row r="711" spans="1:16" x14ac:dyDescent="0.25">
      <c r="A711" s="48">
        <v>45460</v>
      </c>
      <c r="B711" s="1" t="s">
        <v>764</v>
      </c>
      <c r="C711" s="1" t="s">
        <v>65</v>
      </c>
      <c r="D711" s="1" t="s">
        <v>772</v>
      </c>
      <c r="E711" s="1" t="s">
        <v>71</v>
      </c>
      <c r="F711" s="1" t="s">
        <v>771</v>
      </c>
      <c r="G711" s="2">
        <v>0.8</v>
      </c>
      <c r="H711" s="51" t="s">
        <v>767</v>
      </c>
      <c r="I711" s="44">
        <f>Tabla1[[#This Row],[Descuento]]+Tabla1[[#This Row],[Neto]]</f>
        <v>31.1</v>
      </c>
      <c r="J711" s="9">
        <v>0</v>
      </c>
      <c r="K711" s="9">
        <v>31.1</v>
      </c>
      <c r="L711" s="9">
        <v>4.5250000000000004</v>
      </c>
      <c r="M711" s="24">
        <f>+Tabla1[[#This Row],[Costo Venta]]/Tabla1[[#This Row],[Cantidad]]</f>
        <v>5.65625</v>
      </c>
      <c r="N711" s="3">
        <v>1</v>
      </c>
      <c r="O711" s="8">
        <f>+Tabla1[[#This Row],[Conversión]]*Tabla1[[#This Row],[Cantidad]]</f>
        <v>0.8</v>
      </c>
      <c r="P711" s="43">
        <f>Tabla1[[#This Row],[Neto]]-Tabla1[[#This Row],[Costo Venta]]</f>
        <v>26.575000000000003</v>
      </c>
    </row>
    <row r="712" spans="1:16" x14ac:dyDescent="0.25">
      <c r="A712" s="48">
        <v>45863</v>
      </c>
      <c r="B712" s="1" t="s">
        <v>764</v>
      </c>
      <c r="C712" s="1" t="s">
        <v>65</v>
      </c>
      <c r="D712" s="1" t="s">
        <v>390</v>
      </c>
      <c r="E712" s="1" t="s">
        <v>71</v>
      </c>
      <c r="F712" s="1" t="s">
        <v>391</v>
      </c>
      <c r="G712" s="2">
        <v>115.1</v>
      </c>
      <c r="H712" s="51" t="s">
        <v>767</v>
      </c>
      <c r="I712" s="44">
        <f>Tabla1[[#This Row],[Descuento]]+Tabla1[[#This Row],[Neto]]</f>
        <v>4475.0875999999998</v>
      </c>
      <c r="J712" s="9">
        <v>895.01760000000002</v>
      </c>
      <c r="K712" s="9">
        <v>3580.07</v>
      </c>
      <c r="L712" s="9">
        <v>344.73762140000002</v>
      </c>
      <c r="M712" s="24">
        <f>+Tabla1[[#This Row],[Costo Venta]]/Tabla1[[#This Row],[Cantidad]]</f>
        <v>2.9951140000000005</v>
      </c>
      <c r="N712" s="3">
        <v>1</v>
      </c>
      <c r="O712" s="8">
        <f>+Tabla1[[#This Row],[Conversión]]*Tabla1[[#This Row],[Cantidad]]</f>
        <v>115.1</v>
      </c>
      <c r="P712" s="43">
        <f>Tabla1[[#This Row],[Neto]]-Tabla1[[#This Row],[Costo Venta]]</f>
        <v>3235.3323786000001</v>
      </c>
    </row>
    <row r="713" spans="1:16" x14ac:dyDescent="0.25">
      <c r="A713" s="48">
        <v>45869</v>
      </c>
      <c r="B713" s="1" t="s">
        <v>764</v>
      </c>
      <c r="C713" s="1" t="s">
        <v>65</v>
      </c>
      <c r="D713" s="1" t="s">
        <v>773</v>
      </c>
      <c r="E713" s="1" t="s">
        <v>71</v>
      </c>
      <c r="F713" s="1" t="s">
        <v>771</v>
      </c>
      <c r="G713" s="2">
        <v>0.6</v>
      </c>
      <c r="H713" s="51" t="s">
        <v>767</v>
      </c>
      <c r="I713" s="44">
        <f>Tabla1[[#This Row],[Descuento]]+Tabla1[[#This Row],[Neto]]</f>
        <v>23.33</v>
      </c>
      <c r="J713" s="9">
        <v>0</v>
      </c>
      <c r="K713" s="9">
        <v>23.33</v>
      </c>
      <c r="L713" s="9">
        <v>1.7790678</v>
      </c>
      <c r="M713" s="24">
        <f>+Tabla1[[#This Row],[Costo Venta]]/Tabla1[[#This Row],[Cantidad]]</f>
        <v>2.9651130000000001</v>
      </c>
      <c r="N713" s="3">
        <v>1</v>
      </c>
      <c r="O713" s="8">
        <f>+Tabla1[[#This Row],[Conversión]]*Tabla1[[#This Row],[Cantidad]]</f>
        <v>0.6</v>
      </c>
      <c r="P713" s="43">
        <f>Tabla1[[#This Row],[Neto]]-Tabla1[[#This Row],[Costo Venta]]</f>
        <v>21.550932199999998</v>
      </c>
    </row>
    <row r="714" spans="1:16" x14ac:dyDescent="0.25">
      <c r="A714" s="48">
        <v>45245</v>
      </c>
      <c r="B714" s="1" t="s">
        <v>757</v>
      </c>
      <c r="C714" s="1" t="s">
        <v>81</v>
      </c>
      <c r="D714" s="1" t="s">
        <v>774</v>
      </c>
      <c r="E714" s="1" t="s">
        <v>67</v>
      </c>
      <c r="F714" s="1" t="s">
        <v>9</v>
      </c>
      <c r="G714" s="2">
        <v>3</v>
      </c>
      <c r="H714" s="51" t="s">
        <v>775</v>
      </c>
      <c r="I714" s="44">
        <f>Tabla1[[#This Row],[Descuento]]+Tabla1[[#This Row],[Neto]]</f>
        <v>103.04750000000001</v>
      </c>
      <c r="J714" s="9">
        <v>36.067500000000003</v>
      </c>
      <c r="K714" s="9">
        <v>66.98</v>
      </c>
      <c r="L714" s="9">
        <v>21.642474</v>
      </c>
      <c r="M714" s="24">
        <f>+Tabla1[[#This Row],[Costo Venta]]/Tabla1[[#This Row],[Cantidad]]</f>
        <v>7.2141580000000003</v>
      </c>
      <c r="N714" s="3">
        <v>1</v>
      </c>
      <c r="O714" s="8">
        <f>+Tabla1[[#This Row],[Conversión]]*Tabla1[[#This Row],[Cantidad]]</f>
        <v>3</v>
      </c>
      <c r="P714" s="43">
        <f>Tabla1[[#This Row],[Neto]]-Tabla1[[#This Row],[Costo Venta]]</f>
        <v>45.337526000000004</v>
      </c>
    </row>
    <row r="715" spans="1:16" x14ac:dyDescent="0.25">
      <c r="A715" s="48">
        <v>45539</v>
      </c>
      <c r="B715" s="1" t="s">
        <v>757</v>
      </c>
      <c r="C715" s="1" t="s">
        <v>65</v>
      </c>
      <c r="D715" s="1" t="s">
        <v>776</v>
      </c>
      <c r="E715" s="1" t="s">
        <v>67</v>
      </c>
      <c r="F715" s="1" t="s">
        <v>9</v>
      </c>
      <c r="G715" s="2">
        <v>25.2</v>
      </c>
      <c r="H715" s="51" t="s">
        <v>775</v>
      </c>
      <c r="I715" s="44">
        <f>Tabla1[[#This Row],[Descuento]]+Tabla1[[#This Row],[Neto]]</f>
        <v>865.61899999999991</v>
      </c>
      <c r="J715" s="9">
        <v>389.529</v>
      </c>
      <c r="K715" s="9">
        <v>476.09</v>
      </c>
      <c r="L715" s="9">
        <v>136.119564</v>
      </c>
      <c r="M715" s="24">
        <f>+Tabla1[[#This Row],[Costo Venta]]/Tabla1[[#This Row],[Cantidad]]</f>
        <v>5.4015700000000004</v>
      </c>
      <c r="N715" s="3">
        <v>1</v>
      </c>
      <c r="O715" s="8">
        <f>+Tabla1[[#This Row],[Conversión]]*Tabla1[[#This Row],[Cantidad]]</f>
        <v>25.2</v>
      </c>
      <c r="P715" s="43">
        <f>Tabla1[[#This Row],[Neto]]-Tabla1[[#This Row],[Costo Venta]]</f>
        <v>339.97043599999995</v>
      </c>
    </row>
    <row r="716" spans="1:16" x14ac:dyDescent="0.25">
      <c r="A716" s="48">
        <v>45559</v>
      </c>
      <c r="B716" s="1" t="s">
        <v>757</v>
      </c>
      <c r="C716" s="1" t="s">
        <v>65</v>
      </c>
      <c r="D716" s="1" t="s">
        <v>777</v>
      </c>
      <c r="E716" s="1" t="s">
        <v>67</v>
      </c>
      <c r="F716" s="1" t="s">
        <v>9</v>
      </c>
      <c r="G716" s="2">
        <v>12.6</v>
      </c>
      <c r="H716" s="51" t="s">
        <v>775</v>
      </c>
      <c r="I716" s="44">
        <f>Tabla1[[#This Row],[Descuento]]+Tabla1[[#This Row],[Neto]]</f>
        <v>432.81450000000001</v>
      </c>
      <c r="J716" s="9">
        <v>194.7645</v>
      </c>
      <c r="K716" s="9">
        <v>238.05</v>
      </c>
      <c r="L716" s="9">
        <v>54.015519599999998</v>
      </c>
      <c r="M716" s="24">
        <f>+Tabla1[[#This Row],[Costo Venta]]/Tabla1[[#This Row],[Cantidad]]</f>
        <v>4.2869460000000004</v>
      </c>
      <c r="N716" s="3">
        <v>1</v>
      </c>
      <c r="O716" s="8">
        <f>+Tabla1[[#This Row],[Conversión]]*Tabla1[[#This Row],[Cantidad]]</f>
        <v>12.6</v>
      </c>
      <c r="P716" s="43">
        <f>Tabla1[[#This Row],[Neto]]-Tabla1[[#This Row],[Costo Venta]]</f>
        <v>184.03448040000001</v>
      </c>
    </row>
    <row r="717" spans="1:16" x14ac:dyDescent="0.25">
      <c r="A717" s="48">
        <v>45630</v>
      </c>
      <c r="B717" s="1" t="s">
        <v>757</v>
      </c>
      <c r="C717" s="1" t="s">
        <v>65</v>
      </c>
      <c r="D717" s="1" t="s">
        <v>778</v>
      </c>
      <c r="E717" s="1" t="s">
        <v>67</v>
      </c>
      <c r="F717" s="1" t="s">
        <v>9</v>
      </c>
      <c r="G717" s="2">
        <v>22</v>
      </c>
      <c r="H717" s="51" t="s">
        <v>775</v>
      </c>
      <c r="I717" s="44">
        <f>Tabla1[[#This Row],[Descuento]]+Tabla1[[#This Row],[Neto]]</f>
        <v>755.70499999999993</v>
      </c>
      <c r="J717" s="9">
        <v>340.065</v>
      </c>
      <c r="K717" s="9">
        <v>415.64</v>
      </c>
      <c r="L717" s="9">
        <v>80.552868000000004</v>
      </c>
      <c r="M717" s="24">
        <f>+Tabla1[[#This Row],[Costo Venta]]/Tabla1[[#This Row],[Cantidad]]</f>
        <v>3.6614940000000002</v>
      </c>
      <c r="N717" s="3">
        <v>1</v>
      </c>
      <c r="O717" s="8">
        <f>+Tabla1[[#This Row],[Conversión]]*Tabla1[[#This Row],[Cantidad]]</f>
        <v>22</v>
      </c>
      <c r="P717" s="43">
        <f>Tabla1[[#This Row],[Neto]]-Tabla1[[#This Row],[Costo Venta]]</f>
        <v>335.087132</v>
      </c>
    </row>
    <row r="718" spans="1:16" x14ac:dyDescent="0.25">
      <c r="A718" s="48">
        <v>45685</v>
      </c>
      <c r="B718" s="1" t="s">
        <v>757</v>
      </c>
      <c r="C718" s="1" t="s">
        <v>65</v>
      </c>
      <c r="D718" s="1" t="s">
        <v>366</v>
      </c>
      <c r="E718" s="1" t="s">
        <v>67</v>
      </c>
      <c r="F718" s="1" t="s">
        <v>365</v>
      </c>
      <c r="G718" s="2">
        <v>33</v>
      </c>
      <c r="H718" s="51" t="s">
        <v>775</v>
      </c>
      <c r="I718" s="44">
        <f>Tabla1[[#This Row],[Descuento]]+Tabla1[[#This Row],[Neto]]</f>
        <v>1133.5550000000001</v>
      </c>
      <c r="J718" s="9">
        <v>340.065</v>
      </c>
      <c r="K718" s="9">
        <v>793.49</v>
      </c>
      <c r="L718" s="9">
        <v>120.829302</v>
      </c>
      <c r="M718" s="24">
        <f>+Tabla1[[#This Row],[Costo Venta]]/Tabla1[[#This Row],[Cantidad]]</f>
        <v>3.6614939999999998</v>
      </c>
      <c r="N718" s="3">
        <v>1</v>
      </c>
      <c r="O718" s="8">
        <f>+Tabla1[[#This Row],[Conversión]]*Tabla1[[#This Row],[Cantidad]]</f>
        <v>33</v>
      </c>
      <c r="P718" s="43">
        <f>Tabla1[[#This Row],[Neto]]-Tabla1[[#This Row],[Costo Venta]]</f>
        <v>672.66069800000002</v>
      </c>
    </row>
    <row r="719" spans="1:16" x14ac:dyDescent="0.25">
      <c r="A719" s="48">
        <v>45713</v>
      </c>
      <c r="B719" s="1" t="s">
        <v>757</v>
      </c>
      <c r="C719" s="1" t="s">
        <v>65</v>
      </c>
      <c r="D719" s="1" t="s">
        <v>368</v>
      </c>
      <c r="E719" s="1" t="s">
        <v>67</v>
      </c>
      <c r="F719" s="1" t="s">
        <v>365</v>
      </c>
      <c r="G719" s="2">
        <v>1.5</v>
      </c>
      <c r="H719" s="51" t="s">
        <v>775</v>
      </c>
      <c r="I719" s="44">
        <f>Tabla1[[#This Row],[Descuento]]+Tabla1[[#This Row],[Neto]]</f>
        <v>51.517499999999998</v>
      </c>
      <c r="J719" s="9">
        <v>15.4575</v>
      </c>
      <c r="K719" s="9">
        <v>36.06</v>
      </c>
      <c r="L719" s="9">
        <v>5.4922409999999999</v>
      </c>
      <c r="M719" s="24">
        <f>+Tabla1[[#This Row],[Costo Venta]]/Tabla1[[#This Row],[Cantidad]]</f>
        <v>3.6614939999999998</v>
      </c>
      <c r="N719" s="3">
        <v>1</v>
      </c>
      <c r="O719" s="8">
        <f>+Tabla1[[#This Row],[Conversión]]*Tabla1[[#This Row],[Cantidad]]</f>
        <v>1.5</v>
      </c>
      <c r="P719" s="43">
        <f>Tabla1[[#This Row],[Neto]]-Tabla1[[#This Row],[Costo Venta]]</f>
        <v>30.567759000000002</v>
      </c>
    </row>
    <row r="720" spans="1:16" x14ac:dyDescent="0.25">
      <c r="A720" s="48">
        <v>45014</v>
      </c>
      <c r="B720" s="1" t="s">
        <v>757</v>
      </c>
      <c r="C720" s="1" t="s">
        <v>143</v>
      </c>
      <c r="D720" s="1" t="s">
        <v>779</v>
      </c>
      <c r="E720" s="1" t="s">
        <v>132</v>
      </c>
      <c r="F720" s="1" t="s">
        <v>185</v>
      </c>
      <c r="G720" s="2">
        <v>9</v>
      </c>
      <c r="H720" s="51" t="s">
        <v>780</v>
      </c>
      <c r="I720" s="44">
        <f>Tabla1[[#This Row],[Descuento]]+Tabla1[[#This Row],[Neto]]</f>
        <v>306</v>
      </c>
      <c r="J720" s="9">
        <v>0</v>
      </c>
      <c r="K720" s="9">
        <v>306</v>
      </c>
      <c r="L720" s="9">
        <v>45.369801000000002</v>
      </c>
      <c r="M720" s="24">
        <f>+Tabla1[[#This Row],[Costo Venta]]/Tabla1[[#This Row],[Cantidad]]</f>
        <v>5.0410890000000004</v>
      </c>
      <c r="N720" s="3">
        <v>1</v>
      </c>
      <c r="O720" s="8">
        <f>+Tabla1[[#This Row],[Conversión]]*Tabla1[[#This Row],[Cantidad]]</f>
        <v>9</v>
      </c>
      <c r="P720" s="43">
        <f>Tabla1[[#This Row],[Neto]]-Tabla1[[#This Row],[Costo Venta]]</f>
        <v>260.630199</v>
      </c>
    </row>
    <row r="721" spans="1:16" x14ac:dyDescent="0.25">
      <c r="A721" s="48">
        <v>45026</v>
      </c>
      <c r="B721" s="1" t="s">
        <v>757</v>
      </c>
      <c r="C721" s="1" t="s">
        <v>81</v>
      </c>
      <c r="D721" s="1" t="s">
        <v>158</v>
      </c>
      <c r="E721" s="1" t="s">
        <v>71</v>
      </c>
      <c r="F721" s="1" t="s">
        <v>159</v>
      </c>
      <c r="G721" s="2">
        <v>250</v>
      </c>
      <c r="H721" s="51" t="s">
        <v>780</v>
      </c>
      <c r="I721" s="44">
        <f>Tabla1[[#This Row],[Descuento]]+Tabla1[[#This Row],[Neto]]</f>
        <v>8500</v>
      </c>
      <c r="J721" s="9">
        <v>2278</v>
      </c>
      <c r="K721" s="9">
        <v>6222</v>
      </c>
      <c r="L721" s="9">
        <v>1260.0235</v>
      </c>
      <c r="M721" s="24">
        <f>+Tabla1[[#This Row],[Costo Venta]]/Tabla1[[#This Row],[Cantidad]]</f>
        <v>5.0400939999999999</v>
      </c>
      <c r="N721" s="3">
        <v>1</v>
      </c>
      <c r="O721" s="8">
        <f>+Tabla1[[#This Row],[Conversión]]*Tabla1[[#This Row],[Cantidad]]</f>
        <v>250</v>
      </c>
      <c r="P721" s="43">
        <f>Tabla1[[#This Row],[Neto]]-Tabla1[[#This Row],[Costo Venta]]</f>
        <v>4961.9764999999998</v>
      </c>
    </row>
    <row r="722" spans="1:16" x14ac:dyDescent="0.25">
      <c r="A722" s="48">
        <v>45111</v>
      </c>
      <c r="B722" s="1" t="s">
        <v>757</v>
      </c>
      <c r="C722" s="1" t="s">
        <v>81</v>
      </c>
      <c r="D722" s="1" t="s">
        <v>201</v>
      </c>
      <c r="E722" s="1" t="s">
        <v>71</v>
      </c>
      <c r="F722" s="1" t="s">
        <v>159</v>
      </c>
      <c r="G722" s="2">
        <v>20</v>
      </c>
      <c r="H722" s="51" t="s">
        <v>780</v>
      </c>
      <c r="I722" s="44">
        <f>Tabla1[[#This Row],[Descuento]]+Tabla1[[#This Row],[Neto]]</f>
        <v>680</v>
      </c>
      <c r="J722" s="9">
        <v>182.24</v>
      </c>
      <c r="K722" s="9">
        <v>497.76</v>
      </c>
      <c r="L722" s="9">
        <v>102.0067</v>
      </c>
      <c r="M722" s="24">
        <f>+Tabla1[[#This Row],[Costo Venta]]/Tabla1[[#This Row],[Cantidad]]</f>
        <v>5.1003349999999994</v>
      </c>
      <c r="N722" s="3">
        <v>1</v>
      </c>
      <c r="O722" s="8">
        <f>+Tabla1[[#This Row],[Conversión]]*Tabla1[[#This Row],[Cantidad]]</f>
        <v>20</v>
      </c>
      <c r="P722" s="43">
        <f>Tabla1[[#This Row],[Neto]]-Tabla1[[#This Row],[Costo Venta]]</f>
        <v>395.75329999999997</v>
      </c>
    </row>
    <row r="723" spans="1:16" x14ac:dyDescent="0.25">
      <c r="A723" s="48">
        <v>45161</v>
      </c>
      <c r="B723" s="1" t="s">
        <v>757</v>
      </c>
      <c r="C723" s="1" t="s">
        <v>214</v>
      </c>
      <c r="D723" s="1" t="s">
        <v>781</v>
      </c>
      <c r="E723" s="1" t="s">
        <v>71</v>
      </c>
      <c r="F723" s="1" t="s">
        <v>159</v>
      </c>
      <c r="G723" s="2">
        <v>6</v>
      </c>
      <c r="H723" s="51" t="s">
        <v>780</v>
      </c>
      <c r="I723" s="44">
        <f>Tabla1[[#This Row],[Descuento]]+Tabla1[[#This Row],[Neto]]</f>
        <v>206.1</v>
      </c>
      <c r="J723" s="9">
        <v>0</v>
      </c>
      <c r="K723" s="9">
        <v>206.1</v>
      </c>
      <c r="L723" s="9">
        <v>30.542088</v>
      </c>
      <c r="M723" s="24">
        <f>+Tabla1[[#This Row],[Costo Venta]]/Tabla1[[#This Row],[Cantidad]]</f>
        <v>5.0903479999999997</v>
      </c>
      <c r="N723" s="3">
        <v>1</v>
      </c>
      <c r="O723" s="8">
        <f>+Tabla1[[#This Row],[Conversión]]*Tabla1[[#This Row],[Cantidad]]</f>
        <v>6</v>
      </c>
      <c r="P723" s="43">
        <f>Tabla1[[#This Row],[Neto]]-Tabla1[[#This Row],[Costo Venta]]</f>
        <v>175.55791199999999</v>
      </c>
    </row>
    <row r="724" spans="1:16" x14ac:dyDescent="0.25">
      <c r="A724" s="48">
        <v>45218</v>
      </c>
      <c r="B724" s="1" t="s">
        <v>757</v>
      </c>
      <c r="C724" s="1" t="s">
        <v>29</v>
      </c>
      <c r="D724" s="1" t="s">
        <v>782</v>
      </c>
      <c r="E724" s="1" t="s">
        <v>67</v>
      </c>
      <c r="F724" s="1" t="s">
        <v>9</v>
      </c>
      <c r="G724" s="2">
        <v>48</v>
      </c>
      <c r="H724" s="51" t="s">
        <v>780</v>
      </c>
      <c r="I724" s="44">
        <f>Tabla1[[#This Row],[Descuento]]+Tabla1[[#This Row],[Neto]]</f>
        <v>1648.8</v>
      </c>
      <c r="J724" s="9">
        <v>0</v>
      </c>
      <c r="K724" s="9">
        <v>1648.8</v>
      </c>
      <c r="L724" s="9">
        <v>240.319008</v>
      </c>
      <c r="M724" s="24">
        <f>+Tabla1[[#This Row],[Costo Venta]]/Tabla1[[#This Row],[Cantidad]]</f>
        <v>5.0066459999999999</v>
      </c>
      <c r="N724" s="3">
        <v>1</v>
      </c>
      <c r="O724" s="8">
        <f>+Tabla1[[#This Row],[Conversión]]*Tabla1[[#This Row],[Cantidad]]</f>
        <v>48</v>
      </c>
      <c r="P724" s="43">
        <f>Tabla1[[#This Row],[Neto]]-Tabla1[[#This Row],[Costo Venta]]</f>
        <v>1408.480992</v>
      </c>
    </row>
    <row r="725" spans="1:16" x14ac:dyDescent="0.25">
      <c r="A725" s="48">
        <v>45225</v>
      </c>
      <c r="B725" s="1" t="s">
        <v>757</v>
      </c>
      <c r="C725" s="1" t="s">
        <v>81</v>
      </c>
      <c r="D725" s="1" t="s">
        <v>783</v>
      </c>
      <c r="E725" s="1" t="s">
        <v>67</v>
      </c>
      <c r="F725" s="1" t="s">
        <v>9</v>
      </c>
      <c r="G725" s="2">
        <v>107</v>
      </c>
      <c r="H725" s="51" t="s">
        <v>780</v>
      </c>
      <c r="I725" s="44">
        <f>Tabla1[[#This Row],[Descuento]]+Tabla1[[#This Row],[Neto]]</f>
        <v>3675.45</v>
      </c>
      <c r="J725" s="9">
        <v>1470.18</v>
      </c>
      <c r="K725" s="9">
        <v>2205.27</v>
      </c>
      <c r="L725" s="9">
        <v>535.71112200000005</v>
      </c>
      <c r="M725" s="24">
        <f>+Tabla1[[#This Row],[Costo Venta]]/Tabla1[[#This Row],[Cantidad]]</f>
        <v>5.0066460000000008</v>
      </c>
      <c r="N725" s="3">
        <v>1</v>
      </c>
      <c r="O725" s="8">
        <f>+Tabla1[[#This Row],[Conversión]]*Tabla1[[#This Row],[Cantidad]]</f>
        <v>107</v>
      </c>
      <c r="P725" s="43">
        <f>Tabla1[[#This Row],[Neto]]-Tabla1[[#This Row],[Costo Venta]]</f>
        <v>1669.5588779999998</v>
      </c>
    </row>
    <row r="726" spans="1:16" x14ac:dyDescent="0.25">
      <c r="A726" s="48">
        <v>45266</v>
      </c>
      <c r="B726" s="1" t="s">
        <v>757</v>
      </c>
      <c r="C726" s="1" t="s">
        <v>29</v>
      </c>
      <c r="D726" s="1" t="s">
        <v>784</v>
      </c>
      <c r="E726" s="1" t="s">
        <v>67</v>
      </c>
      <c r="F726" s="1" t="s">
        <v>9</v>
      </c>
      <c r="G726" s="2">
        <v>23.4</v>
      </c>
      <c r="H726" s="51" t="s">
        <v>780</v>
      </c>
      <c r="I726" s="44">
        <f>Tabla1[[#This Row],[Descuento]]+Tabla1[[#This Row],[Neto]]</f>
        <v>803.78600000000006</v>
      </c>
      <c r="J726" s="9">
        <v>321.51600000000002</v>
      </c>
      <c r="K726" s="9">
        <v>482.27</v>
      </c>
      <c r="L726" s="9">
        <v>116.10246960000001</v>
      </c>
      <c r="M726" s="24">
        <f>+Tabla1[[#This Row],[Costo Venta]]/Tabla1[[#This Row],[Cantidad]]</f>
        <v>4.9616440000000006</v>
      </c>
      <c r="N726" s="3">
        <v>1</v>
      </c>
      <c r="O726" s="8">
        <f>+Tabla1[[#This Row],[Conversión]]*Tabla1[[#This Row],[Cantidad]]</f>
        <v>23.4</v>
      </c>
      <c r="P726" s="43">
        <f>Tabla1[[#This Row],[Neto]]-Tabla1[[#This Row],[Costo Venta]]</f>
        <v>366.16753039999998</v>
      </c>
    </row>
    <row r="727" spans="1:16" x14ac:dyDescent="0.25">
      <c r="A727" s="48">
        <v>45271</v>
      </c>
      <c r="B727" s="1" t="s">
        <v>757</v>
      </c>
      <c r="C727" s="1" t="s">
        <v>29</v>
      </c>
      <c r="D727" s="1" t="s">
        <v>785</v>
      </c>
      <c r="E727" s="1" t="s">
        <v>67</v>
      </c>
      <c r="F727" s="1" t="s">
        <v>9</v>
      </c>
      <c r="G727" s="2">
        <v>12</v>
      </c>
      <c r="H727" s="51" t="s">
        <v>780</v>
      </c>
      <c r="I727" s="44">
        <f>Tabla1[[#This Row],[Descuento]]+Tabla1[[#This Row],[Neto]]</f>
        <v>412.2</v>
      </c>
      <c r="J727" s="9">
        <v>164.88</v>
      </c>
      <c r="K727" s="9">
        <v>247.32</v>
      </c>
      <c r="L727" s="9">
        <v>59.719571999999999</v>
      </c>
      <c r="M727" s="24">
        <f>+Tabla1[[#This Row],[Costo Venta]]/Tabla1[[#This Row],[Cantidad]]</f>
        <v>4.9766310000000002</v>
      </c>
      <c r="N727" s="3">
        <v>1</v>
      </c>
      <c r="O727" s="8">
        <f>+Tabla1[[#This Row],[Conversión]]*Tabla1[[#This Row],[Cantidad]]</f>
        <v>12</v>
      </c>
      <c r="P727" s="43">
        <f>Tabla1[[#This Row],[Neto]]-Tabla1[[#This Row],[Costo Venta]]</f>
        <v>187.60042799999999</v>
      </c>
    </row>
    <row r="728" spans="1:16" x14ac:dyDescent="0.25">
      <c r="A728" s="48">
        <v>45271</v>
      </c>
      <c r="B728" s="1" t="s">
        <v>757</v>
      </c>
      <c r="C728" s="1" t="s">
        <v>29</v>
      </c>
      <c r="D728" s="1" t="s">
        <v>786</v>
      </c>
      <c r="E728" s="1" t="s">
        <v>67</v>
      </c>
      <c r="F728" s="1" t="s">
        <v>9</v>
      </c>
      <c r="G728" s="2">
        <v>25</v>
      </c>
      <c r="H728" s="51" t="s">
        <v>780</v>
      </c>
      <c r="I728" s="44">
        <f>Tabla1[[#This Row],[Descuento]]+Tabla1[[#This Row],[Neto]]</f>
        <v>858.75</v>
      </c>
      <c r="J728" s="9">
        <v>343.5</v>
      </c>
      <c r="K728" s="9">
        <v>515.25</v>
      </c>
      <c r="L728" s="9">
        <v>124.415775</v>
      </c>
      <c r="M728" s="24">
        <f>+Tabla1[[#This Row],[Costo Venta]]/Tabla1[[#This Row],[Cantidad]]</f>
        <v>4.9766310000000002</v>
      </c>
      <c r="N728" s="3">
        <v>1</v>
      </c>
      <c r="O728" s="8">
        <f>+Tabla1[[#This Row],[Conversión]]*Tabla1[[#This Row],[Cantidad]]</f>
        <v>25</v>
      </c>
      <c r="P728" s="43">
        <f>Tabla1[[#This Row],[Neto]]-Tabla1[[#This Row],[Costo Venta]]</f>
        <v>390.834225</v>
      </c>
    </row>
    <row r="729" spans="1:16" x14ac:dyDescent="0.25">
      <c r="A729" s="48">
        <v>45539</v>
      </c>
      <c r="B729" s="1" t="s">
        <v>757</v>
      </c>
      <c r="C729" s="1" t="s">
        <v>65</v>
      </c>
      <c r="D729" s="1" t="s">
        <v>776</v>
      </c>
      <c r="E729" s="1" t="s">
        <v>67</v>
      </c>
      <c r="F729" s="1" t="s">
        <v>9</v>
      </c>
      <c r="G729" s="2">
        <v>25.2</v>
      </c>
      <c r="H729" s="51" t="s">
        <v>780</v>
      </c>
      <c r="I729" s="44">
        <f>Tabla1[[#This Row],[Descuento]]+Tabla1[[#This Row],[Neto]]</f>
        <v>865.61899999999991</v>
      </c>
      <c r="J729" s="9">
        <v>389.529</v>
      </c>
      <c r="K729" s="9">
        <v>476.09</v>
      </c>
      <c r="L729" s="9">
        <v>111.7658304</v>
      </c>
      <c r="M729" s="24">
        <f>+Tabla1[[#This Row],[Costo Venta]]/Tabla1[[#This Row],[Cantidad]]</f>
        <v>4.4351520000000004</v>
      </c>
      <c r="N729" s="3">
        <v>1</v>
      </c>
      <c r="O729" s="8">
        <f>+Tabla1[[#This Row],[Conversión]]*Tabla1[[#This Row],[Cantidad]]</f>
        <v>25.2</v>
      </c>
      <c r="P729" s="43">
        <f>Tabla1[[#This Row],[Neto]]-Tabla1[[#This Row],[Costo Venta]]</f>
        <v>364.3241696</v>
      </c>
    </row>
    <row r="730" spans="1:16" x14ac:dyDescent="0.25">
      <c r="A730" s="48">
        <v>45625</v>
      </c>
      <c r="B730" s="1" t="s">
        <v>757</v>
      </c>
      <c r="C730" s="1" t="s">
        <v>65</v>
      </c>
      <c r="D730" s="1" t="s">
        <v>345</v>
      </c>
      <c r="E730" s="1" t="s">
        <v>71</v>
      </c>
      <c r="F730" s="1" t="s">
        <v>346</v>
      </c>
      <c r="G730" s="2">
        <v>13</v>
      </c>
      <c r="H730" s="51" t="s">
        <v>780</v>
      </c>
      <c r="I730" s="44">
        <f>Tabla1[[#This Row],[Descuento]]+Tabla1[[#This Row],[Neto]]</f>
        <v>446.55499999999995</v>
      </c>
      <c r="J730" s="9">
        <v>133.965</v>
      </c>
      <c r="K730" s="9">
        <v>312.58999999999997</v>
      </c>
      <c r="L730" s="9">
        <v>53.923986999999997</v>
      </c>
      <c r="M730" s="24">
        <f>+Tabla1[[#This Row],[Costo Venta]]/Tabla1[[#This Row],[Cantidad]]</f>
        <v>4.1479989999999995</v>
      </c>
      <c r="N730" s="3">
        <v>1</v>
      </c>
      <c r="O730" s="8">
        <f>+Tabla1[[#This Row],[Conversión]]*Tabla1[[#This Row],[Cantidad]]</f>
        <v>13</v>
      </c>
      <c r="P730" s="43">
        <f>Tabla1[[#This Row],[Neto]]-Tabla1[[#This Row],[Costo Venta]]</f>
        <v>258.66601299999996</v>
      </c>
    </row>
    <row r="731" spans="1:16" x14ac:dyDescent="0.25">
      <c r="A731" s="48">
        <v>45686</v>
      </c>
      <c r="B731" s="1" t="s">
        <v>757</v>
      </c>
      <c r="C731" s="1" t="s">
        <v>65</v>
      </c>
      <c r="D731" s="1" t="s">
        <v>787</v>
      </c>
      <c r="E731" s="1" t="s">
        <v>67</v>
      </c>
      <c r="F731" s="1" t="s">
        <v>20</v>
      </c>
      <c r="G731" s="2">
        <v>5</v>
      </c>
      <c r="H731" s="51" t="s">
        <v>780</v>
      </c>
      <c r="I731" s="44">
        <f>Tabla1[[#This Row],[Descuento]]+Tabla1[[#This Row],[Neto]]</f>
        <v>171.7525</v>
      </c>
      <c r="J731" s="9">
        <v>60.112499999999997</v>
      </c>
      <c r="K731" s="9">
        <v>111.64</v>
      </c>
      <c r="L731" s="9">
        <v>20.739995</v>
      </c>
      <c r="M731" s="24">
        <f>+Tabla1[[#This Row],[Costo Venta]]/Tabla1[[#This Row],[Cantidad]]</f>
        <v>4.1479990000000004</v>
      </c>
      <c r="N731" s="3">
        <v>1</v>
      </c>
      <c r="O731" s="8">
        <f>+Tabla1[[#This Row],[Conversión]]*Tabla1[[#This Row],[Cantidad]]</f>
        <v>5</v>
      </c>
      <c r="P731" s="43">
        <f>Tabla1[[#This Row],[Neto]]-Tabla1[[#This Row],[Costo Venta]]</f>
        <v>90.900004999999993</v>
      </c>
    </row>
    <row r="732" spans="1:16" x14ac:dyDescent="0.25">
      <c r="A732" s="48">
        <v>45747</v>
      </c>
      <c r="B732" s="1" t="s">
        <v>757</v>
      </c>
      <c r="C732" s="1" t="s">
        <v>65</v>
      </c>
      <c r="D732" s="1" t="s">
        <v>788</v>
      </c>
      <c r="E732" s="1" t="s">
        <v>67</v>
      </c>
      <c r="F732" s="1" t="s">
        <v>20</v>
      </c>
      <c r="G732" s="2">
        <v>5</v>
      </c>
      <c r="H732" s="51" t="s">
        <v>780</v>
      </c>
      <c r="I732" s="44">
        <f>Tabla1[[#This Row],[Descuento]]+Tabla1[[#This Row],[Neto]]</f>
        <v>171.7525</v>
      </c>
      <c r="J732" s="9">
        <v>60.112499999999997</v>
      </c>
      <c r="K732" s="9">
        <v>111.64</v>
      </c>
      <c r="L732" s="9">
        <v>20.739995</v>
      </c>
      <c r="M732" s="24">
        <f>+Tabla1[[#This Row],[Costo Venta]]/Tabla1[[#This Row],[Cantidad]]</f>
        <v>4.1479990000000004</v>
      </c>
      <c r="N732" s="3">
        <v>1</v>
      </c>
      <c r="O732" s="8">
        <f>+Tabla1[[#This Row],[Conversión]]*Tabla1[[#This Row],[Cantidad]]</f>
        <v>5</v>
      </c>
      <c r="P732" s="43">
        <f>Tabla1[[#This Row],[Neto]]-Tabla1[[#This Row],[Costo Venta]]</f>
        <v>90.900004999999993</v>
      </c>
    </row>
    <row r="733" spans="1:16" x14ac:dyDescent="0.25">
      <c r="A733" s="48">
        <v>45750</v>
      </c>
      <c r="B733" s="1" t="s">
        <v>757</v>
      </c>
      <c r="C733" s="1" t="s">
        <v>65</v>
      </c>
      <c r="D733" s="1" t="s">
        <v>789</v>
      </c>
      <c r="E733" s="1" t="s">
        <v>67</v>
      </c>
      <c r="F733" s="1" t="s">
        <v>9</v>
      </c>
      <c r="G733" s="2">
        <v>128</v>
      </c>
      <c r="H733" s="51" t="s">
        <v>780</v>
      </c>
      <c r="I733" s="44">
        <f>Tabla1[[#This Row],[Descuento]]+Tabla1[[#This Row],[Neto]]</f>
        <v>4396.7999999999993</v>
      </c>
      <c r="J733" s="9">
        <v>1978.56</v>
      </c>
      <c r="K733" s="9">
        <v>2418.2399999999998</v>
      </c>
      <c r="L733" s="9">
        <v>530.94387200000006</v>
      </c>
      <c r="M733" s="24">
        <f>+Tabla1[[#This Row],[Costo Venta]]/Tabla1[[#This Row],[Cantidad]]</f>
        <v>4.1479990000000004</v>
      </c>
      <c r="N733" s="3">
        <v>1</v>
      </c>
      <c r="O733" s="8">
        <f>+Tabla1[[#This Row],[Conversión]]*Tabla1[[#This Row],[Cantidad]]</f>
        <v>128</v>
      </c>
      <c r="P733" s="43">
        <f>Tabla1[[#This Row],[Neto]]-Tabla1[[#This Row],[Costo Venta]]</f>
        <v>1887.2961279999997</v>
      </c>
    </row>
    <row r="734" spans="1:16" x14ac:dyDescent="0.25">
      <c r="A734" s="48">
        <v>45811</v>
      </c>
      <c r="B734" s="1" t="s">
        <v>757</v>
      </c>
      <c r="C734" s="1" t="s">
        <v>65</v>
      </c>
      <c r="D734" s="1" t="s">
        <v>790</v>
      </c>
      <c r="E734" s="1" t="s">
        <v>67</v>
      </c>
      <c r="F734" s="1" t="s">
        <v>9</v>
      </c>
      <c r="G734" s="2">
        <v>3</v>
      </c>
      <c r="H734" s="51" t="s">
        <v>780</v>
      </c>
      <c r="I734" s="44">
        <f>Tabla1[[#This Row],[Descuento]]+Tabla1[[#This Row],[Neto]]</f>
        <v>103.05250000000001</v>
      </c>
      <c r="J734" s="9">
        <v>46.372500000000002</v>
      </c>
      <c r="K734" s="9">
        <v>56.68</v>
      </c>
      <c r="L734" s="9">
        <v>10.180227</v>
      </c>
      <c r="M734" s="24">
        <f>+Tabla1[[#This Row],[Costo Venta]]/Tabla1[[#This Row],[Cantidad]]</f>
        <v>3.3934090000000001</v>
      </c>
      <c r="N734" s="3">
        <v>1</v>
      </c>
      <c r="O734" s="8">
        <f>+Tabla1[[#This Row],[Conversión]]*Tabla1[[#This Row],[Cantidad]]</f>
        <v>3</v>
      </c>
      <c r="P734" s="43">
        <f>Tabla1[[#This Row],[Neto]]-Tabla1[[#This Row],[Costo Venta]]</f>
        <v>46.499772999999998</v>
      </c>
    </row>
    <row r="735" spans="1:16" x14ac:dyDescent="0.25">
      <c r="A735" s="48">
        <v>45904</v>
      </c>
      <c r="B735" s="1" t="s">
        <v>757</v>
      </c>
      <c r="C735" s="1" t="s">
        <v>65</v>
      </c>
      <c r="D735" s="1" t="s">
        <v>791</v>
      </c>
      <c r="E735" s="1" t="s">
        <v>67</v>
      </c>
      <c r="F735" s="1" t="s">
        <v>9</v>
      </c>
      <c r="G735" s="2">
        <v>1</v>
      </c>
      <c r="H735" s="51" t="s">
        <v>780</v>
      </c>
      <c r="I735" s="44">
        <f>Tabla1[[#This Row],[Descuento]]+Tabla1[[#This Row],[Neto]]</f>
        <v>34.347499999999997</v>
      </c>
      <c r="J735" s="9">
        <v>15.4575</v>
      </c>
      <c r="K735" s="9">
        <v>18.89</v>
      </c>
      <c r="L735" s="9">
        <v>3.5420560000000001</v>
      </c>
      <c r="M735" s="24">
        <f>+Tabla1[[#This Row],[Costo Venta]]/Tabla1[[#This Row],[Cantidad]]</f>
        <v>3.5420560000000001</v>
      </c>
      <c r="N735" s="3">
        <v>1</v>
      </c>
      <c r="O735" s="8">
        <f>+Tabla1[[#This Row],[Conversión]]*Tabla1[[#This Row],[Cantidad]]</f>
        <v>1</v>
      </c>
      <c r="P735" s="43">
        <f>Tabla1[[#This Row],[Neto]]-Tabla1[[#This Row],[Costo Venta]]</f>
        <v>15.347944</v>
      </c>
    </row>
    <row r="736" spans="1:16" x14ac:dyDescent="0.25">
      <c r="A736" s="48">
        <v>44935</v>
      </c>
      <c r="B736" s="1" t="s">
        <v>757</v>
      </c>
      <c r="C736" s="1" t="s">
        <v>109</v>
      </c>
      <c r="D736" s="1" t="s">
        <v>113</v>
      </c>
      <c r="E736" s="1" t="s">
        <v>71</v>
      </c>
      <c r="F736" s="1" t="s">
        <v>111</v>
      </c>
      <c r="G736" s="2">
        <v>13</v>
      </c>
      <c r="H736" s="51" t="s">
        <v>792</v>
      </c>
      <c r="I736" s="44">
        <f>Tabla1[[#This Row],[Descuento]]+Tabla1[[#This Row],[Neto]]</f>
        <v>494</v>
      </c>
      <c r="J736" s="9">
        <v>24.7</v>
      </c>
      <c r="K736" s="9">
        <v>469.3</v>
      </c>
      <c r="L736" s="9">
        <v>77.987260000000006</v>
      </c>
      <c r="M736" s="24">
        <f>+Tabla1[[#This Row],[Costo Venta]]/Tabla1[[#This Row],[Cantidad]]</f>
        <v>5.9990200000000007</v>
      </c>
      <c r="N736" s="3">
        <v>1</v>
      </c>
      <c r="O736" s="8">
        <f>+Tabla1[[#This Row],[Conversión]]*Tabla1[[#This Row],[Cantidad]]</f>
        <v>13</v>
      </c>
      <c r="P736" s="43">
        <f>Tabla1[[#This Row],[Neto]]-Tabla1[[#This Row],[Costo Venta]]</f>
        <v>391.31274000000002</v>
      </c>
    </row>
    <row r="737" spans="1:16" x14ac:dyDescent="0.25">
      <c r="A737" s="48">
        <v>45006</v>
      </c>
      <c r="B737" s="1" t="s">
        <v>757</v>
      </c>
      <c r="C737" s="1" t="s">
        <v>109</v>
      </c>
      <c r="D737" s="1" t="s">
        <v>793</v>
      </c>
      <c r="E737" s="1" t="s">
        <v>67</v>
      </c>
      <c r="F737" s="1" t="s">
        <v>9</v>
      </c>
      <c r="G737" s="2">
        <v>36</v>
      </c>
      <c r="H737" s="51" t="s">
        <v>792</v>
      </c>
      <c r="I737" s="44">
        <f>Tabla1[[#This Row],[Descuento]]+Tabla1[[#This Row],[Neto]]</f>
        <v>1368</v>
      </c>
      <c r="J737" s="9">
        <v>478.8</v>
      </c>
      <c r="K737" s="9">
        <v>889.2</v>
      </c>
      <c r="L737" s="9">
        <v>228.35293200000001</v>
      </c>
      <c r="M737" s="24">
        <f>+Tabla1[[#This Row],[Costo Venta]]/Tabla1[[#This Row],[Cantidad]]</f>
        <v>6.3431370000000005</v>
      </c>
      <c r="N737" s="3">
        <v>1</v>
      </c>
      <c r="O737" s="8">
        <f>+Tabla1[[#This Row],[Conversión]]*Tabla1[[#This Row],[Cantidad]]</f>
        <v>36</v>
      </c>
      <c r="P737" s="43">
        <f>Tabla1[[#This Row],[Neto]]-Tabla1[[#This Row],[Costo Venta]]</f>
        <v>660.84706800000004</v>
      </c>
    </row>
    <row r="738" spans="1:16" x14ac:dyDescent="0.25">
      <c r="A738" s="48">
        <v>45077</v>
      </c>
      <c r="B738" s="1" t="s">
        <v>757</v>
      </c>
      <c r="C738" s="1" t="s">
        <v>109</v>
      </c>
      <c r="D738" s="1" t="s">
        <v>192</v>
      </c>
      <c r="E738" s="1" t="s">
        <v>71</v>
      </c>
      <c r="F738" s="1" t="s">
        <v>193</v>
      </c>
      <c r="G738" s="2">
        <v>9</v>
      </c>
      <c r="H738" s="51" t="s">
        <v>792</v>
      </c>
      <c r="I738" s="44">
        <f>Tabla1[[#This Row],[Descuento]]+Tabla1[[#This Row],[Neto]]</f>
        <v>306</v>
      </c>
      <c r="J738" s="9">
        <v>45.9</v>
      </c>
      <c r="K738" s="9">
        <v>260.10000000000002</v>
      </c>
      <c r="L738" s="9">
        <v>57.016458</v>
      </c>
      <c r="M738" s="24">
        <f>+Tabla1[[#This Row],[Costo Venta]]/Tabla1[[#This Row],[Cantidad]]</f>
        <v>6.3351620000000004</v>
      </c>
      <c r="N738" s="3">
        <v>1</v>
      </c>
      <c r="O738" s="8">
        <f>+Tabla1[[#This Row],[Conversión]]*Tabla1[[#This Row],[Cantidad]]</f>
        <v>9</v>
      </c>
      <c r="P738" s="43">
        <f>Tabla1[[#This Row],[Neto]]-Tabla1[[#This Row],[Costo Venta]]</f>
        <v>203.08354200000002</v>
      </c>
    </row>
    <row r="739" spans="1:16" x14ac:dyDescent="0.25">
      <c r="A739" s="48">
        <v>45090</v>
      </c>
      <c r="B739" s="1" t="s">
        <v>757</v>
      </c>
      <c r="C739" s="1" t="s">
        <v>109</v>
      </c>
      <c r="D739" s="1" t="s">
        <v>794</v>
      </c>
      <c r="E739" s="1" t="s">
        <v>132</v>
      </c>
      <c r="F739" s="1" t="s">
        <v>795</v>
      </c>
      <c r="G739" s="2">
        <v>1</v>
      </c>
      <c r="H739" s="51" t="s">
        <v>792</v>
      </c>
      <c r="I739" s="44">
        <f>Tabla1[[#This Row],[Descuento]]+Tabla1[[#This Row],[Neto]]</f>
        <v>34</v>
      </c>
      <c r="J739" s="9">
        <v>5.0999999999999996</v>
      </c>
      <c r="K739" s="9">
        <v>28.9</v>
      </c>
      <c r="L739" s="9">
        <v>6.3351620000000004</v>
      </c>
      <c r="M739" s="24">
        <f>+Tabla1[[#This Row],[Costo Venta]]/Tabla1[[#This Row],[Cantidad]]</f>
        <v>6.3351620000000004</v>
      </c>
      <c r="N739" s="3">
        <v>1</v>
      </c>
      <c r="O739" s="8">
        <f>+Tabla1[[#This Row],[Conversión]]*Tabla1[[#This Row],[Cantidad]]</f>
        <v>1</v>
      </c>
      <c r="P739" s="43">
        <f>Tabla1[[#This Row],[Neto]]-Tabla1[[#This Row],[Costo Venta]]</f>
        <v>22.564837999999998</v>
      </c>
    </row>
    <row r="740" spans="1:16" x14ac:dyDescent="0.25">
      <c r="A740" s="48">
        <v>45210</v>
      </c>
      <c r="B740" s="1" t="s">
        <v>757</v>
      </c>
      <c r="C740" s="1" t="s">
        <v>81</v>
      </c>
      <c r="D740" s="1" t="s">
        <v>796</v>
      </c>
      <c r="E740" s="1" t="s">
        <v>67</v>
      </c>
      <c r="F740" s="1" t="s">
        <v>9</v>
      </c>
      <c r="G740" s="2">
        <v>10</v>
      </c>
      <c r="H740" s="51" t="s">
        <v>792</v>
      </c>
      <c r="I740" s="44">
        <f>Tabla1[[#This Row],[Descuento]]+Tabla1[[#This Row],[Neto]]</f>
        <v>343.505</v>
      </c>
      <c r="J740" s="9">
        <v>120.22499999999999</v>
      </c>
      <c r="K740" s="9">
        <v>223.28</v>
      </c>
      <c r="L740" s="9">
        <v>59.95579</v>
      </c>
      <c r="M740" s="24">
        <f>+Tabla1[[#This Row],[Costo Venta]]/Tabla1[[#This Row],[Cantidad]]</f>
        <v>5.9955790000000002</v>
      </c>
      <c r="N740" s="3">
        <v>1</v>
      </c>
      <c r="O740" s="8">
        <f>+Tabla1[[#This Row],[Conversión]]*Tabla1[[#This Row],[Cantidad]]</f>
        <v>10</v>
      </c>
      <c r="P740" s="43">
        <f>Tabla1[[#This Row],[Neto]]-Tabla1[[#This Row],[Costo Venta]]</f>
        <v>163.32420999999999</v>
      </c>
    </row>
    <row r="741" spans="1:16" x14ac:dyDescent="0.25">
      <c r="A741" s="48">
        <v>45274</v>
      </c>
      <c r="B741" s="1" t="s">
        <v>757</v>
      </c>
      <c r="C741" s="1" t="s">
        <v>29</v>
      </c>
      <c r="D741" s="1" t="s">
        <v>797</v>
      </c>
      <c r="E741" s="1" t="s">
        <v>67</v>
      </c>
      <c r="F741" s="1" t="s">
        <v>9</v>
      </c>
      <c r="G741" s="2">
        <v>15</v>
      </c>
      <c r="H741" s="51" t="s">
        <v>792</v>
      </c>
      <c r="I741" s="44">
        <f>Tabla1[[#This Row],[Descuento]]+Tabla1[[#This Row],[Neto]]</f>
        <v>515.24750000000006</v>
      </c>
      <c r="J741" s="9">
        <v>180.33750000000001</v>
      </c>
      <c r="K741" s="9">
        <v>334.91</v>
      </c>
      <c r="L741" s="9">
        <v>85.983855000000005</v>
      </c>
      <c r="M741" s="24">
        <f>+Tabla1[[#This Row],[Costo Venta]]/Tabla1[[#This Row],[Cantidad]]</f>
        <v>5.7322570000000006</v>
      </c>
      <c r="N741" s="3">
        <v>1</v>
      </c>
      <c r="O741" s="8">
        <f>+Tabla1[[#This Row],[Conversión]]*Tabla1[[#This Row],[Cantidad]]</f>
        <v>15</v>
      </c>
      <c r="P741" s="43">
        <f>Tabla1[[#This Row],[Neto]]-Tabla1[[#This Row],[Costo Venta]]</f>
        <v>248.92614500000002</v>
      </c>
    </row>
    <row r="742" spans="1:16" x14ac:dyDescent="0.25">
      <c r="A742" s="48">
        <v>45321</v>
      </c>
      <c r="B742" s="1" t="s">
        <v>757</v>
      </c>
      <c r="C742" s="1" t="s">
        <v>81</v>
      </c>
      <c r="D742" s="1" t="s">
        <v>798</v>
      </c>
      <c r="E742" s="1" t="s">
        <v>67</v>
      </c>
      <c r="F742" s="1" t="s">
        <v>9</v>
      </c>
      <c r="G742" s="2">
        <v>45</v>
      </c>
      <c r="H742" s="51" t="s">
        <v>792</v>
      </c>
      <c r="I742" s="44">
        <f>Tabla1[[#This Row],[Descuento]]+Tabla1[[#This Row],[Neto]]</f>
        <v>1545.7525000000001</v>
      </c>
      <c r="J742" s="9">
        <v>541.01250000000005</v>
      </c>
      <c r="K742" s="9">
        <v>1004.74</v>
      </c>
      <c r="L742" s="9">
        <v>270.48208499999998</v>
      </c>
      <c r="M742" s="24">
        <f>+Tabla1[[#This Row],[Costo Venta]]/Tabla1[[#This Row],[Cantidad]]</f>
        <v>6.010713</v>
      </c>
      <c r="N742" s="3">
        <v>1</v>
      </c>
      <c r="O742" s="8">
        <f>+Tabla1[[#This Row],[Conversión]]*Tabla1[[#This Row],[Cantidad]]</f>
        <v>45</v>
      </c>
      <c r="P742" s="43">
        <f>Tabla1[[#This Row],[Neto]]-Tabla1[[#This Row],[Costo Venta]]</f>
        <v>734.25791500000003</v>
      </c>
    </row>
    <row r="743" spans="1:16" x14ac:dyDescent="0.25">
      <c r="A743" s="48">
        <v>45349</v>
      </c>
      <c r="B743" s="1" t="s">
        <v>757</v>
      </c>
      <c r="C743" s="1" t="s">
        <v>81</v>
      </c>
      <c r="D743" s="1" t="s">
        <v>799</v>
      </c>
      <c r="E743" s="1" t="s">
        <v>67</v>
      </c>
      <c r="F743" s="1" t="s">
        <v>9</v>
      </c>
      <c r="G743" s="2">
        <v>45</v>
      </c>
      <c r="H743" s="51" t="s">
        <v>792</v>
      </c>
      <c r="I743" s="44">
        <f>Tabla1[[#This Row],[Descuento]]+Tabla1[[#This Row],[Neto]]</f>
        <v>1545.7525000000001</v>
      </c>
      <c r="J743" s="9">
        <v>541.01250000000005</v>
      </c>
      <c r="K743" s="9">
        <v>1004.74</v>
      </c>
      <c r="L743" s="9">
        <v>252.41206500000001</v>
      </c>
      <c r="M743" s="24">
        <f>+Tabla1[[#This Row],[Costo Venta]]/Tabla1[[#This Row],[Cantidad]]</f>
        <v>5.6091570000000006</v>
      </c>
      <c r="N743" s="3">
        <v>1</v>
      </c>
      <c r="O743" s="8">
        <f>+Tabla1[[#This Row],[Conversión]]*Tabla1[[#This Row],[Cantidad]]</f>
        <v>45</v>
      </c>
      <c r="P743" s="43">
        <f>Tabla1[[#This Row],[Neto]]-Tabla1[[#This Row],[Costo Venta]]</f>
        <v>752.32793500000002</v>
      </c>
    </row>
    <row r="744" spans="1:16" x14ac:dyDescent="0.25">
      <c r="A744" s="48">
        <v>45422</v>
      </c>
      <c r="B744" s="1" t="s">
        <v>757</v>
      </c>
      <c r="C744" s="1" t="s">
        <v>65</v>
      </c>
      <c r="D744" s="1" t="s">
        <v>704</v>
      </c>
      <c r="E744" s="1" t="s">
        <v>71</v>
      </c>
      <c r="F744" s="1" t="s">
        <v>705</v>
      </c>
      <c r="G744" s="2">
        <v>10</v>
      </c>
      <c r="H744" s="51" t="s">
        <v>792</v>
      </c>
      <c r="I744" s="44">
        <f>Tabla1[[#This Row],[Descuento]]+Tabla1[[#This Row],[Neto]]</f>
        <v>343.5</v>
      </c>
      <c r="J744" s="9">
        <v>103.05</v>
      </c>
      <c r="K744" s="9">
        <v>240.45</v>
      </c>
      <c r="L744" s="9">
        <v>56.091569999999997</v>
      </c>
      <c r="M744" s="24">
        <f>+Tabla1[[#This Row],[Costo Venta]]/Tabla1[[#This Row],[Cantidad]]</f>
        <v>5.6091569999999997</v>
      </c>
      <c r="N744" s="3">
        <v>1</v>
      </c>
      <c r="O744" s="8">
        <f>+Tabla1[[#This Row],[Conversión]]*Tabla1[[#This Row],[Cantidad]]</f>
        <v>10</v>
      </c>
      <c r="P744" s="43">
        <f>Tabla1[[#This Row],[Neto]]-Tabla1[[#This Row],[Costo Venta]]</f>
        <v>184.35843</v>
      </c>
    </row>
    <row r="745" spans="1:16" x14ac:dyDescent="0.25">
      <c r="A745" s="48">
        <v>45539</v>
      </c>
      <c r="B745" s="1" t="s">
        <v>757</v>
      </c>
      <c r="C745" s="1" t="s">
        <v>65</v>
      </c>
      <c r="D745" s="1" t="s">
        <v>776</v>
      </c>
      <c r="E745" s="1" t="s">
        <v>67</v>
      </c>
      <c r="F745" s="1" t="s">
        <v>9</v>
      </c>
      <c r="G745" s="2">
        <v>25.2</v>
      </c>
      <c r="H745" s="51" t="s">
        <v>792</v>
      </c>
      <c r="I745" s="44">
        <f>Tabla1[[#This Row],[Descuento]]+Tabla1[[#This Row],[Neto]]</f>
        <v>865.61899999999991</v>
      </c>
      <c r="J745" s="9">
        <v>389.529</v>
      </c>
      <c r="K745" s="9">
        <v>476.09</v>
      </c>
      <c r="L745" s="9">
        <v>141.35075639999999</v>
      </c>
      <c r="M745" s="24">
        <f>+Tabla1[[#This Row],[Costo Venta]]/Tabla1[[#This Row],[Cantidad]]</f>
        <v>5.6091569999999997</v>
      </c>
      <c r="N745" s="3">
        <v>1</v>
      </c>
      <c r="O745" s="8">
        <f>+Tabla1[[#This Row],[Conversión]]*Tabla1[[#This Row],[Cantidad]]</f>
        <v>25.2</v>
      </c>
      <c r="P745" s="43">
        <f>Tabla1[[#This Row],[Neto]]-Tabla1[[#This Row],[Costo Venta]]</f>
        <v>334.73924360000001</v>
      </c>
    </row>
    <row r="746" spans="1:16" x14ac:dyDescent="0.25">
      <c r="A746" s="48">
        <v>45706</v>
      </c>
      <c r="B746" s="1" t="s">
        <v>757</v>
      </c>
      <c r="C746" s="1" t="s">
        <v>65</v>
      </c>
      <c r="D746" s="1" t="s">
        <v>800</v>
      </c>
      <c r="E746" s="1" t="s">
        <v>67</v>
      </c>
      <c r="F746" s="1" t="s">
        <v>20</v>
      </c>
      <c r="G746" s="2">
        <v>10</v>
      </c>
      <c r="H746" s="51" t="s">
        <v>792</v>
      </c>
      <c r="I746" s="44">
        <f>Tabla1[[#This Row],[Descuento]]+Tabla1[[#This Row],[Neto]]</f>
        <v>343.5</v>
      </c>
      <c r="J746" s="9">
        <v>103.05</v>
      </c>
      <c r="K746" s="9">
        <v>240.45</v>
      </c>
      <c r="L746" s="9">
        <v>50.989109999999997</v>
      </c>
      <c r="M746" s="24">
        <f>+Tabla1[[#This Row],[Costo Venta]]/Tabla1[[#This Row],[Cantidad]]</f>
        <v>5.0989109999999993</v>
      </c>
      <c r="N746" s="3">
        <v>1</v>
      </c>
      <c r="O746" s="8">
        <f>+Tabla1[[#This Row],[Conversión]]*Tabla1[[#This Row],[Cantidad]]</f>
        <v>10</v>
      </c>
      <c r="P746" s="43">
        <f>Tabla1[[#This Row],[Neto]]-Tabla1[[#This Row],[Costo Venta]]</f>
        <v>189.46089000000001</v>
      </c>
    </row>
    <row r="747" spans="1:16" x14ac:dyDescent="0.25">
      <c r="A747" s="48">
        <v>45896</v>
      </c>
      <c r="B747" s="1" t="s">
        <v>757</v>
      </c>
      <c r="C747" s="1" t="s">
        <v>65</v>
      </c>
      <c r="D747" s="1" t="s">
        <v>801</v>
      </c>
      <c r="E747" s="1" t="s">
        <v>67</v>
      </c>
      <c r="F747" s="1" t="s">
        <v>20</v>
      </c>
      <c r="G747" s="2">
        <v>2</v>
      </c>
      <c r="H747" s="51" t="s">
        <v>792</v>
      </c>
      <c r="I747" s="44">
        <f>Tabla1[[#This Row],[Descuento]]+Tabla1[[#This Row],[Neto]]</f>
        <v>68.7</v>
      </c>
      <c r="J747" s="9">
        <v>20.61</v>
      </c>
      <c r="K747" s="9">
        <v>48.09</v>
      </c>
      <c r="L747" s="9">
        <v>10.197822</v>
      </c>
      <c r="M747" s="24">
        <f>+Tabla1[[#This Row],[Costo Venta]]/Tabla1[[#This Row],[Cantidad]]</f>
        <v>5.0989110000000002</v>
      </c>
      <c r="N747" s="3">
        <v>1</v>
      </c>
      <c r="O747" s="8">
        <f>+Tabla1[[#This Row],[Conversión]]*Tabla1[[#This Row],[Cantidad]]</f>
        <v>2</v>
      </c>
      <c r="P747" s="43">
        <f>Tabla1[[#This Row],[Neto]]-Tabla1[[#This Row],[Costo Venta]]</f>
        <v>37.892178000000001</v>
      </c>
    </row>
    <row r="748" spans="1:16" x14ac:dyDescent="0.25">
      <c r="A748" s="48">
        <v>44958</v>
      </c>
      <c r="B748" s="1" t="s">
        <v>757</v>
      </c>
      <c r="C748" s="1" t="s">
        <v>109</v>
      </c>
      <c r="D748" s="1" t="s">
        <v>555</v>
      </c>
      <c r="E748" s="1" t="s">
        <v>67</v>
      </c>
      <c r="F748" s="1" t="s">
        <v>24</v>
      </c>
      <c r="G748" s="2">
        <v>4</v>
      </c>
      <c r="H748" s="1" t="s">
        <v>802</v>
      </c>
      <c r="I748" s="44">
        <f>Tabla1[[#This Row],[Descuento]]+Tabla1[[#This Row],[Neto]]</f>
        <v>152</v>
      </c>
      <c r="J748" s="9">
        <v>45.6</v>
      </c>
      <c r="K748" s="9">
        <v>106.4</v>
      </c>
      <c r="L748" s="9">
        <v>26</v>
      </c>
      <c r="M748" s="24">
        <f>+Tabla1[[#This Row],[Costo Venta]]/Tabla1[[#This Row],[Cantidad]]</f>
        <v>6.5</v>
      </c>
      <c r="N748" s="3">
        <v>1</v>
      </c>
      <c r="O748" s="8">
        <f>+Tabla1[[#This Row],[Conversión]]*Tabla1[[#This Row],[Cantidad]]</f>
        <v>4</v>
      </c>
      <c r="P748" s="43">
        <f>Tabla1[[#This Row],[Neto]]-Tabla1[[#This Row],[Costo Venta]]</f>
        <v>80.400000000000006</v>
      </c>
    </row>
    <row r="749" spans="1:16" x14ac:dyDescent="0.25">
      <c r="A749" s="48">
        <v>45006</v>
      </c>
      <c r="B749" s="1" t="s">
        <v>757</v>
      </c>
      <c r="C749" s="1" t="s">
        <v>109</v>
      </c>
      <c r="D749" s="1" t="s">
        <v>803</v>
      </c>
      <c r="E749" s="1" t="s">
        <v>67</v>
      </c>
      <c r="F749" s="1" t="s">
        <v>24</v>
      </c>
      <c r="G749" s="2">
        <v>2.5</v>
      </c>
      <c r="H749" s="1" t="s">
        <v>802</v>
      </c>
      <c r="I749" s="44">
        <f>Tabla1[[#This Row],[Descuento]]+Tabla1[[#This Row],[Neto]]</f>
        <v>95</v>
      </c>
      <c r="J749" s="9">
        <v>28.5</v>
      </c>
      <c r="K749" s="9">
        <v>66.5</v>
      </c>
      <c r="L749" s="9">
        <v>19.925000000000001</v>
      </c>
      <c r="M749" s="24">
        <f>+Tabla1[[#This Row],[Costo Venta]]/Tabla1[[#This Row],[Cantidad]]</f>
        <v>7.9700000000000006</v>
      </c>
      <c r="N749" s="3">
        <v>1</v>
      </c>
      <c r="O749" s="8">
        <f>+Tabla1[[#This Row],[Conversión]]*Tabla1[[#This Row],[Cantidad]]</f>
        <v>2.5</v>
      </c>
      <c r="P749" s="43">
        <f>Tabla1[[#This Row],[Neto]]-Tabla1[[#This Row],[Costo Venta]]</f>
        <v>46.575000000000003</v>
      </c>
    </row>
    <row r="750" spans="1:16" x14ac:dyDescent="0.25">
      <c r="A750" s="48">
        <v>45603</v>
      </c>
      <c r="B750" s="1" t="s">
        <v>757</v>
      </c>
      <c r="C750" s="1" t="s">
        <v>65</v>
      </c>
      <c r="D750" s="1" t="s">
        <v>804</v>
      </c>
      <c r="E750" s="1" t="s">
        <v>67</v>
      </c>
      <c r="F750" s="1" t="s">
        <v>9</v>
      </c>
      <c r="G750" s="2">
        <v>85</v>
      </c>
      <c r="H750" s="51" t="s">
        <v>805</v>
      </c>
      <c r="I750" s="44">
        <f>Tabla1[[#This Row],[Descuento]]+Tabla1[[#This Row],[Neto]]</f>
        <v>2919.7474999999999</v>
      </c>
      <c r="J750" s="9">
        <v>1313.8875</v>
      </c>
      <c r="K750" s="9">
        <v>1605.86</v>
      </c>
      <c r="L750" s="9">
        <v>95.955565000000007</v>
      </c>
      <c r="M750" s="24">
        <f>+Tabla1[[#This Row],[Costo Venta]]/Tabla1[[#This Row],[Cantidad]]</f>
        <v>1.128889</v>
      </c>
      <c r="N750" s="3">
        <v>1</v>
      </c>
      <c r="O750" s="8">
        <f>+Tabla1[[#This Row],[Conversión]]*Tabla1[[#This Row],[Cantidad]]</f>
        <v>85</v>
      </c>
      <c r="P750" s="43">
        <f>Tabla1[[#This Row],[Neto]]-Tabla1[[#This Row],[Costo Venta]]</f>
        <v>1509.9044349999999</v>
      </c>
    </row>
    <row r="751" spans="1:16" x14ac:dyDescent="0.25">
      <c r="A751" s="48">
        <v>45252</v>
      </c>
      <c r="B751" s="1" t="s">
        <v>757</v>
      </c>
      <c r="C751" s="1" t="s">
        <v>81</v>
      </c>
      <c r="D751" s="1" t="s">
        <v>263</v>
      </c>
      <c r="E751" s="1" t="s">
        <v>71</v>
      </c>
      <c r="F751" s="1" t="s">
        <v>264</v>
      </c>
      <c r="G751" s="2">
        <v>17</v>
      </c>
      <c r="H751" s="51" t="s">
        <v>806</v>
      </c>
      <c r="I751" s="44">
        <f>Tabla1[[#This Row],[Descuento]]+Tabla1[[#This Row],[Neto]]</f>
        <v>578</v>
      </c>
      <c r="J751" s="9">
        <v>86.7</v>
      </c>
      <c r="K751" s="9">
        <v>491.3</v>
      </c>
      <c r="L751" s="9">
        <v>112.352694</v>
      </c>
      <c r="M751" s="24">
        <f>+Tabla1[[#This Row],[Costo Venta]]/Tabla1[[#This Row],[Cantidad]]</f>
        <v>6.6089820000000001</v>
      </c>
      <c r="N751" s="3">
        <v>1</v>
      </c>
      <c r="O751" s="8">
        <f>+Tabla1[[#This Row],[Conversión]]*Tabla1[[#This Row],[Cantidad]]</f>
        <v>17</v>
      </c>
      <c r="P751" s="43">
        <f>Tabla1[[#This Row],[Neto]]-Tabla1[[#This Row],[Costo Venta]]</f>
        <v>378.94730600000003</v>
      </c>
    </row>
    <row r="752" spans="1:16" x14ac:dyDescent="0.25">
      <c r="A752" s="48">
        <v>45315</v>
      </c>
      <c r="B752" s="1" t="s">
        <v>757</v>
      </c>
      <c r="C752" s="1" t="s">
        <v>65</v>
      </c>
      <c r="D752" s="1" t="s">
        <v>807</v>
      </c>
      <c r="E752" s="1" t="s">
        <v>71</v>
      </c>
      <c r="F752" s="1" t="s">
        <v>808</v>
      </c>
      <c r="G752" s="2">
        <v>11</v>
      </c>
      <c r="H752" s="51" t="s">
        <v>806</v>
      </c>
      <c r="I752" s="44">
        <f>Tabla1[[#This Row],[Descuento]]+Tabla1[[#This Row],[Neto]]</f>
        <v>377.84828500000003</v>
      </c>
      <c r="J752" s="9">
        <v>124.728285</v>
      </c>
      <c r="K752" s="9">
        <v>253.12</v>
      </c>
      <c r="L752" s="9">
        <v>72.221050000000005</v>
      </c>
      <c r="M752" s="24">
        <f>+Tabla1[[#This Row],[Costo Venta]]/Tabla1[[#This Row],[Cantidad]]</f>
        <v>6.5655500000000009</v>
      </c>
      <c r="N752" s="3">
        <v>1</v>
      </c>
      <c r="O752" s="8">
        <f>+Tabla1[[#This Row],[Conversión]]*Tabla1[[#This Row],[Cantidad]]</f>
        <v>11</v>
      </c>
      <c r="P752" s="43">
        <f>Tabla1[[#This Row],[Neto]]-Tabla1[[#This Row],[Costo Venta]]</f>
        <v>180.89895000000001</v>
      </c>
    </row>
    <row r="753" spans="1:16" x14ac:dyDescent="0.25">
      <c r="A753" s="48">
        <v>45327</v>
      </c>
      <c r="B753" s="1" t="s">
        <v>757</v>
      </c>
      <c r="C753" s="1" t="s">
        <v>81</v>
      </c>
      <c r="D753" s="1" t="s">
        <v>286</v>
      </c>
      <c r="E753" s="1" t="s">
        <v>71</v>
      </c>
      <c r="F753" s="1" t="s">
        <v>287</v>
      </c>
      <c r="G753" s="2">
        <v>7</v>
      </c>
      <c r="H753" s="51" t="s">
        <v>806</v>
      </c>
      <c r="I753" s="44">
        <f>Tabla1[[#This Row],[Descuento]]+Tabla1[[#This Row],[Neto]]</f>
        <v>240.45400000000001</v>
      </c>
      <c r="J753" s="9">
        <v>28.853999999999999</v>
      </c>
      <c r="K753" s="9">
        <v>211.6</v>
      </c>
      <c r="L753" s="9">
        <v>45.958849999999998</v>
      </c>
      <c r="M753" s="24">
        <f>+Tabla1[[#This Row],[Costo Venta]]/Tabla1[[#This Row],[Cantidad]]</f>
        <v>6.56555</v>
      </c>
      <c r="N753" s="3">
        <v>1</v>
      </c>
      <c r="O753" s="8">
        <f>+Tabla1[[#This Row],[Conversión]]*Tabla1[[#This Row],[Cantidad]]</f>
        <v>7</v>
      </c>
      <c r="P753" s="43">
        <f>Tabla1[[#This Row],[Neto]]-Tabla1[[#This Row],[Costo Venta]]</f>
        <v>165.64114999999998</v>
      </c>
    </row>
    <row r="754" spans="1:16" x14ac:dyDescent="0.25">
      <c r="A754" s="48">
        <v>45355</v>
      </c>
      <c r="B754" s="1" t="s">
        <v>757</v>
      </c>
      <c r="C754" s="1" t="s">
        <v>65</v>
      </c>
      <c r="D754" s="1" t="s">
        <v>809</v>
      </c>
      <c r="E754" s="1" t="s">
        <v>71</v>
      </c>
      <c r="F754" s="1" t="s">
        <v>287</v>
      </c>
      <c r="G754" s="2">
        <v>2</v>
      </c>
      <c r="H754" s="51" t="s">
        <v>806</v>
      </c>
      <c r="I754" s="44">
        <f>Tabla1[[#This Row],[Descuento]]+Tabla1[[#This Row],[Neto]]</f>
        <v>68.7</v>
      </c>
      <c r="J754" s="9">
        <v>0</v>
      </c>
      <c r="K754" s="9">
        <v>68.7</v>
      </c>
      <c r="L754" s="9">
        <v>7.6189479999999996</v>
      </c>
      <c r="M754" s="24">
        <f>+Tabla1[[#This Row],[Costo Venta]]/Tabla1[[#This Row],[Cantidad]]</f>
        <v>3.8094739999999998</v>
      </c>
      <c r="N754" s="3">
        <v>1</v>
      </c>
      <c r="O754" s="8">
        <f>+Tabla1[[#This Row],[Conversión]]*Tabla1[[#This Row],[Cantidad]]</f>
        <v>2</v>
      </c>
      <c r="P754" s="43">
        <f>Tabla1[[#This Row],[Neto]]-Tabla1[[#This Row],[Costo Venta]]</f>
        <v>61.081052</v>
      </c>
    </row>
    <row r="755" spans="1:16" x14ac:dyDescent="0.25">
      <c r="A755" s="48">
        <v>45483</v>
      </c>
      <c r="B755" s="1" t="s">
        <v>757</v>
      </c>
      <c r="C755" s="1" t="s">
        <v>65</v>
      </c>
      <c r="D755" s="1" t="s">
        <v>810</v>
      </c>
      <c r="E755" s="1" t="s">
        <v>71</v>
      </c>
      <c r="F755" s="1" t="s">
        <v>811</v>
      </c>
      <c r="G755" s="2">
        <v>35</v>
      </c>
      <c r="H755" s="51" t="s">
        <v>806</v>
      </c>
      <c r="I755" s="44">
        <f>Tabla1[[#This Row],[Descuento]]+Tabla1[[#This Row],[Neto]]</f>
        <v>1202.2549999999999</v>
      </c>
      <c r="J755" s="9">
        <v>120.22499999999999</v>
      </c>
      <c r="K755" s="9">
        <v>1082.03</v>
      </c>
      <c r="L755" s="9">
        <v>97.455295000000007</v>
      </c>
      <c r="M755" s="24">
        <f>+Tabla1[[#This Row],[Costo Venta]]/Tabla1[[#This Row],[Cantidad]]</f>
        <v>2.7844370000000001</v>
      </c>
      <c r="N755" s="3">
        <v>1</v>
      </c>
      <c r="O755" s="8">
        <f>+Tabla1[[#This Row],[Conversión]]*Tabla1[[#This Row],[Cantidad]]</f>
        <v>35</v>
      </c>
      <c r="P755" s="43">
        <f>Tabla1[[#This Row],[Neto]]-Tabla1[[#This Row],[Costo Venta]]</f>
        <v>984.57470499999999</v>
      </c>
    </row>
    <row r="756" spans="1:16" x14ac:dyDescent="0.25">
      <c r="A756" s="48">
        <v>45539</v>
      </c>
      <c r="B756" s="1" t="s">
        <v>757</v>
      </c>
      <c r="C756" s="1" t="s">
        <v>65</v>
      </c>
      <c r="D756" s="1" t="s">
        <v>776</v>
      </c>
      <c r="E756" s="1" t="s">
        <v>67</v>
      </c>
      <c r="F756" s="1" t="s">
        <v>9</v>
      </c>
      <c r="G756" s="2">
        <v>25.2</v>
      </c>
      <c r="H756" s="51" t="s">
        <v>806</v>
      </c>
      <c r="I756" s="44">
        <f>Tabla1[[#This Row],[Descuento]]+Tabla1[[#This Row],[Neto]]</f>
        <v>865.61899999999991</v>
      </c>
      <c r="J756" s="9">
        <v>389.529</v>
      </c>
      <c r="K756" s="9">
        <v>476.09</v>
      </c>
      <c r="L756" s="9">
        <v>62.522308799999998</v>
      </c>
      <c r="M756" s="24">
        <f>+Tabla1[[#This Row],[Costo Venta]]/Tabla1[[#This Row],[Cantidad]]</f>
        <v>2.4810439999999998</v>
      </c>
      <c r="N756" s="3">
        <v>1</v>
      </c>
      <c r="O756" s="8">
        <f>+Tabla1[[#This Row],[Conversión]]*Tabla1[[#This Row],[Cantidad]]</f>
        <v>25.2</v>
      </c>
      <c r="P756" s="43">
        <f>Tabla1[[#This Row],[Neto]]-Tabla1[[#This Row],[Costo Venta]]</f>
        <v>413.56769119999996</v>
      </c>
    </row>
    <row r="757" spans="1:16" x14ac:dyDescent="0.25">
      <c r="A757" s="48">
        <v>45573</v>
      </c>
      <c r="B757" s="1" t="s">
        <v>757</v>
      </c>
      <c r="C757" s="1" t="s">
        <v>65</v>
      </c>
      <c r="D757" s="1" t="s">
        <v>336</v>
      </c>
      <c r="E757" s="1" t="s">
        <v>67</v>
      </c>
      <c r="F757" s="1" t="s">
        <v>198</v>
      </c>
      <c r="G757" s="2">
        <v>22</v>
      </c>
      <c r="H757" s="51" t="s">
        <v>806</v>
      </c>
      <c r="I757" s="44">
        <f>Tabla1[[#This Row],[Descuento]]+Tabla1[[#This Row],[Neto]]</f>
        <v>755.7</v>
      </c>
      <c r="J757" s="9">
        <v>226.71</v>
      </c>
      <c r="K757" s="9">
        <v>528.99</v>
      </c>
      <c r="L757" s="9">
        <v>53.808106000000002</v>
      </c>
      <c r="M757" s="24">
        <f>+Tabla1[[#This Row],[Costo Venta]]/Tabla1[[#This Row],[Cantidad]]</f>
        <v>2.4458230000000003</v>
      </c>
      <c r="N757" s="3">
        <v>1</v>
      </c>
      <c r="O757" s="8">
        <f>+Tabla1[[#This Row],[Conversión]]*Tabla1[[#This Row],[Cantidad]]</f>
        <v>22</v>
      </c>
      <c r="P757" s="43">
        <f>Tabla1[[#This Row],[Neto]]-Tabla1[[#This Row],[Costo Venta]]</f>
        <v>475.181894</v>
      </c>
    </row>
    <row r="758" spans="1:16" x14ac:dyDescent="0.25">
      <c r="A758" s="48">
        <v>45741</v>
      </c>
      <c r="B758" s="1" t="s">
        <v>757</v>
      </c>
      <c r="C758" s="1" t="s">
        <v>65</v>
      </c>
      <c r="D758" s="1" t="s">
        <v>812</v>
      </c>
      <c r="E758" s="1" t="s">
        <v>67</v>
      </c>
      <c r="F758" s="1" t="s">
        <v>9</v>
      </c>
      <c r="G758" s="2">
        <v>30</v>
      </c>
      <c r="H758" s="51" t="s">
        <v>806</v>
      </c>
      <c r="I758" s="44">
        <f>Tabla1[[#This Row],[Descuento]]+Tabla1[[#This Row],[Neto]]</f>
        <v>1030.5050000000001</v>
      </c>
      <c r="J758" s="9">
        <v>463.72500000000002</v>
      </c>
      <c r="K758" s="9">
        <v>566.78</v>
      </c>
      <c r="L758" s="9">
        <v>72.320790000000002</v>
      </c>
      <c r="M758" s="24">
        <f>+Tabla1[[#This Row],[Costo Venta]]/Tabla1[[#This Row],[Cantidad]]</f>
        <v>2.4106930000000002</v>
      </c>
      <c r="N758" s="3">
        <v>1</v>
      </c>
      <c r="O758" s="8">
        <f>+Tabla1[[#This Row],[Conversión]]*Tabla1[[#This Row],[Cantidad]]</f>
        <v>30</v>
      </c>
      <c r="P758" s="43">
        <f>Tabla1[[#This Row],[Neto]]-Tabla1[[#This Row],[Costo Venta]]</f>
        <v>494.45920999999998</v>
      </c>
    </row>
    <row r="759" spans="1:16" x14ac:dyDescent="0.25">
      <c r="A759" s="48">
        <v>45369</v>
      </c>
      <c r="B759" s="1" t="s">
        <v>757</v>
      </c>
      <c r="C759" s="1" t="s">
        <v>65</v>
      </c>
      <c r="D759" s="1" t="s">
        <v>299</v>
      </c>
      <c r="E759" s="1" t="s">
        <v>71</v>
      </c>
      <c r="F759" s="1" t="s">
        <v>300</v>
      </c>
      <c r="G759" s="2">
        <v>17</v>
      </c>
      <c r="H759" s="51" t="s">
        <v>761</v>
      </c>
      <c r="I759" s="44">
        <f>Tabla1[[#This Row],[Descuento]]+Tabla1[[#This Row],[Neto]]</f>
        <v>583.95499999999993</v>
      </c>
      <c r="J759" s="9">
        <v>175.185</v>
      </c>
      <c r="K759" s="9">
        <v>408.77</v>
      </c>
      <c r="L759" s="9">
        <v>119.85</v>
      </c>
      <c r="M759" s="24">
        <f>+Tabla1[[#This Row],[Costo Venta]]/Tabla1[[#This Row],[Cantidad]]</f>
        <v>7.05</v>
      </c>
      <c r="N759" s="3">
        <v>1</v>
      </c>
      <c r="O759" s="8">
        <f>+Tabla1[[#This Row],[Conversión]]*Tabla1[[#This Row],[Cantidad]]</f>
        <v>17</v>
      </c>
      <c r="P759" s="43">
        <f>Tabla1[[#This Row],[Neto]]-Tabla1[[#This Row],[Costo Venta]]</f>
        <v>288.91999999999996</v>
      </c>
    </row>
    <row r="760" spans="1:16" x14ac:dyDescent="0.25">
      <c r="A760" s="48">
        <v>45461</v>
      </c>
      <c r="B760" s="1" t="s">
        <v>757</v>
      </c>
      <c r="C760" s="1" t="s">
        <v>65</v>
      </c>
      <c r="D760" s="1" t="s">
        <v>318</v>
      </c>
      <c r="E760" s="1" t="s">
        <v>71</v>
      </c>
      <c r="F760" s="1" t="s">
        <v>319</v>
      </c>
      <c r="G760" s="2">
        <v>14.4</v>
      </c>
      <c r="H760" s="51" t="s">
        <v>761</v>
      </c>
      <c r="I760" s="44">
        <f>Tabla1[[#This Row],[Descuento]]+Tabla1[[#This Row],[Neto]]</f>
        <v>494.642</v>
      </c>
      <c r="J760" s="9">
        <v>148.392</v>
      </c>
      <c r="K760" s="9">
        <v>346.25</v>
      </c>
      <c r="L760" s="9">
        <v>44.193182399999998</v>
      </c>
      <c r="M760" s="24">
        <f>+Tabla1[[#This Row],[Costo Venta]]/Tabla1[[#This Row],[Cantidad]]</f>
        <v>3.0689709999999999</v>
      </c>
      <c r="N760" s="3">
        <v>1</v>
      </c>
      <c r="O760" s="8">
        <f>+Tabla1[[#This Row],[Conversión]]*Tabla1[[#This Row],[Cantidad]]</f>
        <v>14.4</v>
      </c>
      <c r="P760" s="43">
        <f>Tabla1[[#This Row],[Neto]]-Tabla1[[#This Row],[Costo Venta]]</f>
        <v>302.05681759999999</v>
      </c>
    </row>
    <row r="761" spans="1:16" x14ac:dyDescent="0.25">
      <c r="A761" s="48">
        <v>45034</v>
      </c>
      <c r="B761" s="1" t="s">
        <v>757</v>
      </c>
      <c r="C761" s="1" t="s">
        <v>65</v>
      </c>
      <c r="D761" s="1" t="s">
        <v>813</v>
      </c>
      <c r="E761" s="1" t="s">
        <v>137</v>
      </c>
      <c r="F761" s="1" t="s">
        <v>814</v>
      </c>
      <c r="G761" s="2">
        <v>52</v>
      </c>
      <c r="H761" s="51" t="s">
        <v>805</v>
      </c>
      <c r="I761" s="44">
        <f>Tabla1[[#This Row],[Descuento]]+Tabla1[[#This Row],[Neto]]</f>
        <v>1768</v>
      </c>
      <c r="J761" s="9">
        <v>265.2</v>
      </c>
      <c r="K761" s="9">
        <v>1502.8</v>
      </c>
      <c r="L761" s="9">
        <v>232.77316400000001</v>
      </c>
      <c r="M761" s="24">
        <f>+Tabla1[[#This Row],[Costo Venta]]/Tabla1[[#This Row],[Cantidad]]</f>
        <v>4.476407</v>
      </c>
      <c r="N761" s="3">
        <v>1</v>
      </c>
      <c r="O761" s="8">
        <f>+Tabla1[[#This Row],[Conversión]]*Tabla1[[#This Row],[Cantidad]]</f>
        <v>52</v>
      </c>
      <c r="P761" s="43">
        <f>Tabla1[[#This Row],[Neto]]-Tabla1[[#This Row],[Costo Venta]]</f>
        <v>1270.026836</v>
      </c>
    </row>
    <row r="762" spans="1:16" x14ac:dyDescent="0.25">
      <c r="A762" s="48">
        <v>45042</v>
      </c>
      <c r="B762" s="1" t="s">
        <v>757</v>
      </c>
      <c r="C762" s="1" t="s">
        <v>109</v>
      </c>
      <c r="D762" s="1" t="s">
        <v>172</v>
      </c>
      <c r="E762" s="1" t="s">
        <v>67</v>
      </c>
      <c r="F762" s="1" t="s">
        <v>173</v>
      </c>
      <c r="G762" s="2">
        <v>120</v>
      </c>
      <c r="H762" s="51" t="s">
        <v>805</v>
      </c>
      <c r="I762" s="44">
        <f>Tabla1[[#This Row],[Descuento]]+Tabla1[[#This Row],[Neto]]</f>
        <v>4080</v>
      </c>
      <c r="J762" s="9">
        <v>1428</v>
      </c>
      <c r="K762" s="9">
        <v>2652</v>
      </c>
      <c r="L762" s="9">
        <v>599.13516000000004</v>
      </c>
      <c r="M762" s="24">
        <f>+Tabla1[[#This Row],[Costo Venta]]/Tabla1[[#This Row],[Cantidad]]</f>
        <v>4.9927930000000007</v>
      </c>
      <c r="N762" s="3">
        <v>1</v>
      </c>
      <c r="O762" s="8">
        <f>+Tabla1[[#This Row],[Conversión]]*Tabla1[[#This Row],[Cantidad]]</f>
        <v>120</v>
      </c>
      <c r="P762" s="43">
        <f>Tabla1[[#This Row],[Neto]]-Tabla1[[#This Row],[Costo Venta]]</f>
        <v>2052.8648400000002</v>
      </c>
    </row>
    <row r="763" spans="1:16" x14ac:dyDescent="0.25">
      <c r="A763" s="48">
        <v>45054</v>
      </c>
      <c r="B763" s="1" t="s">
        <v>757</v>
      </c>
      <c r="C763" s="1" t="s">
        <v>109</v>
      </c>
      <c r="D763" s="1" t="s">
        <v>815</v>
      </c>
      <c r="E763" s="1" t="s">
        <v>67</v>
      </c>
      <c r="F763" s="1" t="s">
        <v>173</v>
      </c>
      <c r="G763" s="2">
        <v>25</v>
      </c>
      <c r="H763" s="51" t="s">
        <v>805</v>
      </c>
      <c r="I763" s="44">
        <f>Tabla1[[#This Row],[Descuento]]+Tabla1[[#This Row],[Neto]]</f>
        <v>850</v>
      </c>
      <c r="J763" s="9">
        <v>297.5</v>
      </c>
      <c r="K763" s="9">
        <v>552.5</v>
      </c>
      <c r="L763" s="9">
        <v>79.013824999999997</v>
      </c>
      <c r="M763" s="24">
        <f>+Tabla1[[#This Row],[Costo Venta]]/Tabla1[[#This Row],[Cantidad]]</f>
        <v>3.1605529999999997</v>
      </c>
      <c r="N763" s="3">
        <v>1</v>
      </c>
      <c r="O763" s="8">
        <f>+Tabla1[[#This Row],[Conversión]]*Tabla1[[#This Row],[Cantidad]]</f>
        <v>25</v>
      </c>
      <c r="P763" s="43">
        <f>Tabla1[[#This Row],[Neto]]-Tabla1[[#This Row],[Costo Venta]]</f>
        <v>473.486175</v>
      </c>
    </row>
    <row r="764" spans="1:16" x14ac:dyDescent="0.25">
      <c r="A764" s="48">
        <v>45131</v>
      </c>
      <c r="B764" s="1" t="s">
        <v>757</v>
      </c>
      <c r="C764" s="1" t="s">
        <v>81</v>
      </c>
      <c r="D764" s="1" t="s">
        <v>220</v>
      </c>
      <c r="E764" s="1" t="s">
        <v>67</v>
      </c>
      <c r="F764" s="1" t="s">
        <v>173</v>
      </c>
      <c r="G764" s="2">
        <v>45</v>
      </c>
      <c r="H764" s="51" t="s">
        <v>805</v>
      </c>
      <c r="I764" s="44">
        <f>Tabla1[[#This Row],[Descuento]]+Tabla1[[#This Row],[Neto]]</f>
        <v>1530</v>
      </c>
      <c r="J764" s="9">
        <v>535.5</v>
      </c>
      <c r="K764" s="9">
        <v>994.5</v>
      </c>
      <c r="L764" s="9">
        <v>153.02376000000001</v>
      </c>
      <c r="M764" s="24">
        <f>+Tabla1[[#This Row],[Costo Venta]]/Tabla1[[#This Row],[Cantidad]]</f>
        <v>3.4005280000000004</v>
      </c>
      <c r="N764" s="3">
        <v>1</v>
      </c>
      <c r="O764" s="8">
        <f>+Tabla1[[#This Row],[Conversión]]*Tabla1[[#This Row],[Cantidad]]</f>
        <v>45</v>
      </c>
      <c r="P764" s="43">
        <f>Tabla1[[#This Row],[Neto]]-Tabla1[[#This Row],[Costo Venta]]</f>
        <v>841.47623999999996</v>
      </c>
    </row>
    <row r="765" spans="1:16" x14ac:dyDescent="0.25">
      <c r="A765" s="48">
        <v>45132</v>
      </c>
      <c r="B765" s="1" t="s">
        <v>757</v>
      </c>
      <c r="C765" s="1" t="s">
        <v>81</v>
      </c>
      <c r="D765" s="1" t="s">
        <v>221</v>
      </c>
      <c r="E765" s="1" t="s">
        <v>67</v>
      </c>
      <c r="F765" s="1" t="s">
        <v>173</v>
      </c>
      <c r="G765" s="2">
        <v>4</v>
      </c>
      <c r="H765" s="51" t="s">
        <v>805</v>
      </c>
      <c r="I765" s="44">
        <f>Tabla1[[#This Row],[Descuento]]+Tabla1[[#This Row],[Neto]]</f>
        <v>136</v>
      </c>
      <c r="J765" s="9">
        <v>40.799999999999997</v>
      </c>
      <c r="K765" s="9">
        <v>95.2</v>
      </c>
      <c r="L765" s="9">
        <v>13.602112</v>
      </c>
      <c r="M765" s="24">
        <f>+Tabla1[[#This Row],[Costo Venta]]/Tabla1[[#This Row],[Cantidad]]</f>
        <v>3.400528</v>
      </c>
      <c r="N765" s="3">
        <v>1</v>
      </c>
      <c r="O765" s="8">
        <f>+Tabla1[[#This Row],[Conversión]]*Tabla1[[#This Row],[Cantidad]]</f>
        <v>4</v>
      </c>
      <c r="P765" s="43">
        <f>Tabla1[[#This Row],[Neto]]-Tabla1[[#This Row],[Costo Venta]]</f>
        <v>81.597887999999998</v>
      </c>
    </row>
    <row r="766" spans="1:16" x14ac:dyDescent="0.25">
      <c r="A766" s="48">
        <v>45757</v>
      </c>
      <c r="B766" s="1" t="s">
        <v>757</v>
      </c>
      <c r="C766" s="1" t="s">
        <v>65</v>
      </c>
      <c r="D766" s="1" t="s">
        <v>816</v>
      </c>
      <c r="E766" s="1" t="s">
        <v>132</v>
      </c>
      <c r="F766" s="1" t="s">
        <v>16</v>
      </c>
      <c r="G766" s="2">
        <v>3</v>
      </c>
      <c r="H766" s="51" t="s">
        <v>805</v>
      </c>
      <c r="I766" s="44">
        <f>Tabla1[[#This Row],[Descuento]]+Tabla1[[#This Row],[Neto]]</f>
        <v>103.04750000000001</v>
      </c>
      <c r="J766" s="9">
        <v>36.067500000000003</v>
      </c>
      <c r="K766" s="9">
        <v>66.98</v>
      </c>
      <c r="L766" s="9">
        <v>9.1923300000000001</v>
      </c>
      <c r="M766" s="24">
        <f>+Tabla1[[#This Row],[Costo Venta]]/Tabla1[[#This Row],[Cantidad]]</f>
        <v>3.0641099999999999</v>
      </c>
      <c r="N766" s="3">
        <v>1</v>
      </c>
      <c r="O766" s="8">
        <f>+Tabla1[[#This Row],[Conversión]]*Tabla1[[#This Row],[Cantidad]]</f>
        <v>3</v>
      </c>
      <c r="P766" s="43">
        <f>Tabla1[[#This Row],[Neto]]-Tabla1[[#This Row],[Costo Venta]]</f>
        <v>57.787670000000006</v>
      </c>
    </row>
    <row r="767" spans="1:16" x14ac:dyDescent="0.25">
      <c r="A767" s="48">
        <v>45757</v>
      </c>
      <c r="B767" s="1" t="s">
        <v>757</v>
      </c>
      <c r="C767" s="1" t="s">
        <v>65</v>
      </c>
      <c r="D767" s="1" t="s">
        <v>817</v>
      </c>
      <c r="E767" s="1" t="s">
        <v>132</v>
      </c>
      <c r="F767" s="1" t="s">
        <v>16</v>
      </c>
      <c r="G767" s="2">
        <v>1</v>
      </c>
      <c r="H767" s="51" t="s">
        <v>805</v>
      </c>
      <c r="I767" s="44">
        <f>Tabla1[[#This Row],[Descuento]]+Tabla1[[#This Row],[Neto]]</f>
        <v>34.352499999999999</v>
      </c>
      <c r="J767" s="9">
        <v>12.022500000000001</v>
      </c>
      <c r="K767" s="9">
        <v>22.33</v>
      </c>
      <c r="L767" s="9">
        <v>3.0641099999999999</v>
      </c>
      <c r="M767" s="24">
        <f>+Tabla1[[#This Row],[Costo Venta]]/Tabla1[[#This Row],[Cantidad]]</f>
        <v>3.0641099999999999</v>
      </c>
      <c r="N767" s="3">
        <v>1</v>
      </c>
      <c r="O767" s="8">
        <f>+Tabla1[[#This Row],[Conversión]]*Tabla1[[#This Row],[Cantidad]]</f>
        <v>1</v>
      </c>
      <c r="P767" s="43">
        <f>Tabla1[[#This Row],[Neto]]-Tabla1[[#This Row],[Costo Venta]]</f>
        <v>19.265889999999999</v>
      </c>
    </row>
    <row r="768" spans="1:16" x14ac:dyDescent="0.25">
      <c r="A768" s="48">
        <v>44967</v>
      </c>
      <c r="B768" s="1" t="s">
        <v>405</v>
      </c>
      <c r="C768" s="1" t="s">
        <v>109</v>
      </c>
      <c r="D768" s="1" t="s">
        <v>818</v>
      </c>
      <c r="E768" s="1" t="s">
        <v>71</v>
      </c>
      <c r="F768" s="1" t="s">
        <v>819</v>
      </c>
      <c r="G768" s="2">
        <v>75.2</v>
      </c>
      <c r="H768" s="1" t="s">
        <v>820</v>
      </c>
      <c r="I768" s="44">
        <f>Tabla1[[#This Row],[Descuento]]+Tabla1[[#This Row],[Neto]]</f>
        <v>2857.6</v>
      </c>
      <c r="J768" s="9">
        <v>1428.8</v>
      </c>
      <c r="K768" s="9">
        <v>1428.8</v>
      </c>
      <c r="L768" s="9">
        <v>686.2</v>
      </c>
      <c r="M768" s="24">
        <f>+Tabla1[[#This Row],[Costo Venta]]/Tabla1[[#This Row],[Cantidad]]</f>
        <v>9.125</v>
      </c>
      <c r="N768" s="3">
        <v>1</v>
      </c>
      <c r="O768" s="8">
        <f>+Tabla1[[#This Row],[Conversión]]*Tabla1[[#This Row],[Cantidad]]</f>
        <v>75.2</v>
      </c>
      <c r="P768" s="43">
        <f>Tabla1[[#This Row],[Neto]]-Tabla1[[#This Row],[Costo Venta]]</f>
        <v>742.59999999999991</v>
      </c>
    </row>
    <row r="769" spans="1:16" x14ac:dyDescent="0.25">
      <c r="A769" s="48">
        <v>45022</v>
      </c>
      <c r="B769" s="1" t="s">
        <v>405</v>
      </c>
      <c r="C769" s="1" t="s">
        <v>109</v>
      </c>
      <c r="D769" s="1" t="s">
        <v>821</v>
      </c>
      <c r="E769" s="1" t="s">
        <v>67</v>
      </c>
      <c r="F769" s="1" t="s">
        <v>9</v>
      </c>
      <c r="G769" s="2">
        <v>14</v>
      </c>
      <c r="H769" s="1" t="s">
        <v>820</v>
      </c>
      <c r="I769" s="44">
        <f>Tabla1[[#This Row],[Descuento]]+Tabla1[[#This Row],[Neto]]</f>
        <v>476</v>
      </c>
      <c r="J769" s="9">
        <v>166.6</v>
      </c>
      <c r="K769" s="9">
        <v>309.39999999999998</v>
      </c>
      <c r="L769" s="9">
        <v>126.189098</v>
      </c>
      <c r="M769" s="24">
        <f>+Tabla1[[#This Row],[Costo Venta]]/Tabla1[[#This Row],[Cantidad]]</f>
        <v>9.0135070000000006</v>
      </c>
      <c r="N769" s="3">
        <v>1</v>
      </c>
      <c r="O769" s="8">
        <f>+Tabla1[[#This Row],[Conversión]]*Tabla1[[#This Row],[Cantidad]]</f>
        <v>14</v>
      </c>
      <c r="P769" s="43">
        <f>Tabla1[[#This Row],[Neto]]-Tabla1[[#This Row],[Costo Venta]]</f>
        <v>183.21090199999998</v>
      </c>
    </row>
    <row r="770" spans="1:16" x14ac:dyDescent="0.25">
      <c r="A770" s="48">
        <v>44958</v>
      </c>
      <c r="B770" s="1" t="s">
        <v>757</v>
      </c>
      <c r="C770" s="1" t="s">
        <v>109</v>
      </c>
      <c r="D770" s="1" t="s">
        <v>134</v>
      </c>
      <c r="E770" s="1" t="s">
        <v>71</v>
      </c>
      <c r="F770" s="1" t="s">
        <v>135</v>
      </c>
      <c r="G770" s="2">
        <v>22.5</v>
      </c>
      <c r="H770" s="51" t="s">
        <v>822</v>
      </c>
      <c r="I770" s="44">
        <f>Tabla1[[#This Row],[Descuento]]+Tabla1[[#This Row],[Neto]]</f>
        <v>855</v>
      </c>
      <c r="J770" s="9">
        <v>427.5</v>
      </c>
      <c r="K770" s="9">
        <v>427.5</v>
      </c>
      <c r="L770" s="9">
        <v>156.375</v>
      </c>
      <c r="M770" s="24">
        <f>+Tabla1[[#This Row],[Costo Venta]]/Tabla1[[#This Row],[Cantidad]]</f>
        <v>6.95</v>
      </c>
      <c r="N770" s="3">
        <v>1</v>
      </c>
      <c r="O770" s="8">
        <f>+Tabla1[[#This Row],[Conversión]]*Tabla1[[#This Row],[Cantidad]]</f>
        <v>22.5</v>
      </c>
      <c r="P770" s="43">
        <f>Tabla1[[#This Row],[Neto]]-Tabla1[[#This Row],[Costo Venta]]</f>
        <v>271.125</v>
      </c>
    </row>
    <row r="771" spans="1:16" x14ac:dyDescent="0.25">
      <c r="A771" s="48">
        <v>45036</v>
      </c>
      <c r="B771" s="1" t="s">
        <v>757</v>
      </c>
      <c r="C771" s="1" t="s">
        <v>109</v>
      </c>
      <c r="D771" s="1" t="s">
        <v>823</v>
      </c>
      <c r="E771" s="1" t="s">
        <v>71</v>
      </c>
      <c r="F771" s="1" t="s">
        <v>135</v>
      </c>
      <c r="G771" s="2">
        <v>2.25</v>
      </c>
      <c r="H771" s="51" t="s">
        <v>822</v>
      </c>
      <c r="I771" s="44">
        <f>Tabla1[[#This Row],[Descuento]]+Tabla1[[#This Row],[Neto]]</f>
        <v>85.5</v>
      </c>
      <c r="J771" s="9">
        <v>0</v>
      </c>
      <c r="K771" s="9">
        <v>85.5</v>
      </c>
      <c r="L771" s="9">
        <v>16.787371499999999</v>
      </c>
      <c r="M771" s="24">
        <f>+Tabla1[[#This Row],[Costo Venta]]/Tabla1[[#This Row],[Cantidad]]</f>
        <v>7.4610539999999999</v>
      </c>
      <c r="N771" s="3">
        <v>1</v>
      </c>
      <c r="O771" s="8">
        <f>+Tabla1[[#This Row],[Conversión]]*Tabla1[[#This Row],[Cantidad]]</f>
        <v>2.25</v>
      </c>
      <c r="P771" s="43">
        <f>Tabla1[[#This Row],[Neto]]-Tabla1[[#This Row],[Costo Venta]]</f>
        <v>68.712628499999994</v>
      </c>
    </row>
    <row r="772" spans="1:16" x14ac:dyDescent="0.25">
      <c r="A772" s="48">
        <v>45539</v>
      </c>
      <c r="B772" s="1" t="s">
        <v>757</v>
      </c>
      <c r="C772" s="1" t="s">
        <v>65</v>
      </c>
      <c r="D772" s="1" t="s">
        <v>776</v>
      </c>
      <c r="E772" s="1" t="s">
        <v>67</v>
      </c>
      <c r="F772" s="1" t="s">
        <v>9</v>
      </c>
      <c r="G772" s="2">
        <v>25.2</v>
      </c>
      <c r="H772" s="51" t="s">
        <v>822</v>
      </c>
      <c r="I772" s="44">
        <f>Tabla1[[#This Row],[Descuento]]+Tabla1[[#This Row],[Neto]]</f>
        <v>865.61899999999991</v>
      </c>
      <c r="J772" s="9">
        <v>389.529</v>
      </c>
      <c r="K772" s="9">
        <v>476.09</v>
      </c>
      <c r="L772" s="9">
        <v>112.4464572</v>
      </c>
      <c r="M772" s="24">
        <f>+Tabla1[[#This Row],[Costo Venta]]/Tabla1[[#This Row],[Cantidad]]</f>
        <v>4.462161</v>
      </c>
      <c r="N772" s="3">
        <v>1</v>
      </c>
      <c r="O772" s="8">
        <f>+Tabla1[[#This Row],[Conversión]]*Tabla1[[#This Row],[Cantidad]]</f>
        <v>25.2</v>
      </c>
      <c r="P772" s="43">
        <f>Tabla1[[#This Row],[Neto]]-Tabla1[[#This Row],[Costo Venta]]</f>
        <v>363.64354279999998</v>
      </c>
    </row>
    <row r="773" spans="1:16" x14ac:dyDescent="0.25">
      <c r="A773" s="48">
        <v>45559</v>
      </c>
      <c r="B773" s="1" t="s">
        <v>757</v>
      </c>
      <c r="C773" s="1" t="s">
        <v>65</v>
      </c>
      <c r="D773" s="1" t="s">
        <v>824</v>
      </c>
      <c r="E773" s="1" t="s">
        <v>67</v>
      </c>
      <c r="F773" s="1" t="s">
        <v>44</v>
      </c>
      <c r="G773" s="2">
        <v>18</v>
      </c>
      <c r="H773" s="51" t="s">
        <v>822</v>
      </c>
      <c r="I773" s="44">
        <f>Tabla1[[#This Row],[Descuento]]+Tabla1[[#This Row],[Neto]]</f>
        <v>618.30499999999995</v>
      </c>
      <c r="J773" s="9">
        <v>216.405</v>
      </c>
      <c r="K773" s="9">
        <v>401.9</v>
      </c>
      <c r="L773" s="9">
        <v>54.764099999999999</v>
      </c>
      <c r="M773" s="24">
        <f>+Tabla1[[#This Row],[Costo Venta]]/Tabla1[[#This Row],[Cantidad]]</f>
        <v>3.0424500000000001</v>
      </c>
      <c r="N773" s="3">
        <v>1</v>
      </c>
      <c r="O773" s="8">
        <f>+Tabla1[[#This Row],[Conversión]]*Tabla1[[#This Row],[Cantidad]]</f>
        <v>18</v>
      </c>
      <c r="P773" s="43">
        <f>Tabla1[[#This Row],[Neto]]-Tabla1[[#This Row],[Costo Venta]]</f>
        <v>347.13589999999999</v>
      </c>
    </row>
    <row r="774" spans="1:16" x14ac:dyDescent="0.25">
      <c r="A774" s="48">
        <v>45838</v>
      </c>
      <c r="B774" s="1" t="s">
        <v>757</v>
      </c>
      <c r="C774" s="1" t="s">
        <v>65</v>
      </c>
      <c r="D774" s="1" t="s">
        <v>825</v>
      </c>
      <c r="E774" s="1" t="s">
        <v>67</v>
      </c>
      <c r="F774" s="1" t="s">
        <v>9</v>
      </c>
      <c r="G774" s="2">
        <v>4.9000000000000004</v>
      </c>
      <c r="H774" s="51" t="s">
        <v>822</v>
      </c>
      <c r="I774" s="44">
        <f>Tabla1[[#This Row],[Descuento]]+Tabla1[[#This Row],[Neto]]</f>
        <v>168.32175000000001</v>
      </c>
      <c r="J774" s="9">
        <v>75.741749999999996</v>
      </c>
      <c r="K774" s="9">
        <v>92.58</v>
      </c>
      <c r="L774" s="9">
        <v>14.2147089</v>
      </c>
      <c r="M774" s="24">
        <f>+Tabla1[[#This Row],[Costo Venta]]/Tabla1[[#This Row],[Cantidad]]</f>
        <v>2.9009609999999997</v>
      </c>
      <c r="N774" s="3">
        <v>1</v>
      </c>
      <c r="O774" s="8">
        <f>+Tabla1[[#This Row],[Conversión]]*Tabla1[[#This Row],[Cantidad]]</f>
        <v>4.9000000000000004</v>
      </c>
      <c r="P774" s="43">
        <f>Tabla1[[#This Row],[Neto]]-Tabla1[[#This Row],[Costo Venta]]</f>
        <v>78.365291099999993</v>
      </c>
    </row>
    <row r="775" spans="1:16" x14ac:dyDescent="0.25">
      <c r="A775" s="48">
        <v>45873</v>
      </c>
      <c r="B775" s="1" t="s">
        <v>757</v>
      </c>
      <c r="C775" s="1" t="s">
        <v>65</v>
      </c>
      <c r="D775" s="1" t="s">
        <v>826</v>
      </c>
      <c r="E775" s="1" t="s">
        <v>67</v>
      </c>
      <c r="F775" s="1" t="s">
        <v>9</v>
      </c>
      <c r="G775" s="2">
        <v>1.4</v>
      </c>
      <c r="H775" s="51" t="s">
        <v>822</v>
      </c>
      <c r="I775" s="44">
        <f>Tabla1[[#This Row],[Descuento]]+Tabla1[[#This Row],[Neto]]</f>
        <v>48.090499999999999</v>
      </c>
      <c r="J775" s="9">
        <v>21.640499999999999</v>
      </c>
      <c r="K775" s="9">
        <v>26.45</v>
      </c>
      <c r="L775" s="9">
        <v>4.0613454000000004</v>
      </c>
      <c r="M775" s="24">
        <f>+Tabla1[[#This Row],[Costo Venta]]/Tabla1[[#This Row],[Cantidad]]</f>
        <v>2.9009610000000006</v>
      </c>
      <c r="N775" s="3">
        <v>1</v>
      </c>
      <c r="O775" s="8">
        <f>+Tabla1[[#This Row],[Conversión]]*Tabla1[[#This Row],[Cantidad]]</f>
        <v>1.4</v>
      </c>
      <c r="P775" s="43">
        <f>Tabla1[[#This Row],[Neto]]-Tabla1[[#This Row],[Costo Venta]]</f>
        <v>22.388654599999999</v>
      </c>
    </row>
    <row r="776" spans="1:16" x14ac:dyDescent="0.25">
      <c r="A776" s="48">
        <v>44957</v>
      </c>
      <c r="B776" s="1" t="s">
        <v>405</v>
      </c>
      <c r="C776" s="1" t="s">
        <v>65</v>
      </c>
      <c r="D776" s="1" t="s">
        <v>827</v>
      </c>
      <c r="E776" s="1" t="s">
        <v>71</v>
      </c>
      <c r="F776" s="1" t="s">
        <v>828</v>
      </c>
      <c r="G776" s="2">
        <v>79.2</v>
      </c>
      <c r="H776" s="1" t="s">
        <v>820</v>
      </c>
      <c r="I776" s="44">
        <f>Tabla1[[#This Row],[Descuento]]+Tabla1[[#This Row],[Neto]]</f>
        <v>3009.6</v>
      </c>
      <c r="J776" s="9">
        <v>1504.8</v>
      </c>
      <c r="K776" s="9">
        <v>1504.8</v>
      </c>
      <c r="L776" s="9">
        <v>657.60662879999995</v>
      </c>
      <c r="M776" s="24">
        <f>+Tabla1[[#This Row],[Costo Venta]]/Tabla1[[#This Row],[Cantidad]]</f>
        <v>8.303113999999999</v>
      </c>
      <c r="N776" s="3">
        <v>1</v>
      </c>
      <c r="O776" s="8">
        <f>+Tabla1[[#This Row],[Conversión]]*Tabla1[[#This Row],[Cantidad]]</f>
        <v>79.2</v>
      </c>
      <c r="P776" s="43">
        <f>Tabla1[[#This Row],[Neto]]-Tabla1[[#This Row],[Costo Venta]]</f>
        <v>847.1933712</v>
      </c>
    </row>
    <row r="777" spans="1:16" x14ac:dyDescent="0.25">
      <c r="A777" s="48">
        <v>45411</v>
      </c>
      <c r="B777" s="1" t="s">
        <v>405</v>
      </c>
      <c r="C777" s="1" t="s">
        <v>81</v>
      </c>
      <c r="D777" s="1" t="s">
        <v>829</v>
      </c>
      <c r="E777" s="1" t="s">
        <v>71</v>
      </c>
      <c r="F777" s="1" t="s">
        <v>828</v>
      </c>
      <c r="G777" s="2">
        <v>180</v>
      </c>
      <c r="H777" s="1" t="s">
        <v>820</v>
      </c>
      <c r="I777" s="44">
        <f>Tabla1[[#This Row],[Descuento]]+Tabla1[[#This Row],[Neto]]</f>
        <v>6183</v>
      </c>
      <c r="J777" s="9">
        <v>1854.9</v>
      </c>
      <c r="K777" s="9">
        <v>4328.1000000000004</v>
      </c>
      <c r="L777" s="9">
        <v>1384.5002400000001</v>
      </c>
      <c r="M777" s="24">
        <f>+Tabla1[[#This Row],[Costo Venta]]/Tabla1[[#This Row],[Cantidad]]</f>
        <v>7.6916680000000008</v>
      </c>
      <c r="N777" s="3">
        <v>1</v>
      </c>
      <c r="O777" s="8">
        <f>+Tabla1[[#This Row],[Conversión]]*Tabla1[[#This Row],[Cantidad]]</f>
        <v>180</v>
      </c>
      <c r="P777" s="43">
        <f>Tabla1[[#This Row],[Neto]]-Tabla1[[#This Row],[Costo Venta]]</f>
        <v>2943.5997600000001</v>
      </c>
    </row>
    <row r="778" spans="1:16" x14ac:dyDescent="0.25">
      <c r="A778" s="48">
        <v>45441</v>
      </c>
      <c r="B778" s="1" t="s">
        <v>405</v>
      </c>
      <c r="C778" s="1" t="s">
        <v>29</v>
      </c>
      <c r="D778" s="1" t="s">
        <v>830</v>
      </c>
      <c r="E778" s="1" t="s">
        <v>132</v>
      </c>
      <c r="F778" s="1" t="s">
        <v>29</v>
      </c>
      <c r="G778" s="2">
        <v>9.6</v>
      </c>
      <c r="H778" s="1" t="s">
        <v>820</v>
      </c>
      <c r="I778" s="44">
        <f>Tabla1[[#This Row],[Descuento]]+Tabla1[[#This Row],[Neto]]</f>
        <v>346.37040000000002</v>
      </c>
      <c r="J778" s="9">
        <v>103.9104</v>
      </c>
      <c r="K778" s="9">
        <v>242.46</v>
      </c>
      <c r="L778" s="9">
        <v>53.992003199999999</v>
      </c>
      <c r="M778" s="24">
        <f>+Tabla1[[#This Row],[Costo Venta]]/Tabla1[[#This Row],[Cantidad]]</f>
        <v>5.6241669999999999</v>
      </c>
      <c r="N778" s="3">
        <v>1</v>
      </c>
      <c r="O778" s="8">
        <f>+Tabla1[[#This Row],[Conversión]]*Tabla1[[#This Row],[Cantidad]]</f>
        <v>9.6</v>
      </c>
      <c r="P778" s="43">
        <f>Tabla1[[#This Row],[Neto]]-Tabla1[[#This Row],[Costo Venta]]</f>
        <v>188.46799680000001</v>
      </c>
    </row>
    <row r="779" spans="1:16" x14ac:dyDescent="0.25">
      <c r="A779" s="48">
        <v>45048</v>
      </c>
      <c r="B779" s="1" t="s">
        <v>405</v>
      </c>
      <c r="C779" s="1" t="s">
        <v>109</v>
      </c>
      <c r="D779" s="1" t="s">
        <v>831</v>
      </c>
      <c r="E779" s="1" t="s">
        <v>67</v>
      </c>
      <c r="F779" s="1" t="s">
        <v>20</v>
      </c>
      <c r="G779" s="2">
        <v>4.08</v>
      </c>
      <c r="H779" s="51" t="s">
        <v>832</v>
      </c>
      <c r="I779" s="44">
        <f>Tabla1[[#This Row],[Descuento]]+Tabla1[[#This Row],[Neto]]</f>
        <v>155.04400000000001</v>
      </c>
      <c r="J779" s="9">
        <v>54.264000000000003</v>
      </c>
      <c r="K779" s="9">
        <v>100.78</v>
      </c>
      <c r="L779" s="9">
        <v>28.69962984</v>
      </c>
      <c r="M779" s="24">
        <f>+Tabla1[[#This Row],[Costo Venta]]/Tabla1[[#This Row],[Cantidad]]</f>
        <v>7.0342229999999999</v>
      </c>
      <c r="N779" s="3">
        <v>1</v>
      </c>
      <c r="O779" s="8">
        <f>+Tabla1[[#This Row],[Conversión]]*Tabla1[[#This Row],[Cantidad]]</f>
        <v>4.08</v>
      </c>
      <c r="P779" s="43">
        <f>Tabla1[[#This Row],[Neto]]-Tabla1[[#This Row],[Costo Venta]]</f>
        <v>72.080370160000001</v>
      </c>
    </row>
    <row r="780" spans="1:16" x14ac:dyDescent="0.25">
      <c r="A780" s="48">
        <v>45061</v>
      </c>
      <c r="B780" s="1" t="s">
        <v>405</v>
      </c>
      <c r="C780" s="1" t="s">
        <v>109</v>
      </c>
      <c r="D780" s="1" t="s">
        <v>558</v>
      </c>
      <c r="E780" s="1" t="s">
        <v>67</v>
      </c>
      <c r="F780" s="1" t="s">
        <v>20</v>
      </c>
      <c r="G780" s="2">
        <v>20.16</v>
      </c>
      <c r="H780" s="51" t="s">
        <v>832</v>
      </c>
      <c r="I780" s="44">
        <f>Tabla1[[#This Row],[Descuento]]+Tabla1[[#This Row],[Neto]]</f>
        <v>766.07799999999997</v>
      </c>
      <c r="J780" s="9">
        <v>268.12799999999999</v>
      </c>
      <c r="K780" s="9">
        <v>497.95</v>
      </c>
      <c r="L780" s="9">
        <v>132.7657968</v>
      </c>
      <c r="M780" s="24">
        <f>+Tabla1[[#This Row],[Costo Venta]]/Tabla1[[#This Row],[Cantidad]]</f>
        <v>6.5856050000000002</v>
      </c>
      <c r="N780" s="3">
        <v>1</v>
      </c>
      <c r="O780" s="8">
        <f>+Tabla1[[#This Row],[Conversión]]*Tabla1[[#This Row],[Cantidad]]</f>
        <v>20.16</v>
      </c>
      <c r="P780" s="43">
        <f>Tabla1[[#This Row],[Neto]]-Tabla1[[#This Row],[Costo Venta]]</f>
        <v>365.18420319999996</v>
      </c>
    </row>
    <row r="781" spans="1:16" x14ac:dyDescent="0.25">
      <c r="A781" s="48">
        <v>45103</v>
      </c>
      <c r="B781" s="1" t="s">
        <v>405</v>
      </c>
      <c r="C781" s="1" t="s">
        <v>81</v>
      </c>
      <c r="D781" s="1" t="s">
        <v>833</v>
      </c>
      <c r="E781" s="1" t="s">
        <v>71</v>
      </c>
      <c r="F781" s="1" t="s">
        <v>283</v>
      </c>
      <c r="G781" s="2">
        <v>4</v>
      </c>
      <c r="H781" s="51" t="s">
        <v>832</v>
      </c>
      <c r="I781" s="44">
        <f>Tabla1[[#This Row],[Descuento]]+Tabla1[[#This Row],[Neto]]</f>
        <v>152</v>
      </c>
      <c r="J781" s="9">
        <v>15.2</v>
      </c>
      <c r="K781" s="9">
        <v>136.80000000000001</v>
      </c>
      <c r="L781" s="9">
        <v>26.342420000000001</v>
      </c>
      <c r="M781" s="24">
        <f>+Tabla1[[#This Row],[Costo Venta]]/Tabla1[[#This Row],[Cantidad]]</f>
        <v>6.5856050000000002</v>
      </c>
      <c r="N781" s="3">
        <v>1</v>
      </c>
      <c r="O781" s="8">
        <f>+Tabla1[[#This Row],[Conversión]]*Tabla1[[#This Row],[Cantidad]]</f>
        <v>4</v>
      </c>
      <c r="P781" s="43">
        <f>Tabla1[[#This Row],[Neto]]-Tabla1[[#This Row],[Costo Venta]]</f>
        <v>110.45758000000001</v>
      </c>
    </row>
    <row r="782" spans="1:16" x14ac:dyDescent="0.25">
      <c r="A782" s="48">
        <v>45212</v>
      </c>
      <c r="B782" s="1" t="s">
        <v>405</v>
      </c>
      <c r="C782" s="1" t="s">
        <v>81</v>
      </c>
      <c r="D782" s="1" t="s">
        <v>834</v>
      </c>
      <c r="E782" s="1" t="s">
        <v>67</v>
      </c>
      <c r="F782" s="1" t="s">
        <v>20</v>
      </c>
      <c r="G782" s="2">
        <v>8.16</v>
      </c>
      <c r="H782" s="51" t="s">
        <v>832</v>
      </c>
      <c r="I782" s="44">
        <f>Tabla1[[#This Row],[Descuento]]+Tabla1[[#This Row],[Neto]]</f>
        <v>317.26128</v>
      </c>
      <c r="J782" s="9">
        <v>111.04128</v>
      </c>
      <c r="K782" s="9">
        <v>206.22</v>
      </c>
      <c r="L782" s="9">
        <v>50.728908480000001</v>
      </c>
      <c r="M782" s="24">
        <f>+Tabla1[[#This Row],[Costo Venta]]/Tabla1[[#This Row],[Cantidad]]</f>
        <v>6.2167779999999997</v>
      </c>
      <c r="N782" s="3">
        <v>1</v>
      </c>
      <c r="O782" s="8">
        <f>+Tabla1[[#This Row],[Conversión]]*Tabla1[[#This Row],[Cantidad]]</f>
        <v>8.16</v>
      </c>
      <c r="P782" s="43">
        <f>Tabla1[[#This Row],[Neto]]-Tabla1[[#This Row],[Costo Venta]]</f>
        <v>155.49109152</v>
      </c>
    </row>
    <row r="783" spans="1:16" x14ac:dyDescent="0.25">
      <c r="A783" s="48">
        <v>45230</v>
      </c>
      <c r="B783" s="1" t="s">
        <v>405</v>
      </c>
      <c r="C783" s="1" t="s">
        <v>214</v>
      </c>
      <c r="D783" s="1" t="s">
        <v>835</v>
      </c>
      <c r="E783" s="1" t="s">
        <v>132</v>
      </c>
      <c r="F783" s="1" t="s">
        <v>16</v>
      </c>
      <c r="G783" s="2">
        <v>3</v>
      </c>
      <c r="H783" s="51" t="s">
        <v>832</v>
      </c>
      <c r="I783" s="44">
        <f>Tabla1[[#This Row],[Descuento]]+Tabla1[[#This Row],[Neto]]</f>
        <v>116.64399999999999</v>
      </c>
      <c r="J783" s="9">
        <v>40.823999999999998</v>
      </c>
      <c r="K783" s="9">
        <v>75.819999999999993</v>
      </c>
      <c r="L783" s="9">
        <v>18.650334000000001</v>
      </c>
      <c r="M783" s="24">
        <f>+Tabla1[[#This Row],[Costo Venta]]/Tabla1[[#This Row],[Cantidad]]</f>
        <v>6.2167780000000006</v>
      </c>
      <c r="N783" s="3">
        <v>1</v>
      </c>
      <c r="O783" s="8">
        <f>+Tabla1[[#This Row],[Conversión]]*Tabla1[[#This Row],[Cantidad]]</f>
        <v>3</v>
      </c>
      <c r="P783" s="43">
        <f>Tabla1[[#This Row],[Neto]]-Tabla1[[#This Row],[Costo Venta]]</f>
        <v>57.169665999999992</v>
      </c>
    </row>
    <row r="784" spans="1:16" x14ac:dyDescent="0.25">
      <c r="A784" s="48">
        <v>45246</v>
      </c>
      <c r="B784" s="1" t="s">
        <v>405</v>
      </c>
      <c r="C784" s="1" t="s">
        <v>214</v>
      </c>
      <c r="D784" s="1" t="s">
        <v>836</v>
      </c>
      <c r="E784" s="1" t="s">
        <v>132</v>
      </c>
      <c r="F784" s="1" t="s">
        <v>16</v>
      </c>
      <c r="G784" s="2">
        <v>2</v>
      </c>
      <c r="H784" s="51" t="s">
        <v>832</v>
      </c>
      <c r="I784" s="44">
        <f>Tabla1[[#This Row],[Descuento]]+Tabla1[[#This Row],[Neto]]</f>
        <v>77.756</v>
      </c>
      <c r="J784" s="9">
        <v>27.216000000000001</v>
      </c>
      <c r="K784" s="9">
        <v>50.54</v>
      </c>
      <c r="L784" s="9">
        <v>12.433555999999999</v>
      </c>
      <c r="M784" s="24">
        <f>+Tabla1[[#This Row],[Costo Venta]]/Tabla1[[#This Row],[Cantidad]]</f>
        <v>6.2167779999999997</v>
      </c>
      <c r="N784" s="3">
        <v>1</v>
      </c>
      <c r="O784" s="8">
        <f>+Tabla1[[#This Row],[Conversión]]*Tabla1[[#This Row],[Cantidad]]</f>
        <v>2</v>
      </c>
      <c r="P784" s="43">
        <f>Tabla1[[#This Row],[Neto]]-Tabla1[[#This Row],[Costo Venta]]</f>
        <v>38.106443999999996</v>
      </c>
    </row>
    <row r="785" spans="1:16" x14ac:dyDescent="0.25">
      <c r="A785" s="48">
        <v>45798</v>
      </c>
      <c r="B785" s="1" t="s">
        <v>405</v>
      </c>
      <c r="C785" s="1" t="s">
        <v>65</v>
      </c>
      <c r="D785" s="1" t="s">
        <v>837</v>
      </c>
      <c r="E785" s="1" t="s">
        <v>67</v>
      </c>
      <c r="F785" s="1" t="s">
        <v>9</v>
      </c>
      <c r="G785" s="2">
        <v>64.08</v>
      </c>
      <c r="H785" s="51" t="s">
        <v>838</v>
      </c>
      <c r="I785" s="44">
        <f>Tabla1[[#This Row],[Descuento]]+Tabla1[[#This Row],[Neto]]</f>
        <v>2201.1466</v>
      </c>
      <c r="J785" s="9">
        <v>990.51660000000004</v>
      </c>
      <c r="K785" s="9">
        <v>1210.6300000000001</v>
      </c>
      <c r="L785" s="9">
        <v>390.99808944</v>
      </c>
      <c r="M785" s="24">
        <f>+Tabla1[[#This Row],[Costo Venta]]/Tabla1[[#This Row],[Cantidad]]</f>
        <v>6.101718</v>
      </c>
      <c r="N785" s="3">
        <v>1</v>
      </c>
      <c r="O785" s="8">
        <f>+Tabla1[[#This Row],[Conversión]]*Tabla1[[#This Row],[Cantidad]]</f>
        <v>64.08</v>
      </c>
      <c r="P785" s="43">
        <f>Tabla1[[#This Row],[Neto]]-Tabla1[[#This Row],[Costo Venta]]</f>
        <v>819.63191056000005</v>
      </c>
    </row>
    <row r="786" spans="1:16" x14ac:dyDescent="0.25">
      <c r="A786" s="48">
        <v>44931</v>
      </c>
      <c r="B786" s="1" t="s">
        <v>405</v>
      </c>
      <c r="C786" s="1" t="s">
        <v>109</v>
      </c>
      <c r="D786" s="1" t="s">
        <v>110</v>
      </c>
      <c r="E786" s="1" t="s">
        <v>71</v>
      </c>
      <c r="F786" s="1" t="s">
        <v>111</v>
      </c>
      <c r="G786" s="2">
        <v>19.2</v>
      </c>
      <c r="H786" s="51" t="s">
        <v>839</v>
      </c>
      <c r="I786" s="44">
        <f>Tabla1[[#This Row],[Descuento]]+Tabla1[[#This Row],[Neto]]</f>
        <v>729.6</v>
      </c>
      <c r="J786" s="9">
        <v>0</v>
      </c>
      <c r="K786" s="9">
        <v>729.6</v>
      </c>
      <c r="L786" s="9">
        <v>105.63957120000001</v>
      </c>
      <c r="M786" s="24">
        <f>+Tabla1[[#This Row],[Costo Venta]]/Tabla1[[#This Row],[Cantidad]]</f>
        <v>5.5020610000000003</v>
      </c>
      <c r="N786" s="3">
        <v>1</v>
      </c>
      <c r="O786" s="8">
        <f>+Tabla1[[#This Row],[Conversión]]*Tabla1[[#This Row],[Cantidad]]</f>
        <v>19.2</v>
      </c>
      <c r="P786" s="43">
        <f>Tabla1[[#This Row],[Neto]]-Tabla1[[#This Row],[Costo Venta]]</f>
        <v>623.96042880000005</v>
      </c>
    </row>
    <row r="787" spans="1:16" x14ac:dyDescent="0.25">
      <c r="A787" s="48">
        <v>44938</v>
      </c>
      <c r="B787" s="1" t="s">
        <v>405</v>
      </c>
      <c r="C787" s="1" t="s">
        <v>115</v>
      </c>
      <c r="D787" s="1" t="s">
        <v>116</v>
      </c>
      <c r="E787" s="1" t="s">
        <v>71</v>
      </c>
      <c r="F787" s="1" t="s">
        <v>117</v>
      </c>
      <c r="G787" s="2">
        <v>50.16</v>
      </c>
      <c r="H787" s="51" t="s">
        <v>839</v>
      </c>
      <c r="I787" s="44">
        <f>Tabla1[[#This Row],[Descuento]]+Tabla1[[#This Row],[Neto]]</f>
        <v>1906.0763999999999</v>
      </c>
      <c r="J787" s="9">
        <v>152.4864</v>
      </c>
      <c r="K787" s="9">
        <v>1753.59</v>
      </c>
      <c r="L787" s="9">
        <v>267.5436588</v>
      </c>
      <c r="M787" s="24">
        <f>+Tabla1[[#This Row],[Costo Venta]]/Tabla1[[#This Row],[Cantidad]]</f>
        <v>5.3338050000000008</v>
      </c>
      <c r="N787" s="3">
        <v>1</v>
      </c>
      <c r="O787" s="8">
        <f>+Tabla1[[#This Row],[Conversión]]*Tabla1[[#This Row],[Cantidad]]</f>
        <v>50.16</v>
      </c>
      <c r="P787" s="43">
        <f>Tabla1[[#This Row],[Neto]]-Tabla1[[#This Row],[Costo Venta]]</f>
        <v>1486.0463411999999</v>
      </c>
    </row>
    <row r="788" spans="1:16" x14ac:dyDescent="0.25">
      <c r="A788" s="48">
        <v>44949</v>
      </c>
      <c r="B788" s="1" t="s">
        <v>405</v>
      </c>
      <c r="C788" s="1" t="s">
        <v>115</v>
      </c>
      <c r="D788" s="1" t="s">
        <v>125</v>
      </c>
      <c r="E788" s="1" t="s">
        <v>71</v>
      </c>
      <c r="F788" s="1" t="s">
        <v>126</v>
      </c>
      <c r="G788" s="2">
        <v>10.08</v>
      </c>
      <c r="H788" s="51" t="s">
        <v>839</v>
      </c>
      <c r="I788" s="44">
        <f>Tabla1[[#This Row],[Descuento]]+Tabla1[[#This Row],[Neto]]</f>
        <v>383.04</v>
      </c>
      <c r="J788" s="9">
        <v>0</v>
      </c>
      <c r="K788" s="9">
        <v>383.04</v>
      </c>
      <c r="L788" s="9">
        <v>55.165904640000001</v>
      </c>
      <c r="M788" s="24">
        <f>+Tabla1[[#This Row],[Costo Venta]]/Tabla1[[#This Row],[Cantidad]]</f>
        <v>5.4728079999999997</v>
      </c>
      <c r="N788" s="3">
        <v>1</v>
      </c>
      <c r="O788" s="8">
        <f>+Tabla1[[#This Row],[Conversión]]*Tabla1[[#This Row],[Cantidad]]</f>
        <v>10.08</v>
      </c>
      <c r="P788" s="43">
        <f>Tabla1[[#This Row],[Neto]]-Tabla1[[#This Row],[Costo Venta]]</f>
        <v>327.87409536000001</v>
      </c>
    </row>
    <row r="789" spans="1:16" x14ac:dyDescent="0.25">
      <c r="A789" s="48">
        <v>44949</v>
      </c>
      <c r="B789" s="1" t="s">
        <v>405</v>
      </c>
      <c r="C789" s="1" t="s">
        <v>109</v>
      </c>
      <c r="D789" s="1" t="s">
        <v>840</v>
      </c>
      <c r="E789" s="1" t="s">
        <v>67</v>
      </c>
      <c r="F789" s="1" t="s">
        <v>15</v>
      </c>
      <c r="G789" s="2">
        <v>1.44</v>
      </c>
      <c r="H789" s="51" t="s">
        <v>839</v>
      </c>
      <c r="I789" s="44">
        <f>Tabla1[[#This Row],[Descuento]]+Tabla1[[#This Row],[Neto]]</f>
        <v>54.715999999999994</v>
      </c>
      <c r="J789" s="9">
        <v>16.416</v>
      </c>
      <c r="K789" s="9">
        <v>38.299999999999997</v>
      </c>
      <c r="L789" s="9">
        <v>7.88084352</v>
      </c>
      <c r="M789" s="24">
        <f>+Tabla1[[#This Row],[Costo Venta]]/Tabla1[[#This Row],[Cantidad]]</f>
        <v>5.4728080000000006</v>
      </c>
      <c r="N789" s="3">
        <v>1</v>
      </c>
      <c r="O789" s="8">
        <f>+Tabla1[[#This Row],[Conversión]]*Tabla1[[#This Row],[Cantidad]]</f>
        <v>1.44</v>
      </c>
      <c r="P789" s="43">
        <f>Tabla1[[#This Row],[Neto]]-Tabla1[[#This Row],[Costo Venta]]</f>
        <v>30.419156479999998</v>
      </c>
    </row>
    <row r="790" spans="1:16" x14ac:dyDescent="0.25">
      <c r="A790" s="48">
        <v>44987</v>
      </c>
      <c r="B790" s="1" t="s">
        <v>405</v>
      </c>
      <c r="C790" s="1" t="s">
        <v>109</v>
      </c>
      <c r="D790" s="1" t="s">
        <v>841</v>
      </c>
      <c r="E790" s="1" t="s">
        <v>67</v>
      </c>
      <c r="F790" s="1" t="s">
        <v>20</v>
      </c>
      <c r="G790" s="2">
        <v>7.2</v>
      </c>
      <c r="H790" s="51" t="s">
        <v>839</v>
      </c>
      <c r="I790" s="44">
        <f>Tabla1[[#This Row],[Descuento]]+Tabla1[[#This Row],[Neto]]</f>
        <v>273.60000000000002</v>
      </c>
      <c r="J790" s="9">
        <v>95.76</v>
      </c>
      <c r="K790" s="9">
        <v>177.84</v>
      </c>
      <c r="L790" s="9">
        <v>39.520843200000002</v>
      </c>
      <c r="M790" s="24">
        <f>+Tabla1[[#This Row],[Costo Venta]]/Tabla1[[#This Row],[Cantidad]]</f>
        <v>5.4890059999999998</v>
      </c>
      <c r="N790" s="3">
        <v>1</v>
      </c>
      <c r="O790" s="8">
        <f>+Tabla1[[#This Row],[Conversión]]*Tabla1[[#This Row],[Cantidad]]</f>
        <v>7.2</v>
      </c>
      <c r="P790" s="43">
        <f>Tabla1[[#This Row],[Neto]]-Tabla1[[#This Row],[Costo Venta]]</f>
        <v>138.3191568</v>
      </c>
    </row>
    <row r="791" spans="1:16" x14ac:dyDescent="0.25">
      <c r="A791" s="48">
        <v>45013</v>
      </c>
      <c r="B791" s="1" t="s">
        <v>405</v>
      </c>
      <c r="C791" s="1" t="s">
        <v>109</v>
      </c>
      <c r="D791" s="1" t="s">
        <v>842</v>
      </c>
      <c r="E791" s="1" t="s">
        <v>67</v>
      </c>
      <c r="F791" s="1" t="s">
        <v>9</v>
      </c>
      <c r="G791" s="2">
        <v>4.08</v>
      </c>
      <c r="H791" s="51" t="s">
        <v>839</v>
      </c>
      <c r="I791" s="44">
        <f>Tabla1[[#This Row],[Descuento]]+Tabla1[[#This Row],[Neto]]</f>
        <v>155.04400000000001</v>
      </c>
      <c r="J791" s="9">
        <v>54.264000000000003</v>
      </c>
      <c r="K791" s="9">
        <v>100.78</v>
      </c>
      <c r="L791" s="9">
        <v>22.395144479999999</v>
      </c>
      <c r="M791" s="24">
        <f>+Tabla1[[#This Row],[Costo Venta]]/Tabla1[[#This Row],[Cantidad]]</f>
        <v>5.4890059999999998</v>
      </c>
      <c r="N791" s="3">
        <v>1</v>
      </c>
      <c r="O791" s="8">
        <f>+Tabla1[[#This Row],[Conversión]]*Tabla1[[#This Row],[Cantidad]]</f>
        <v>4.08</v>
      </c>
      <c r="P791" s="43">
        <f>Tabla1[[#This Row],[Neto]]-Tabla1[[#This Row],[Costo Venta]]</f>
        <v>78.384855520000002</v>
      </c>
    </row>
    <row r="792" spans="1:16" x14ac:dyDescent="0.25">
      <c r="A792" s="48">
        <v>45016</v>
      </c>
      <c r="B792" s="1" t="s">
        <v>405</v>
      </c>
      <c r="C792" s="1" t="s">
        <v>109</v>
      </c>
      <c r="D792" s="1" t="s">
        <v>843</v>
      </c>
      <c r="E792" s="1" t="s">
        <v>67</v>
      </c>
      <c r="F792" s="1" t="s">
        <v>9</v>
      </c>
      <c r="G792" s="2">
        <v>2.16</v>
      </c>
      <c r="H792" s="51" t="s">
        <v>839</v>
      </c>
      <c r="I792" s="44">
        <f>Tabla1[[#This Row],[Descuento]]+Tabla1[[#This Row],[Neto]]</f>
        <v>82.078000000000003</v>
      </c>
      <c r="J792" s="9">
        <v>28.728000000000002</v>
      </c>
      <c r="K792" s="9">
        <v>53.35</v>
      </c>
      <c r="L792" s="9">
        <v>11.856252960000001</v>
      </c>
      <c r="M792" s="24">
        <f>+Tabla1[[#This Row],[Costo Venta]]/Tabla1[[#This Row],[Cantidad]]</f>
        <v>5.4890059999999998</v>
      </c>
      <c r="N792" s="3">
        <v>1</v>
      </c>
      <c r="O792" s="8">
        <f>+Tabla1[[#This Row],[Conversión]]*Tabla1[[#This Row],[Cantidad]]</f>
        <v>2.16</v>
      </c>
      <c r="P792" s="43">
        <f>Tabla1[[#This Row],[Neto]]-Tabla1[[#This Row],[Costo Venta]]</f>
        <v>41.493747040000002</v>
      </c>
    </row>
    <row r="793" spans="1:16" x14ac:dyDescent="0.25">
      <c r="A793" s="48">
        <v>45016</v>
      </c>
      <c r="B793" s="1" t="s">
        <v>405</v>
      </c>
      <c r="C793" s="1" t="s">
        <v>109</v>
      </c>
      <c r="D793" s="1" t="s">
        <v>844</v>
      </c>
      <c r="E793" s="1" t="s">
        <v>67</v>
      </c>
      <c r="F793" s="1" t="s">
        <v>9</v>
      </c>
      <c r="G793" s="2">
        <v>5.04</v>
      </c>
      <c r="H793" s="51" t="s">
        <v>839</v>
      </c>
      <c r="I793" s="44">
        <f>Tabla1[[#This Row],[Descuento]]+Tabla1[[#This Row],[Neto]]</f>
        <v>191.52199999999999</v>
      </c>
      <c r="J793" s="9">
        <v>67.031999999999996</v>
      </c>
      <c r="K793" s="9">
        <v>124.49</v>
      </c>
      <c r="L793" s="9">
        <v>27.664590239999999</v>
      </c>
      <c r="M793" s="24">
        <f>+Tabla1[[#This Row],[Costo Venta]]/Tabla1[[#This Row],[Cantidad]]</f>
        <v>5.4890059999999998</v>
      </c>
      <c r="N793" s="3">
        <v>1</v>
      </c>
      <c r="O793" s="8">
        <f>+Tabla1[[#This Row],[Conversión]]*Tabla1[[#This Row],[Cantidad]]</f>
        <v>5.04</v>
      </c>
      <c r="P793" s="43">
        <f>Tabla1[[#This Row],[Neto]]-Tabla1[[#This Row],[Costo Venta]]</f>
        <v>96.825409759999999</v>
      </c>
    </row>
    <row r="794" spans="1:16" x14ac:dyDescent="0.25">
      <c r="A794" s="48">
        <v>45028</v>
      </c>
      <c r="B794" s="1" t="s">
        <v>405</v>
      </c>
      <c r="C794" s="1" t="s">
        <v>109</v>
      </c>
      <c r="D794" s="1" t="s">
        <v>845</v>
      </c>
      <c r="E794" s="1" t="s">
        <v>67</v>
      </c>
      <c r="F794" s="1" t="s">
        <v>20</v>
      </c>
      <c r="G794" s="2">
        <v>9.1199999999999992</v>
      </c>
      <c r="H794" s="51" t="s">
        <v>839</v>
      </c>
      <c r="I794" s="44">
        <f>Tabla1[[#This Row],[Descuento]]+Tabla1[[#This Row],[Neto]]</f>
        <v>346.55599999999998</v>
      </c>
      <c r="J794" s="9">
        <v>121.29600000000001</v>
      </c>
      <c r="K794" s="9">
        <v>225.26</v>
      </c>
      <c r="L794" s="9">
        <v>48.636841439999998</v>
      </c>
      <c r="M794" s="24">
        <f>+Tabla1[[#This Row],[Costo Venta]]/Tabla1[[#This Row],[Cantidad]]</f>
        <v>5.3329870000000001</v>
      </c>
      <c r="N794" s="3">
        <v>1</v>
      </c>
      <c r="O794" s="8">
        <f>+Tabla1[[#This Row],[Conversión]]*Tabla1[[#This Row],[Cantidad]]</f>
        <v>9.1199999999999992</v>
      </c>
      <c r="P794" s="43">
        <f>Tabla1[[#This Row],[Neto]]-Tabla1[[#This Row],[Costo Venta]]</f>
        <v>176.62315855999998</v>
      </c>
    </row>
    <row r="795" spans="1:16" x14ac:dyDescent="0.25">
      <c r="A795" s="48">
        <v>45028</v>
      </c>
      <c r="B795" s="1" t="s">
        <v>405</v>
      </c>
      <c r="C795" s="1" t="s">
        <v>109</v>
      </c>
      <c r="D795" s="1" t="s">
        <v>846</v>
      </c>
      <c r="E795" s="1" t="s">
        <v>67</v>
      </c>
      <c r="F795" s="1" t="s">
        <v>9</v>
      </c>
      <c r="G795" s="2">
        <v>6.96</v>
      </c>
      <c r="H795" s="51" t="s">
        <v>839</v>
      </c>
      <c r="I795" s="44">
        <f>Tabla1[[#This Row],[Descuento]]+Tabla1[[#This Row],[Neto]]</f>
        <v>264.47800000000001</v>
      </c>
      <c r="J795" s="9">
        <v>92.567999999999998</v>
      </c>
      <c r="K795" s="9">
        <v>171.91</v>
      </c>
      <c r="L795" s="9">
        <v>37.117589520000003</v>
      </c>
      <c r="M795" s="24">
        <f>+Tabla1[[#This Row],[Costo Venta]]/Tabla1[[#This Row],[Cantidad]]</f>
        <v>5.3329870000000001</v>
      </c>
      <c r="N795" s="3">
        <v>1</v>
      </c>
      <c r="O795" s="8">
        <f>+Tabla1[[#This Row],[Conversión]]*Tabla1[[#This Row],[Cantidad]]</f>
        <v>6.96</v>
      </c>
      <c r="P795" s="43">
        <f>Tabla1[[#This Row],[Neto]]-Tabla1[[#This Row],[Costo Venta]]</f>
        <v>134.79241048</v>
      </c>
    </row>
    <row r="796" spans="1:16" x14ac:dyDescent="0.25">
      <c r="A796" s="48">
        <v>45034</v>
      </c>
      <c r="B796" s="1" t="s">
        <v>405</v>
      </c>
      <c r="C796" s="1" t="s">
        <v>109</v>
      </c>
      <c r="D796" s="1" t="s">
        <v>847</v>
      </c>
      <c r="E796" s="1" t="s">
        <v>71</v>
      </c>
      <c r="F796" s="1" t="s">
        <v>848</v>
      </c>
      <c r="G796" s="2">
        <v>6.48</v>
      </c>
      <c r="H796" s="51" t="s">
        <v>839</v>
      </c>
      <c r="I796" s="44">
        <f>Tabla1[[#This Row],[Descuento]]+Tabla1[[#This Row],[Neto]]</f>
        <v>246.24</v>
      </c>
      <c r="J796" s="9">
        <v>0</v>
      </c>
      <c r="K796" s="9">
        <v>246.24</v>
      </c>
      <c r="L796" s="9">
        <v>36.457808399999998</v>
      </c>
      <c r="M796" s="24">
        <f>+Tabla1[[#This Row],[Costo Venta]]/Tabla1[[#This Row],[Cantidad]]</f>
        <v>5.6262049999999997</v>
      </c>
      <c r="N796" s="3">
        <v>1</v>
      </c>
      <c r="O796" s="8">
        <f>+Tabla1[[#This Row],[Conversión]]*Tabla1[[#This Row],[Cantidad]]</f>
        <v>6.48</v>
      </c>
      <c r="P796" s="43">
        <f>Tabla1[[#This Row],[Neto]]-Tabla1[[#This Row],[Costo Venta]]</f>
        <v>209.7821916</v>
      </c>
    </row>
    <row r="797" spans="1:16" x14ac:dyDescent="0.25">
      <c r="A797" s="48">
        <v>45048</v>
      </c>
      <c r="B797" s="1" t="s">
        <v>405</v>
      </c>
      <c r="C797" s="1" t="s">
        <v>81</v>
      </c>
      <c r="D797" s="1" t="s">
        <v>849</v>
      </c>
      <c r="E797" s="1" t="s">
        <v>71</v>
      </c>
      <c r="F797" s="1" t="s">
        <v>191</v>
      </c>
      <c r="G797" s="2">
        <v>20</v>
      </c>
      <c r="H797" s="51" t="s">
        <v>839</v>
      </c>
      <c r="I797" s="44">
        <f>Tabla1[[#This Row],[Descuento]]+Tabla1[[#This Row],[Neto]]</f>
        <v>760</v>
      </c>
      <c r="J797" s="9">
        <v>152</v>
      </c>
      <c r="K797" s="9">
        <v>608</v>
      </c>
      <c r="L797" s="9">
        <v>110.69056</v>
      </c>
      <c r="M797" s="24">
        <f>+Tabla1[[#This Row],[Costo Venta]]/Tabla1[[#This Row],[Cantidad]]</f>
        <v>5.5345279999999999</v>
      </c>
      <c r="N797" s="3">
        <v>1</v>
      </c>
      <c r="O797" s="8">
        <f>+Tabla1[[#This Row],[Conversión]]*Tabla1[[#This Row],[Cantidad]]</f>
        <v>20</v>
      </c>
      <c r="P797" s="43">
        <f>Tabla1[[#This Row],[Neto]]-Tabla1[[#This Row],[Costo Venta]]</f>
        <v>497.30944</v>
      </c>
    </row>
    <row r="798" spans="1:16" x14ac:dyDescent="0.25">
      <c r="A798" s="48">
        <v>45051</v>
      </c>
      <c r="B798" s="1" t="s">
        <v>405</v>
      </c>
      <c r="C798" s="1" t="s">
        <v>109</v>
      </c>
      <c r="D798" s="1" t="s">
        <v>850</v>
      </c>
      <c r="E798" s="1" t="s">
        <v>71</v>
      </c>
      <c r="F798" s="1" t="s">
        <v>848</v>
      </c>
      <c r="G798" s="2">
        <v>4.08</v>
      </c>
      <c r="H798" s="51" t="s">
        <v>839</v>
      </c>
      <c r="I798" s="44">
        <f>Tabla1[[#This Row],[Descuento]]+Tabla1[[#This Row],[Neto]]</f>
        <v>155.04</v>
      </c>
      <c r="J798" s="9">
        <v>0</v>
      </c>
      <c r="K798" s="9">
        <v>155.04</v>
      </c>
      <c r="L798" s="9">
        <v>22.58087424</v>
      </c>
      <c r="M798" s="24">
        <f>+Tabla1[[#This Row],[Costo Venta]]/Tabla1[[#This Row],[Cantidad]]</f>
        <v>5.5345279999999999</v>
      </c>
      <c r="N798" s="3">
        <v>1</v>
      </c>
      <c r="O798" s="8">
        <f>+Tabla1[[#This Row],[Conversión]]*Tabla1[[#This Row],[Cantidad]]</f>
        <v>4.08</v>
      </c>
      <c r="P798" s="43">
        <f>Tabla1[[#This Row],[Neto]]-Tabla1[[#This Row],[Costo Venta]]</f>
        <v>132.45912576000001</v>
      </c>
    </row>
    <row r="799" spans="1:16" x14ac:dyDescent="0.25">
      <c r="A799" s="48">
        <v>45054</v>
      </c>
      <c r="B799" s="1" t="s">
        <v>405</v>
      </c>
      <c r="C799" s="1" t="s">
        <v>81</v>
      </c>
      <c r="D799" s="1" t="s">
        <v>178</v>
      </c>
      <c r="E799" s="1" t="s">
        <v>71</v>
      </c>
      <c r="F799" s="1" t="s">
        <v>179</v>
      </c>
      <c r="G799" s="2">
        <v>23.76</v>
      </c>
      <c r="H799" s="51" t="s">
        <v>839</v>
      </c>
      <c r="I799" s="44">
        <f>Tabla1[[#This Row],[Descuento]]+Tabla1[[#This Row],[Neto]]</f>
        <v>902.88159999999993</v>
      </c>
      <c r="J799" s="9">
        <v>63.201599999999999</v>
      </c>
      <c r="K799" s="9">
        <v>839.68</v>
      </c>
      <c r="L799" s="9">
        <v>131.50038527999999</v>
      </c>
      <c r="M799" s="24">
        <f>+Tabla1[[#This Row],[Costo Venta]]/Tabla1[[#This Row],[Cantidad]]</f>
        <v>5.534527999999999</v>
      </c>
      <c r="N799" s="3">
        <v>1</v>
      </c>
      <c r="O799" s="8">
        <f>+Tabla1[[#This Row],[Conversión]]*Tabla1[[#This Row],[Cantidad]]</f>
        <v>23.76</v>
      </c>
      <c r="P799" s="43">
        <f>Tabla1[[#This Row],[Neto]]-Tabla1[[#This Row],[Costo Venta]]</f>
        <v>708.17961472000002</v>
      </c>
    </row>
    <row r="800" spans="1:16" x14ac:dyDescent="0.25">
      <c r="A800" s="48">
        <v>45076</v>
      </c>
      <c r="B800" s="1" t="s">
        <v>405</v>
      </c>
      <c r="C800" s="1" t="s">
        <v>81</v>
      </c>
      <c r="D800" s="1" t="s">
        <v>190</v>
      </c>
      <c r="E800" s="1" t="s">
        <v>71</v>
      </c>
      <c r="F800" s="1" t="s">
        <v>191</v>
      </c>
      <c r="G800" s="2">
        <v>7</v>
      </c>
      <c r="H800" s="51" t="s">
        <v>839</v>
      </c>
      <c r="I800" s="44">
        <f>Tabla1[[#This Row],[Descuento]]+Tabla1[[#This Row],[Neto]]</f>
        <v>266</v>
      </c>
      <c r="J800" s="9">
        <v>53.2</v>
      </c>
      <c r="K800" s="9">
        <v>212.8</v>
      </c>
      <c r="L800" s="9">
        <v>38.164909999999999</v>
      </c>
      <c r="M800" s="24">
        <f>+Tabla1[[#This Row],[Costo Venta]]/Tabla1[[#This Row],[Cantidad]]</f>
        <v>5.4521299999999995</v>
      </c>
      <c r="N800" s="3">
        <v>1</v>
      </c>
      <c r="O800" s="8">
        <f>+Tabla1[[#This Row],[Conversión]]*Tabla1[[#This Row],[Cantidad]]</f>
        <v>7</v>
      </c>
      <c r="P800" s="43">
        <f>Tabla1[[#This Row],[Neto]]-Tabla1[[#This Row],[Costo Venta]]</f>
        <v>174.63509000000002</v>
      </c>
    </row>
    <row r="801" spans="1:16" x14ac:dyDescent="0.25">
      <c r="A801" s="48">
        <v>45078</v>
      </c>
      <c r="B801" s="1" t="s">
        <v>405</v>
      </c>
      <c r="C801" s="1" t="s">
        <v>81</v>
      </c>
      <c r="D801" s="1" t="s">
        <v>851</v>
      </c>
      <c r="E801" s="1" t="s">
        <v>132</v>
      </c>
      <c r="F801" s="1" t="s">
        <v>852</v>
      </c>
      <c r="G801" s="2">
        <v>16.079999999999998</v>
      </c>
      <c r="H801" s="51" t="s">
        <v>839</v>
      </c>
      <c r="I801" s="44">
        <f>Tabla1[[#This Row],[Descuento]]+Tabla1[[#This Row],[Neto]]</f>
        <v>611.0440000000001</v>
      </c>
      <c r="J801" s="9">
        <v>61.103999999999999</v>
      </c>
      <c r="K801" s="9">
        <v>549.94000000000005</v>
      </c>
      <c r="L801" s="9">
        <v>87.6702504</v>
      </c>
      <c r="M801" s="24">
        <f>+Tabla1[[#This Row],[Costo Venta]]/Tabla1[[#This Row],[Cantidad]]</f>
        <v>5.4521300000000004</v>
      </c>
      <c r="N801" s="3">
        <v>1</v>
      </c>
      <c r="O801" s="8">
        <f>+Tabla1[[#This Row],[Conversión]]*Tabla1[[#This Row],[Cantidad]]</f>
        <v>16.079999999999998</v>
      </c>
      <c r="P801" s="43">
        <f>Tabla1[[#This Row],[Neto]]-Tabla1[[#This Row],[Costo Venta]]</f>
        <v>462.26974960000007</v>
      </c>
    </row>
    <row r="802" spans="1:16" x14ac:dyDescent="0.25">
      <c r="A802" s="48">
        <v>45111</v>
      </c>
      <c r="B802" s="1" t="s">
        <v>405</v>
      </c>
      <c r="C802" s="1" t="s">
        <v>109</v>
      </c>
      <c r="D802" s="1" t="s">
        <v>202</v>
      </c>
      <c r="E802" s="1" t="s">
        <v>71</v>
      </c>
      <c r="F802" s="1" t="s">
        <v>203</v>
      </c>
      <c r="G802" s="2">
        <v>78</v>
      </c>
      <c r="H802" s="51" t="s">
        <v>839</v>
      </c>
      <c r="I802" s="44">
        <f>Tabla1[[#This Row],[Descuento]]+Tabla1[[#This Row],[Neto]]</f>
        <v>2964</v>
      </c>
      <c r="J802" s="9">
        <v>296.39999999999998</v>
      </c>
      <c r="K802" s="9">
        <v>2667.6</v>
      </c>
      <c r="L802" s="9">
        <v>425.26614000000001</v>
      </c>
      <c r="M802" s="24">
        <f>+Tabla1[[#This Row],[Costo Venta]]/Tabla1[[#This Row],[Cantidad]]</f>
        <v>5.4521300000000004</v>
      </c>
      <c r="N802" s="3">
        <v>1</v>
      </c>
      <c r="O802" s="8">
        <f>+Tabla1[[#This Row],[Conversión]]*Tabla1[[#This Row],[Cantidad]]</f>
        <v>78</v>
      </c>
      <c r="P802" s="43">
        <f>Tabla1[[#This Row],[Neto]]-Tabla1[[#This Row],[Costo Venta]]</f>
        <v>2242.3338599999997</v>
      </c>
    </row>
    <row r="803" spans="1:16" x14ac:dyDescent="0.25">
      <c r="A803" s="48">
        <v>45117</v>
      </c>
      <c r="B803" s="1" t="s">
        <v>405</v>
      </c>
      <c r="C803" s="1" t="s">
        <v>81</v>
      </c>
      <c r="D803" s="1" t="s">
        <v>207</v>
      </c>
      <c r="E803" s="1" t="s">
        <v>71</v>
      </c>
      <c r="F803" s="1" t="s">
        <v>208</v>
      </c>
      <c r="G803" s="2">
        <v>36</v>
      </c>
      <c r="H803" s="51" t="s">
        <v>839</v>
      </c>
      <c r="I803" s="44">
        <f>Tabla1[[#This Row],[Descuento]]+Tabla1[[#This Row],[Neto]]</f>
        <v>1368</v>
      </c>
      <c r="J803" s="9">
        <v>68.400000000000006</v>
      </c>
      <c r="K803" s="9">
        <v>1299.5999999999999</v>
      </c>
      <c r="L803" s="9">
        <v>182.58750000000001</v>
      </c>
      <c r="M803" s="24">
        <f>+Tabla1[[#This Row],[Costo Venta]]/Tabla1[[#This Row],[Cantidad]]</f>
        <v>5.0718750000000004</v>
      </c>
      <c r="N803" s="3">
        <v>1</v>
      </c>
      <c r="O803" s="8">
        <f>+Tabla1[[#This Row],[Conversión]]*Tabla1[[#This Row],[Cantidad]]</f>
        <v>36</v>
      </c>
      <c r="P803" s="43">
        <f>Tabla1[[#This Row],[Neto]]-Tabla1[[#This Row],[Costo Venta]]</f>
        <v>1117.0124999999998</v>
      </c>
    </row>
    <row r="804" spans="1:16" x14ac:dyDescent="0.25">
      <c r="A804" s="48">
        <v>45125</v>
      </c>
      <c r="B804" s="1" t="s">
        <v>405</v>
      </c>
      <c r="C804" s="1" t="s">
        <v>81</v>
      </c>
      <c r="D804" s="1" t="s">
        <v>853</v>
      </c>
      <c r="E804" s="1" t="s">
        <v>71</v>
      </c>
      <c r="F804" s="1" t="s">
        <v>208</v>
      </c>
      <c r="G804" s="2">
        <v>6</v>
      </c>
      <c r="H804" s="51" t="s">
        <v>839</v>
      </c>
      <c r="I804" s="44">
        <f>Tabla1[[#This Row],[Descuento]]+Tabla1[[#This Row],[Neto]]</f>
        <v>228</v>
      </c>
      <c r="J804" s="9">
        <v>11.4</v>
      </c>
      <c r="K804" s="9">
        <v>216.6</v>
      </c>
      <c r="L804" s="9">
        <v>33.588678000000002</v>
      </c>
      <c r="M804" s="24">
        <f>+Tabla1[[#This Row],[Costo Venta]]/Tabla1[[#This Row],[Cantidad]]</f>
        <v>5.5981130000000006</v>
      </c>
      <c r="N804" s="3">
        <v>1</v>
      </c>
      <c r="O804" s="8">
        <f>+Tabla1[[#This Row],[Conversión]]*Tabla1[[#This Row],[Cantidad]]</f>
        <v>6</v>
      </c>
      <c r="P804" s="43">
        <f>Tabla1[[#This Row],[Neto]]-Tabla1[[#This Row],[Costo Venta]]</f>
        <v>183.01132200000001</v>
      </c>
    </row>
    <row r="805" spans="1:16" x14ac:dyDescent="0.25">
      <c r="A805" s="48">
        <v>45147</v>
      </c>
      <c r="B805" s="1" t="s">
        <v>405</v>
      </c>
      <c r="C805" s="1" t="s">
        <v>81</v>
      </c>
      <c r="D805" s="1" t="s">
        <v>854</v>
      </c>
      <c r="E805" s="1" t="s">
        <v>132</v>
      </c>
      <c r="F805" s="1" t="s">
        <v>795</v>
      </c>
      <c r="G805" s="2">
        <v>3.5</v>
      </c>
      <c r="H805" s="51" t="s">
        <v>839</v>
      </c>
      <c r="I805" s="44">
        <f>Tabla1[[#This Row],[Descuento]]+Tabla1[[#This Row],[Neto]]</f>
        <v>133</v>
      </c>
      <c r="J805" s="9">
        <v>19.95</v>
      </c>
      <c r="K805" s="9">
        <v>113.05</v>
      </c>
      <c r="L805" s="9">
        <v>19.692452500000002</v>
      </c>
      <c r="M805" s="24">
        <f>+Tabla1[[#This Row],[Costo Venta]]/Tabla1[[#This Row],[Cantidad]]</f>
        <v>5.6264150000000006</v>
      </c>
      <c r="N805" s="3">
        <v>1</v>
      </c>
      <c r="O805" s="8">
        <f>+Tabla1[[#This Row],[Conversión]]*Tabla1[[#This Row],[Cantidad]]</f>
        <v>3.5</v>
      </c>
      <c r="P805" s="43">
        <f>Tabla1[[#This Row],[Neto]]-Tabla1[[#This Row],[Costo Venta]]</f>
        <v>93.357547499999995</v>
      </c>
    </row>
    <row r="806" spans="1:16" x14ac:dyDescent="0.25">
      <c r="A806" s="48">
        <v>45168</v>
      </c>
      <c r="B806" s="1" t="s">
        <v>405</v>
      </c>
      <c r="C806" s="1" t="s">
        <v>214</v>
      </c>
      <c r="D806" s="1" t="s">
        <v>231</v>
      </c>
      <c r="E806" s="1" t="s">
        <v>71</v>
      </c>
      <c r="F806" s="1" t="s">
        <v>232</v>
      </c>
      <c r="G806" s="2">
        <v>15.84</v>
      </c>
      <c r="H806" s="51" t="s">
        <v>839</v>
      </c>
      <c r="I806" s="44">
        <f>Tabla1[[#This Row],[Descuento]]+Tabla1[[#This Row],[Neto]]</f>
        <v>601.91600000000005</v>
      </c>
      <c r="J806" s="9">
        <v>30.096</v>
      </c>
      <c r="K806" s="9">
        <v>571.82000000000005</v>
      </c>
      <c r="L806" s="9">
        <v>85.77562752</v>
      </c>
      <c r="M806" s="24">
        <f>+Tabla1[[#This Row],[Costo Venta]]/Tabla1[[#This Row],[Cantidad]]</f>
        <v>5.4151280000000002</v>
      </c>
      <c r="N806" s="3">
        <v>1</v>
      </c>
      <c r="O806" s="8">
        <f>+Tabla1[[#This Row],[Conversión]]*Tabla1[[#This Row],[Cantidad]]</f>
        <v>15.84</v>
      </c>
      <c r="P806" s="43">
        <f>Tabla1[[#This Row],[Neto]]-Tabla1[[#This Row],[Costo Venta]]</f>
        <v>486.04437248000005</v>
      </c>
    </row>
    <row r="807" spans="1:16" x14ac:dyDescent="0.25">
      <c r="A807" s="48">
        <v>45173</v>
      </c>
      <c r="B807" s="1" t="s">
        <v>405</v>
      </c>
      <c r="C807" s="1" t="s">
        <v>81</v>
      </c>
      <c r="D807" s="1" t="s">
        <v>855</v>
      </c>
      <c r="E807" s="1" t="s">
        <v>67</v>
      </c>
      <c r="F807" s="1" t="s">
        <v>9</v>
      </c>
      <c r="G807" s="2">
        <v>7.68</v>
      </c>
      <c r="H807" s="51" t="s">
        <v>839</v>
      </c>
      <c r="I807" s="44">
        <f>Tabla1[[#This Row],[Descuento]]+Tabla1[[#This Row],[Neto]]</f>
        <v>298.59841600000004</v>
      </c>
      <c r="J807" s="9">
        <v>108.988416</v>
      </c>
      <c r="K807" s="9">
        <v>189.61</v>
      </c>
      <c r="L807" s="9">
        <v>41.599710719999997</v>
      </c>
      <c r="M807" s="24">
        <f>+Tabla1[[#This Row],[Costo Venta]]/Tabla1[[#This Row],[Cantidad]]</f>
        <v>5.4166289999999995</v>
      </c>
      <c r="N807" s="3">
        <v>1</v>
      </c>
      <c r="O807" s="8">
        <f>+Tabla1[[#This Row],[Conversión]]*Tabla1[[#This Row],[Cantidad]]</f>
        <v>7.68</v>
      </c>
      <c r="P807" s="43">
        <f>Tabla1[[#This Row],[Neto]]-Tabla1[[#This Row],[Costo Venta]]</f>
        <v>148.01028928000002</v>
      </c>
    </row>
    <row r="808" spans="1:16" x14ac:dyDescent="0.25">
      <c r="A808" s="48">
        <v>45204</v>
      </c>
      <c r="B808" s="1" t="s">
        <v>405</v>
      </c>
      <c r="C808" s="1" t="s">
        <v>214</v>
      </c>
      <c r="D808" s="1" t="s">
        <v>247</v>
      </c>
      <c r="E808" s="1" t="s">
        <v>71</v>
      </c>
      <c r="F808" s="1" t="s">
        <v>248</v>
      </c>
      <c r="G808" s="2">
        <v>27</v>
      </c>
      <c r="H808" s="51" t="s">
        <v>839</v>
      </c>
      <c r="I808" s="44">
        <f>Tabla1[[#This Row],[Descuento]]+Tabla1[[#This Row],[Neto]]</f>
        <v>1049.76</v>
      </c>
      <c r="J808" s="9">
        <v>0</v>
      </c>
      <c r="K808" s="9">
        <v>1049.76</v>
      </c>
      <c r="L808" s="9">
        <v>146.40056100000001</v>
      </c>
      <c r="M808" s="24">
        <f>+Tabla1[[#This Row],[Costo Venta]]/Tabla1[[#This Row],[Cantidad]]</f>
        <v>5.4222430000000008</v>
      </c>
      <c r="N808" s="3">
        <v>1</v>
      </c>
      <c r="O808" s="8">
        <f>+Tabla1[[#This Row],[Conversión]]*Tabla1[[#This Row],[Cantidad]]</f>
        <v>27</v>
      </c>
      <c r="P808" s="43">
        <f>Tabla1[[#This Row],[Neto]]-Tabla1[[#This Row],[Costo Venta]]</f>
        <v>903.35943899999995</v>
      </c>
    </row>
    <row r="809" spans="1:16" x14ac:dyDescent="0.25">
      <c r="A809" s="48">
        <v>45204</v>
      </c>
      <c r="B809" s="1" t="s">
        <v>405</v>
      </c>
      <c r="C809" s="1" t="s">
        <v>214</v>
      </c>
      <c r="D809" s="1" t="s">
        <v>247</v>
      </c>
      <c r="E809" s="1" t="s">
        <v>71</v>
      </c>
      <c r="F809" s="1" t="s">
        <v>248</v>
      </c>
      <c r="G809" s="2">
        <v>3</v>
      </c>
      <c r="H809" s="51" t="s">
        <v>839</v>
      </c>
      <c r="I809" s="44">
        <f>Tabla1[[#This Row],[Descuento]]+Tabla1[[#This Row],[Neto]]</f>
        <v>116.64</v>
      </c>
      <c r="J809" s="9">
        <v>116.64</v>
      </c>
      <c r="K809" s="9">
        <v>0</v>
      </c>
      <c r="L809" s="9">
        <v>16.266729000000002</v>
      </c>
      <c r="M809" s="24">
        <f>+Tabla1[[#This Row],[Costo Venta]]/Tabla1[[#This Row],[Cantidad]]</f>
        <v>5.4222430000000008</v>
      </c>
      <c r="N809" s="3">
        <v>1</v>
      </c>
      <c r="O809" s="8">
        <f>+Tabla1[[#This Row],[Conversión]]*Tabla1[[#This Row],[Cantidad]]</f>
        <v>3</v>
      </c>
      <c r="P809" s="43">
        <f>Tabla1[[#This Row],[Neto]]-Tabla1[[#This Row],[Costo Venta]]</f>
        <v>-16.266729000000002</v>
      </c>
    </row>
    <row r="810" spans="1:16" x14ac:dyDescent="0.25">
      <c r="A810" s="48">
        <v>45212</v>
      </c>
      <c r="B810" s="1" t="s">
        <v>405</v>
      </c>
      <c r="C810" s="1" t="s">
        <v>81</v>
      </c>
      <c r="D810" s="1" t="s">
        <v>834</v>
      </c>
      <c r="E810" s="1" t="s">
        <v>67</v>
      </c>
      <c r="F810" s="1" t="s">
        <v>20</v>
      </c>
      <c r="G810" s="2">
        <v>22.08</v>
      </c>
      <c r="H810" s="51" t="s">
        <v>839</v>
      </c>
      <c r="I810" s="44">
        <f>Tabla1[[#This Row],[Descuento]]+Tabla1[[#This Row],[Neto]]</f>
        <v>858.47463999999991</v>
      </c>
      <c r="J810" s="9">
        <v>300.46463999999997</v>
      </c>
      <c r="K810" s="9">
        <v>558.01</v>
      </c>
      <c r="L810" s="9">
        <v>119.44531488</v>
      </c>
      <c r="M810" s="24">
        <f>+Tabla1[[#This Row],[Costo Venta]]/Tabla1[[#This Row],[Cantidad]]</f>
        <v>5.4096610000000007</v>
      </c>
      <c r="N810" s="3">
        <v>1</v>
      </c>
      <c r="O810" s="8">
        <f>+Tabla1[[#This Row],[Conversión]]*Tabla1[[#This Row],[Cantidad]]</f>
        <v>22.08</v>
      </c>
      <c r="P810" s="43">
        <f>Tabla1[[#This Row],[Neto]]-Tabla1[[#This Row],[Costo Venta]]</f>
        <v>438.56468511999998</v>
      </c>
    </row>
    <row r="811" spans="1:16" x14ac:dyDescent="0.25">
      <c r="A811" s="48">
        <v>45225</v>
      </c>
      <c r="B811" s="1" t="s">
        <v>405</v>
      </c>
      <c r="C811" s="1" t="s">
        <v>81</v>
      </c>
      <c r="D811" s="1" t="s">
        <v>856</v>
      </c>
      <c r="E811" s="1" t="s">
        <v>67</v>
      </c>
      <c r="F811" s="1" t="s">
        <v>9</v>
      </c>
      <c r="G811" s="2">
        <v>13.2</v>
      </c>
      <c r="H811" s="51" t="s">
        <v>839</v>
      </c>
      <c r="I811" s="44">
        <f>Tabla1[[#This Row],[Descuento]]+Tabla1[[#This Row],[Neto]]</f>
        <v>513.21559999999999</v>
      </c>
      <c r="J811" s="9">
        <v>179.62559999999999</v>
      </c>
      <c r="K811" s="9">
        <v>333.59</v>
      </c>
      <c r="L811" s="9">
        <v>71.839706399999997</v>
      </c>
      <c r="M811" s="24">
        <f>+Tabla1[[#This Row],[Costo Venta]]/Tabla1[[#This Row],[Cantidad]]</f>
        <v>5.4424020000000004</v>
      </c>
      <c r="N811" s="3">
        <v>1</v>
      </c>
      <c r="O811" s="8">
        <f>+Tabla1[[#This Row],[Conversión]]*Tabla1[[#This Row],[Cantidad]]</f>
        <v>13.2</v>
      </c>
      <c r="P811" s="43">
        <f>Tabla1[[#This Row],[Neto]]-Tabla1[[#This Row],[Costo Venta]]</f>
        <v>261.75029359999996</v>
      </c>
    </row>
    <row r="812" spans="1:16" x14ac:dyDescent="0.25">
      <c r="A812" s="48">
        <v>45230</v>
      </c>
      <c r="B812" s="1" t="s">
        <v>405</v>
      </c>
      <c r="C812" s="1" t="s">
        <v>214</v>
      </c>
      <c r="D812" s="1" t="s">
        <v>260</v>
      </c>
      <c r="E812" s="1" t="s">
        <v>71</v>
      </c>
      <c r="F812" s="1" t="s">
        <v>261</v>
      </c>
      <c r="G812" s="2">
        <v>41.6</v>
      </c>
      <c r="H812" s="51" t="s">
        <v>839</v>
      </c>
      <c r="I812" s="44">
        <f>Tabla1[[#This Row],[Descuento]]+Tabla1[[#This Row],[Neto]]</f>
        <v>1617.41</v>
      </c>
      <c r="J812" s="9">
        <v>0</v>
      </c>
      <c r="K812" s="9">
        <v>1617.41</v>
      </c>
      <c r="L812" s="9">
        <v>226.40392320000001</v>
      </c>
      <c r="M812" s="24">
        <f>+Tabla1[[#This Row],[Costo Venta]]/Tabla1[[#This Row],[Cantidad]]</f>
        <v>5.4424020000000004</v>
      </c>
      <c r="N812" s="3">
        <v>1</v>
      </c>
      <c r="O812" s="8">
        <f>+Tabla1[[#This Row],[Conversión]]*Tabla1[[#This Row],[Cantidad]]</f>
        <v>41.6</v>
      </c>
      <c r="P812" s="43">
        <f>Tabla1[[#This Row],[Neto]]-Tabla1[[#This Row],[Costo Venta]]</f>
        <v>1391.0060768000001</v>
      </c>
    </row>
    <row r="813" spans="1:16" x14ac:dyDescent="0.25">
      <c r="A813" s="48">
        <v>45230</v>
      </c>
      <c r="B813" s="1" t="s">
        <v>405</v>
      </c>
      <c r="C813" s="1" t="s">
        <v>214</v>
      </c>
      <c r="D813" s="1" t="s">
        <v>260</v>
      </c>
      <c r="E813" s="1" t="s">
        <v>71</v>
      </c>
      <c r="F813" s="1" t="s">
        <v>261</v>
      </c>
      <c r="G813" s="2">
        <v>4</v>
      </c>
      <c r="H813" s="51" t="s">
        <v>839</v>
      </c>
      <c r="I813" s="44">
        <f>Tabla1[[#This Row],[Descuento]]+Tabla1[[#This Row],[Neto]]</f>
        <v>155.52000000000001</v>
      </c>
      <c r="J813" s="9">
        <v>155.52000000000001</v>
      </c>
      <c r="K813" s="9">
        <v>0</v>
      </c>
      <c r="L813" s="9">
        <v>21.769608000000002</v>
      </c>
      <c r="M813" s="24">
        <f>+Tabla1[[#This Row],[Costo Venta]]/Tabla1[[#This Row],[Cantidad]]</f>
        <v>5.4424020000000004</v>
      </c>
      <c r="N813" s="3">
        <v>1</v>
      </c>
      <c r="O813" s="8">
        <f>+Tabla1[[#This Row],[Conversión]]*Tabla1[[#This Row],[Cantidad]]</f>
        <v>4</v>
      </c>
      <c r="P813" s="43">
        <f>Tabla1[[#This Row],[Neto]]-Tabla1[[#This Row],[Costo Venta]]</f>
        <v>-21.769608000000002</v>
      </c>
    </row>
    <row r="814" spans="1:16" x14ac:dyDescent="0.25">
      <c r="A814" s="48">
        <v>45246</v>
      </c>
      <c r="B814" s="1" t="s">
        <v>405</v>
      </c>
      <c r="C814" s="1" t="s">
        <v>214</v>
      </c>
      <c r="D814" s="1" t="s">
        <v>857</v>
      </c>
      <c r="E814" s="1" t="s">
        <v>132</v>
      </c>
      <c r="F814" s="1" t="s">
        <v>16</v>
      </c>
      <c r="G814" s="2">
        <v>1</v>
      </c>
      <c r="H814" s="51" t="s">
        <v>839</v>
      </c>
      <c r="I814" s="44">
        <f>Tabla1[[#This Row],[Descuento]]+Tabla1[[#This Row],[Neto]]</f>
        <v>38.878</v>
      </c>
      <c r="J814" s="9">
        <v>13.608000000000001</v>
      </c>
      <c r="K814" s="9">
        <v>25.27</v>
      </c>
      <c r="L814" s="9">
        <v>5.6286009999999997</v>
      </c>
      <c r="M814" s="24">
        <f>+Tabla1[[#This Row],[Costo Venta]]/Tabla1[[#This Row],[Cantidad]]</f>
        <v>5.6286009999999997</v>
      </c>
      <c r="N814" s="3">
        <v>1</v>
      </c>
      <c r="O814" s="8">
        <f>+Tabla1[[#This Row],[Conversión]]*Tabla1[[#This Row],[Cantidad]]</f>
        <v>1</v>
      </c>
      <c r="P814" s="43">
        <f>Tabla1[[#This Row],[Neto]]-Tabla1[[#This Row],[Costo Venta]]</f>
        <v>19.641399</v>
      </c>
    </row>
    <row r="815" spans="1:16" x14ac:dyDescent="0.25">
      <c r="A815" s="48">
        <v>45264</v>
      </c>
      <c r="B815" s="1" t="s">
        <v>405</v>
      </c>
      <c r="C815" s="1" t="s">
        <v>214</v>
      </c>
      <c r="D815" s="1" t="s">
        <v>268</v>
      </c>
      <c r="E815" s="1" t="s">
        <v>71</v>
      </c>
      <c r="F815" s="1" t="s">
        <v>269</v>
      </c>
      <c r="G815" s="2">
        <v>80</v>
      </c>
      <c r="H815" s="51" t="s">
        <v>839</v>
      </c>
      <c r="I815" s="44">
        <f>Tabla1[[#This Row],[Descuento]]+Tabla1[[#This Row],[Neto]]</f>
        <v>3110.4</v>
      </c>
      <c r="J815" s="9">
        <v>466.56</v>
      </c>
      <c r="K815" s="9">
        <v>2643.84</v>
      </c>
      <c r="L815" s="9">
        <v>443.55808000000002</v>
      </c>
      <c r="M815" s="24">
        <f>+Tabla1[[#This Row],[Costo Venta]]/Tabla1[[#This Row],[Cantidad]]</f>
        <v>5.5444760000000004</v>
      </c>
      <c r="N815" s="3">
        <v>1</v>
      </c>
      <c r="O815" s="8">
        <f>+Tabla1[[#This Row],[Conversión]]*Tabla1[[#This Row],[Cantidad]]</f>
        <v>80</v>
      </c>
      <c r="P815" s="43">
        <f>Tabla1[[#This Row],[Neto]]-Tabla1[[#This Row],[Costo Venta]]</f>
        <v>2200.2819200000004</v>
      </c>
    </row>
    <row r="816" spans="1:16" x14ac:dyDescent="0.25">
      <c r="A816" s="48">
        <v>45280</v>
      </c>
      <c r="B816" s="1" t="s">
        <v>405</v>
      </c>
      <c r="C816" s="1" t="s">
        <v>81</v>
      </c>
      <c r="D816" s="1" t="s">
        <v>582</v>
      </c>
      <c r="E816" s="1" t="s">
        <v>67</v>
      </c>
      <c r="F816" s="1" t="s">
        <v>20</v>
      </c>
      <c r="G816" s="2">
        <v>8.16</v>
      </c>
      <c r="H816" s="51" t="s">
        <v>839</v>
      </c>
      <c r="I816" s="44">
        <f>Tabla1[[#This Row],[Descuento]]+Tabla1[[#This Row],[Neto]]</f>
        <v>317.26128</v>
      </c>
      <c r="J816" s="9">
        <v>111.04128</v>
      </c>
      <c r="K816" s="9">
        <v>206.22</v>
      </c>
      <c r="L816" s="9">
        <v>44.912827679999999</v>
      </c>
      <c r="M816" s="24">
        <f>+Tabla1[[#This Row],[Costo Venta]]/Tabla1[[#This Row],[Cantidad]]</f>
        <v>5.5040230000000001</v>
      </c>
      <c r="N816" s="3">
        <v>1</v>
      </c>
      <c r="O816" s="8">
        <f>+Tabla1[[#This Row],[Conversión]]*Tabla1[[#This Row],[Cantidad]]</f>
        <v>8.16</v>
      </c>
      <c r="P816" s="43">
        <f>Tabla1[[#This Row],[Neto]]-Tabla1[[#This Row],[Costo Venta]]</f>
        <v>161.30717232000001</v>
      </c>
    </row>
    <row r="817" spans="1:16" x14ac:dyDescent="0.25">
      <c r="A817" s="48">
        <v>45291</v>
      </c>
      <c r="B817" s="1" t="s">
        <v>405</v>
      </c>
      <c r="C817" s="1" t="s">
        <v>214</v>
      </c>
      <c r="D817" s="1" t="s">
        <v>537</v>
      </c>
      <c r="E817" s="1" t="s">
        <v>71</v>
      </c>
      <c r="F817" s="1" t="s">
        <v>23</v>
      </c>
      <c r="G817" s="2">
        <v>14</v>
      </c>
      <c r="H817" s="51" t="s">
        <v>839</v>
      </c>
      <c r="I817" s="44">
        <f>Tabla1[[#This Row],[Descuento]]+Tabla1[[#This Row],[Neto]]</f>
        <v>544.32000000000005</v>
      </c>
      <c r="J817" s="9">
        <v>136.08000000000001</v>
      </c>
      <c r="K817" s="9">
        <v>408.24</v>
      </c>
      <c r="L817" s="9">
        <v>76.861819999999994</v>
      </c>
      <c r="M817" s="24">
        <f>+Tabla1[[#This Row],[Costo Venta]]/Tabla1[[#This Row],[Cantidad]]</f>
        <v>5.4901299999999997</v>
      </c>
      <c r="N817" s="3">
        <v>1</v>
      </c>
      <c r="O817" s="8">
        <f>+Tabla1[[#This Row],[Conversión]]*Tabla1[[#This Row],[Cantidad]]</f>
        <v>14</v>
      </c>
      <c r="P817" s="43">
        <f>Tabla1[[#This Row],[Neto]]-Tabla1[[#This Row],[Costo Venta]]</f>
        <v>331.37818000000004</v>
      </c>
    </row>
    <row r="818" spans="1:16" x14ac:dyDescent="0.25">
      <c r="A818" s="48">
        <v>45306</v>
      </c>
      <c r="B818" s="1" t="s">
        <v>405</v>
      </c>
      <c r="C818" s="1" t="s">
        <v>81</v>
      </c>
      <c r="D818" s="1" t="s">
        <v>858</v>
      </c>
      <c r="E818" s="1" t="s">
        <v>67</v>
      </c>
      <c r="F818" s="1" t="s">
        <v>20</v>
      </c>
      <c r="G818" s="2">
        <v>12.96</v>
      </c>
      <c r="H818" s="51" t="s">
        <v>839</v>
      </c>
      <c r="I818" s="44">
        <f>Tabla1[[#This Row],[Descuento]]+Tabla1[[#This Row],[Neto]]</f>
        <v>503.87968000000001</v>
      </c>
      <c r="J818" s="9">
        <v>176.35968</v>
      </c>
      <c r="K818" s="9">
        <v>327.52</v>
      </c>
      <c r="L818" s="9">
        <v>68.731156799999994</v>
      </c>
      <c r="M818" s="24">
        <f>+Tabla1[[#This Row],[Costo Venta]]/Tabla1[[#This Row],[Cantidad]]</f>
        <v>5.303329999999999</v>
      </c>
      <c r="N818" s="3">
        <v>1</v>
      </c>
      <c r="O818" s="8">
        <f>+Tabla1[[#This Row],[Conversión]]*Tabla1[[#This Row],[Cantidad]]</f>
        <v>12.96</v>
      </c>
      <c r="P818" s="43">
        <f>Tabla1[[#This Row],[Neto]]-Tabla1[[#This Row],[Costo Venta]]</f>
        <v>258.78884319999997</v>
      </c>
    </row>
    <row r="819" spans="1:16" x14ac:dyDescent="0.25">
      <c r="A819" s="48">
        <v>45327</v>
      </c>
      <c r="B819" s="1" t="s">
        <v>405</v>
      </c>
      <c r="C819" s="1" t="s">
        <v>81</v>
      </c>
      <c r="D819" s="1" t="s">
        <v>286</v>
      </c>
      <c r="E819" s="1" t="s">
        <v>71</v>
      </c>
      <c r="F819" s="1" t="s">
        <v>287</v>
      </c>
      <c r="G819" s="2">
        <v>20</v>
      </c>
      <c r="H819" s="51" t="s">
        <v>839</v>
      </c>
      <c r="I819" s="44">
        <f>Tabla1[[#This Row],[Descuento]]+Tabla1[[#This Row],[Neto]]</f>
        <v>777.60199999999998</v>
      </c>
      <c r="J819" s="9">
        <v>93.311999999999998</v>
      </c>
      <c r="K819" s="9">
        <v>684.29</v>
      </c>
      <c r="L819" s="9">
        <v>103.09278</v>
      </c>
      <c r="M819" s="24">
        <f>+Tabla1[[#This Row],[Costo Venta]]/Tabla1[[#This Row],[Cantidad]]</f>
        <v>5.1546390000000004</v>
      </c>
      <c r="N819" s="3">
        <v>1</v>
      </c>
      <c r="O819" s="8">
        <f>+Tabla1[[#This Row],[Conversión]]*Tabla1[[#This Row],[Cantidad]]</f>
        <v>20</v>
      </c>
      <c r="P819" s="43">
        <f>Tabla1[[#This Row],[Neto]]-Tabla1[[#This Row],[Costo Venta]]</f>
        <v>581.19722000000002</v>
      </c>
    </row>
    <row r="820" spans="1:16" x14ac:dyDescent="0.25">
      <c r="A820" s="48">
        <v>45342</v>
      </c>
      <c r="B820" s="1" t="s">
        <v>405</v>
      </c>
      <c r="C820" s="1" t="s">
        <v>81</v>
      </c>
      <c r="D820" s="1" t="s">
        <v>859</v>
      </c>
      <c r="E820" s="1" t="s">
        <v>67</v>
      </c>
      <c r="F820" s="1" t="s">
        <v>9</v>
      </c>
      <c r="G820" s="2">
        <v>12.72</v>
      </c>
      <c r="H820" s="51" t="s">
        <v>839</v>
      </c>
      <c r="I820" s="44">
        <f>Tabla1[[#This Row],[Descuento]]+Tabla1[[#This Row],[Neto]]</f>
        <v>494.55376000000001</v>
      </c>
      <c r="J820" s="9">
        <v>173.09376</v>
      </c>
      <c r="K820" s="9">
        <v>321.45999999999998</v>
      </c>
      <c r="L820" s="9">
        <v>64.253337360000003</v>
      </c>
      <c r="M820" s="24">
        <f>+Tabla1[[#This Row],[Costo Venta]]/Tabla1[[#This Row],[Cantidad]]</f>
        <v>5.0513630000000003</v>
      </c>
      <c r="N820" s="3">
        <v>1</v>
      </c>
      <c r="O820" s="8">
        <f>+Tabla1[[#This Row],[Conversión]]*Tabla1[[#This Row],[Cantidad]]</f>
        <v>12.72</v>
      </c>
      <c r="P820" s="43">
        <f>Tabla1[[#This Row],[Neto]]-Tabla1[[#This Row],[Costo Venta]]</f>
        <v>257.20666263999999</v>
      </c>
    </row>
    <row r="821" spans="1:16" x14ac:dyDescent="0.25">
      <c r="A821" s="48">
        <v>45376</v>
      </c>
      <c r="B821" s="1" t="s">
        <v>405</v>
      </c>
      <c r="C821" s="1" t="s">
        <v>65</v>
      </c>
      <c r="D821" s="1" t="s">
        <v>301</v>
      </c>
      <c r="E821" s="1" t="s">
        <v>71</v>
      </c>
      <c r="F821" s="1" t="s">
        <v>302</v>
      </c>
      <c r="G821" s="2">
        <v>5.5</v>
      </c>
      <c r="H821" s="51" t="s">
        <v>839</v>
      </c>
      <c r="I821" s="44">
        <f>Tabla1[[#This Row],[Descuento]]+Tabla1[[#This Row],[Neto]]</f>
        <v>213.8408</v>
      </c>
      <c r="J821" s="9">
        <v>25.660799999999998</v>
      </c>
      <c r="K821" s="9">
        <v>188.18</v>
      </c>
      <c r="L821" s="9">
        <v>26.733080000000001</v>
      </c>
      <c r="M821" s="24">
        <f>+Tabla1[[#This Row],[Costo Venta]]/Tabla1[[#This Row],[Cantidad]]</f>
        <v>4.8605600000000004</v>
      </c>
      <c r="N821" s="3">
        <v>1</v>
      </c>
      <c r="O821" s="8">
        <f>+Tabla1[[#This Row],[Conversión]]*Tabla1[[#This Row],[Cantidad]]</f>
        <v>5.5</v>
      </c>
      <c r="P821" s="43">
        <f>Tabla1[[#This Row],[Neto]]-Tabla1[[#This Row],[Costo Venta]]</f>
        <v>161.44692000000001</v>
      </c>
    </row>
    <row r="822" spans="1:16" x14ac:dyDescent="0.25">
      <c r="A822" s="48">
        <v>45392</v>
      </c>
      <c r="B822" s="1" t="s">
        <v>405</v>
      </c>
      <c r="C822" s="1" t="s">
        <v>81</v>
      </c>
      <c r="D822" s="1" t="s">
        <v>860</v>
      </c>
      <c r="E822" s="1" t="s">
        <v>67</v>
      </c>
      <c r="F822" s="1" t="s">
        <v>9</v>
      </c>
      <c r="G822" s="2">
        <v>26.16</v>
      </c>
      <c r="H822" s="51" t="s">
        <v>839</v>
      </c>
      <c r="I822" s="44">
        <f>Tabla1[[#This Row],[Descuento]]+Tabla1[[#This Row],[Neto]]</f>
        <v>1017.09528</v>
      </c>
      <c r="J822" s="9">
        <v>355.98527999999999</v>
      </c>
      <c r="K822" s="9">
        <v>661.11</v>
      </c>
      <c r="L822" s="9">
        <v>125.71070280000001</v>
      </c>
      <c r="M822" s="24">
        <f>+Tabla1[[#This Row],[Costo Venta]]/Tabla1[[#This Row],[Cantidad]]</f>
        <v>4.8054550000000003</v>
      </c>
      <c r="N822" s="3">
        <v>1</v>
      </c>
      <c r="O822" s="8">
        <f>+Tabla1[[#This Row],[Conversión]]*Tabla1[[#This Row],[Cantidad]]</f>
        <v>26.16</v>
      </c>
      <c r="P822" s="43">
        <f>Tabla1[[#This Row],[Neto]]-Tabla1[[#This Row],[Costo Venta]]</f>
        <v>535.39929719999998</v>
      </c>
    </row>
    <row r="823" spans="1:16" x14ac:dyDescent="0.25">
      <c r="A823" s="48">
        <v>45394</v>
      </c>
      <c r="B823" s="1" t="s">
        <v>405</v>
      </c>
      <c r="C823" s="1" t="s">
        <v>81</v>
      </c>
      <c r="D823" s="1" t="s">
        <v>861</v>
      </c>
      <c r="E823" s="1" t="s">
        <v>137</v>
      </c>
      <c r="F823" s="1" t="s">
        <v>862</v>
      </c>
      <c r="G823" s="2">
        <v>120</v>
      </c>
      <c r="H823" s="51" t="s">
        <v>839</v>
      </c>
      <c r="I823" s="44">
        <f>Tabla1[[#This Row],[Descuento]]+Tabla1[[#This Row],[Neto]]</f>
        <v>4665.6000000000004</v>
      </c>
      <c r="J823" s="9">
        <v>933.12</v>
      </c>
      <c r="K823" s="9">
        <v>3732.48</v>
      </c>
      <c r="L823" s="9">
        <v>576.65459999999996</v>
      </c>
      <c r="M823" s="24">
        <f>+Tabla1[[#This Row],[Costo Venta]]/Tabla1[[#This Row],[Cantidad]]</f>
        <v>4.8054549999999994</v>
      </c>
      <c r="N823" s="3">
        <v>1</v>
      </c>
      <c r="O823" s="8">
        <f>+Tabla1[[#This Row],[Conversión]]*Tabla1[[#This Row],[Cantidad]]</f>
        <v>120</v>
      </c>
      <c r="P823" s="43">
        <f>Tabla1[[#This Row],[Neto]]-Tabla1[[#This Row],[Costo Venta]]</f>
        <v>3155.8254000000002</v>
      </c>
    </row>
    <row r="824" spans="1:16" x14ac:dyDescent="0.25">
      <c r="A824" s="48">
        <v>45400</v>
      </c>
      <c r="B824" s="1" t="s">
        <v>405</v>
      </c>
      <c r="C824" s="1" t="s">
        <v>81</v>
      </c>
      <c r="D824" s="1" t="s">
        <v>863</v>
      </c>
      <c r="E824" s="1" t="s">
        <v>67</v>
      </c>
      <c r="F824" s="1" t="s">
        <v>9</v>
      </c>
      <c r="G824" s="2">
        <v>2.88</v>
      </c>
      <c r="H824" s="51" t="s">
        <v>839</v>
      </c>
      <c r="I824" s="44">
        <f>Tabla1[[#This Row],[Descuento]]+Tabla1[[#This Row],[Neto]]</f>
        <v>98.934799999999996</v>
      </c>
      <c r="J824" s="9">
        <v>34.6248</v>
      </c>
      <c r="K824" s="9">
        <v>64.31</v>
      </c>
      <c r="L824" s="9">
        <v>11.808</v>
      </c>
      <c r="M824" s="24">
        <f>+Tabla1[[#This Row],[Costo Venta]]/Tabla1[[#This Row],[Cantidad]]</f>
        <v>4.1000000000000005</v>
      </c>
      <c r="N824" s="3">
        <v>1</v>
      </c>
      <c r="O824" s="8">
        <f>+Tabla1[[#This Row],[Conversión]]*Tabla1[[#This Row],[Cantidad]]</f>
        <v>2.88</v>
      </c>
      <c r="P824" s="43">
        <f>Tabla1[[#This Row],[Neto]]-Tabla1[[#This Row],[Costo Venta]]</f>
        <v>52.502000000000002</v>
      </c>
    </row>
    <row r="825" spans="1:16" x14ac:dyDescent="0.25">
      <c r="A825" s="48">
        <v>45412</v>
      </c>
      <c r="B825" s="1" t="s">
        <v>405</v>
      </c>
      <c r="C825" s="1" t="s">
        <v>81</v>
      </c>
      <c r="D825" s="1" t="s">
        <v>864</v>
      </c>
      <c r="E825" s="1" t="s">
        <v>71</v>
      </c>
      <c r="F825" s="1" t="s">
        <v>865</v>
      </c>
      <c r="G825" s="2">
        <v>5.52</v>
      </c>
      <c r="H825" s="51" t="s">
        <v>839</v>
      </c>
      <c r="I825" s="44">
        <f>Tabla1[[#This Row],[Descuento]]+Tabla1[[#This Row],[Neto]]</f>
        <v>214.62175999999999</v>
      </c>
      <c r="J825" s="9">
        <v>21.461760000000002</v>
      </c>
      <c r="K825" s="9">
        <v>193.16</v>
      </c>
      <c r="L825" s="9">
        <v>26.14568976</v>
      </c>
      <c r="M825" s="24">
        <f>+Tabla1[[#This Row],[Costo Venta]]/Tabla1[[#This Row],[Cantidad]]</f>
        <v>4.7365380000000004</v>
      </c>
      <c r="N825" s="3">
        <v>1</v>
      </c>
      <c r="O825" s="8">
        <f>+Tabla1[[#This Row],[Conversión]]*Tabla1[[#This Row],[Cantidad]]</f>
        <v>5.52</v>
      </c>
      <c r="P825" s="43">
        <f>Tabla1[[#This Row],[Neto]]-Tabla1[[#This Row],[Costo Venta]]</f>
        <v>167.01431023999999</v>
      </c>
    </row>
    <row r="826" spans="1:16" x14ac:dyDescent="0.25">
      <c r="A826" s="48">
        <v>45413</v>
      </c>
      <c r="B826" s="1" t="s">
        <v>405</v>
      </c>
      <c r="C826" s="1" t="s">
        <v>81</v>
      </c>
      <c r="D826" s="1" t="s">
        <v>866</v>
      </c>
      <c r="E826" s="1" t="s">
        <v>71</v>
      </c>
      <c r="F826" s="1" t="s">
        <v>865</v>
      </c>
      <c r="G826" s="2">
        <v>14.48</v>
      </c>
      <c r="H826" s="51" t="s">
        <v>839</v>
      </c>
      <c r="I826" s="44">
        <f>Tabla1[[#This Row],[Descuento]]+Tabla1[[#This Row],[Neto]]</f>
        <v>562.97824000000003</v>
      </c>
      <c r="J826" s="9">
        <v>56.29824</v>
      </c>
      <c r="K826" s="9">
        <v>506.68</v>
      </c>
      <c r="L826" s="9">
        <v>64.406388399999997</v>
      </c>
      <c r="M826" s="24">
        <f>+Tabla1[[#This Row],[Costo Venta]]/Tabla1[[#This Row],[Cantidad]]</f>
        <v>4.4479549999999994</v>
      </c>
      <c r="N826" s="3">
        <v>1</v>
      </c>
      <c r="O826" s="8">
        <f>+Tabla1[[#This Row],[Conversión]]*Tabla1[[#This Row],[Cantidad]]</f>
        <v>14.48</v>
      </c>
      <c r="P826" s="43">
        <f>Tabla1[[#This Row],[Neto]]-Tabla1[[#This Row],[Costo Venta]]</f>
        <v>442.27361159999998</v>
      </c>
    </row>
    <row r="827" spans="1:16" x14ac:dyDescent="0.25">
      <c r="A827" s="48">
        <v>45421</v>
      </c>
      <c r="B827" s="1" t="s">
        <v>405</v>
      </c>
      <c r="C827" s="1" t="s">
        <v>81</v>
      </c>
      <c r="D827" s="1" t="s">
        <v>867</v>
      </c>
      <c r="E827" s="1" t="s">
        <v>71</v>
      </c>
      <c r="F827" s="1" t="s">
        <v>111</v>
      </c>
      <c r="G827" s="2">
        <v>13</v>
      </c>
      <c r="H827" s="51" t="s">
        <v>839</v>
      </c>
      <c r="I827" s="44">
        <f>Tabla1[[#This Row],[Descuento]]+Tabla1[[#This Row],[Neto]]</f>
        <v>446.54750000000001</v>
      </c>
      <c r="J827" s="9">
        <v>22.327500000000001</v>
      </c>
      <c r="K827" s="9">
        <v>424.22</v>
      </c>
      <c r="L827" s="9">
        <v>57.920070000000003</v>
      </c>
      <c r="M827" s="24">
        <f>+Tabla1[[#This Row],[Costo Venta]]/Tabla1[[#This Row],[Cantidad]]</f>
        <v>4.4553900000000004</v>
      </c>
      <c r="N827" s="3">
        <v>1</v>
      </c>
      <c r="O827" s="8">
        <f>+Tabla1[[#This Row],[Conversión]]*Tabla1[[#This Row],[Cantidad]]</f>
        <v>13</v>
      </c>
      <c r="P827" s="43">
        <f>Tabla1[[#This Row],[Neto]]-Tabla1[[#This Row],[Costo Venta]]</f>
        <v>366.29993000000002</v>
      </c>
    </row>
    <row r="828" spans="1:16" x14ac:dyDescent="0.25">
      <c r="A828" s="48">
        <v>45426</v>
      </c>
      <c r="B828" s="1" t="s">
        <v>405</v>
      </c>
      <c r="C828" s="1" t="s">
        <v>29</v>
      </c>
      <c r="D828" s="1" t="s">
        <v>868</v>
      </c>
      <c r="E828" s="1" t="s">
        <v>67</v>
      </c>
      <c r="F828" s="1" t="s">
        <v>20</v>
      </c>
      <c r="G828" s="2">
        <v>6</v>
      </c>
      <c r="H828" s="51" t="s">
        <v>839</v>
      </c>
      <c r="I828" s="44">
        <f>Tabla1[[#This Row],[Descuento]]+Tabla1[[#This Row],[Neto]]</f>
        <v>206.09500000000003</v>
      </c>
      <c r="J828" s="9">
        <v>72.135000000000005</v>
      </c>
      <c r="K828" s="9">
        <v>133.96</v>
      </c>
      <c r="L828" s="9">
        <v>26.759124</v>
      </c>
      <c r="M828" s="24">
        <f>+Tabla1[[#This Row],[Costo Venta]]/Tabla1[[#This Row],[Cantidad]]</f>
        <v>4.459854</v>
      </c>
      <c r="N828" s="3">
        <v>1</v>
      </c>
      <c r="O828" s="8">
        <f>+Tabla1[[#This Row],[Conversión]]*Tabla1[[#This Row],[Cantidad]]</f>
        <v>6</v>
      </c>
      <c r="P828" s="43">
        <f>Tabla1[[#This Row],[Neto]]-Tabla1[[#This Row],[Costo Venta]]</f>
        <v>107.20087600000001</v>
      </c>
    </row>
    <row r="829" spans="1:16" x14ac:dyDescent="0.25">
      <c r="A829" s="48">
        <v>45448</v>
      </c>
      <c r="B829" s="1" t="s">
        <v>405</v>
      </c>
      <c r="C829" s="1" t="s">
        <v>143</v>
      </c>
      <c r="D829" s="1" t="s">
        <v>869</v>
      </c>
      <c r="E829" s="1" t="s">
        <v>71</v>
      </c>
      <c r="F829" s="1" t="s">
        <v>870</v>
      </c>
      <c r="G829" s="2">
        <v>7.2</v>
      </c>
      <c r="H829" s="51" t="s">
        <v>839</v>
      </c>
      <c r="I829" s="44">
        <f>Tabla1[[#This Row],[Descuento]]+Tabla1[[#This Row],[Neto]]</f>
        <v>247.32</v>
      </c>
      <c r="J829" s="9">
        <v>0</v>
      </c>
      <c r="K829" s="9">
        <v>247.32</v>
      </c>
      <c r="L829" s="9">
        <v>32.561424000000002</v>
      </c>
      <c r="M829" s="24">
        <f>+Tabla1[[#This Row],[Costo Venta]]/Tabla1[[#This Row],[Cantidad]]</f>
        <v>4.5224200000000003</v>
      </c>
      <c r="N829" s="3">
        <v>1</v>
      </c>
      <c r="O829" s="8">
        <f>+Tabla1[[#This Row],[Conversión]]*Tabla1[[#This Row],[Cantidad]]</f>
        <v>7.2</v>
      </c>
      <c r="P829" s="43">
        <f>Tabla1[[#This Row],[Neto]]-Tabla1[[#This Row],[Costo Venta]]</f>
        <v>214.75857600000001</v>
      </c>
    </row>
    <row r="830" spans="1:16" x14ac:dyDescent="0.25">
      <c r="A830" s="48">
        <v>45448</v>
      </c>
      <c r="B830" s="1" t="s">
        <v>405</v>
      </c>
      <c r="C830" s="1" t="s">
        <v>65</v>
      </c>
      <c r="D830" s="1" t="s">
        <v>871</v>
      </c>
      <c r="E830" s="1" t="s">
        <v>67</v>
      </c>
      <c r="F830" s="1" t="s">
        <v>9</v>
      </c>
      <c r="G830" s="2">
        <v>13</v>
      </c>
      <c r="H830" s="51" t="s">
        <v>839</v>
      </c>
      <c r="I830" s="44">
        <f>Tabla1[[#This Row],[Descuento]]+Tabla1[[#This Row],[Neto]]</f>
        <v>446.55250000000001</v>
      </c>
      <c r="J830" s="9">
        <v>156.29249999999999</v>
      </c>
      <c r="K830" s="9">
        <v>290.26</v>
      </c>
      <c r="L830" s="9">
        <v>58.791460000000001</v>
      </c>
      <c r="M830" s="24">
        <f>+Tabla1[[#This Row],[Costo Venta]]/Tabla1[[#This Row],[Cantidad]]</f>
        <v>4.5224200000000003</v>
      </c>
      <c r="N830" s="3">
        <v>1</v>
      </c>
      <c r="O830" s="8">
        <f>+Tabla1[[#This Row],[Conversión]]*Tabla1[[#This Row],[Cantidad]]</f>
        <v>13</v>
      </c>
      <c r="P830" s="43">
        <f>Tabla1[[#This Row],[Neto]]-Tabla1[[#This Row],[Costo Venta]]</f>
        <v>231.46853999999999</v>
      </c>
    </row>
    <row r="831" spans="1:16" x14ac:dyDescent="0.25">
      <c r="A831" s="48">
        <v>45450</v>
      </c>
      <c r="B831" s="1" t="s">
        <v>405</v>
      </c>
      <c r="C831" s="1" t="s">
        <v>81</v>
      </c>
      <c r="D831" s="1" t="s">
        <v>872</v>
      </c>
      <c r="E831" s="1" t="s">
        <v>67</v>
      </c>
      <c r="F831" s="1" t="s">
        <v>9</v>
      </c>
      <c r="G831" s="2">
        <v>100.08</v>
      </c>
      <c r="H831" s="51" t="s">
        <v>839</v>
      </c>
      <c r="I831" s="44">
        <f>Tabla1[[#This Row],[Descuento]]+Tabla1[[#This Row],[Neto]]</f>
        <v>3437.7465999999999</v>
      </c>
      <c r="J831" s="9">
        <v>1546.9866</v>
      </c>
      <c r="K831" s="9">
        <v>1890.76</v>
      </c>
      <c r="L831" s="9">
        <v>455.97999240000001</v>
      </c>
      <c r="M831" s="24">
        <f>+Tabla1[[#This Row],[Costo Venta]]/Tabla1[[#This Row],[Cantidad]]</f>
        <v>4.5561550000000004</v>
      </c>
      <c r="N831" s="3">
        <v>1</v>
      </c>
      <c r="O831" s="8">
        <f>+Tabla1[[#This Row],[Conversión]]*Tabla1[[#This Row],[Cantidad]]</f>
        <v>100.08</v>
      </c>
      <c r="P831" s="43">
        <f>Tabla1[[#This Row],[Neto]]-Tabla1[[#This Row],[Costo Venta]]</f>
        <v>1434.7800075999999</v>
      </c>
    </row>
    <row r="832" spans="1:16" x14ac:dyDescent="0.25">
      <c r="A832" s="48">
        <v>45526</v>
      </c>
      <c r="B832" s="1" t="s">
        <v>405</v>
      </c>
      <c r="C832" s="1" t="s">
        <v>65</v>
      </c>
      <c r="D832" s="1" t="s">
        <v>873</v>
      </c>
      <c r="E832" s="1" t="s">
        <v>132</v>
      </c>
      <c r="F832" s="1" t="s">
        <v>874</v>
      </c>
      <c r="G832" s="2">
        <v>22</v>
      </c>
      <c r="H832" s="51" t="s">
        <v>839</v>
      </c>
      <c r="I832" s="44">
        <f>Tabla1[[#This Row],[Descuento]]+Tabla1[[#This Row],[Neto]]</f>
        <v>755.7</v>
      </c>
      <c r="J832" s="9">
        <v>0</v>
      </c>
      <c r="K832" s="9">
        <v>755.7</v>
      </c>
      <c r="L832" s="9">
        <v>107.300292</v>
      </c>
      <c r="M832" s="24">
        <f>+Tabla1[[#This Row],[Costo Venta]]/Tabla1[[#This Row],[Cantidad]]</f>
        <v>4.8772859999999998</v>
      </c>
      <c r="N832" s="3">
        <v>1</v>
      </c>
      <c r="O832" s="8">
        <f>+Tabla1[[#This Row],[Conversión]]*Tabla1[[#This Row],[Cantidad]]</f>
        <v>22</v>
      </c>
      <c r="P832" s="43">
        <f>Tabla1[[#This Row],[Neto]]-Tabla1[[#This Row],[Costo Venta]]</f>
        <v>648.39970800000003</v>
      </c>
    </row>
    <row r="833" spans="1:16" x14ac:dyDescent="0.25">
      <c r="A833" s="48">
        <v>45537</v>
      </c>
      <c r="B833" s="1" t="s">
        <v>405</v>
      </c>
      <c r="C833" s="1" t="s">
        <v>65</v>
      </c>
      <c r="D833" s="1" t="s">
        <v>875</v>
      </c>
      <c r="E833" s="1" t="s">
        <v>67</v>
      </c>
      <c r="F833" s="1" t="s">
        <v>9</v>
      </c>
      <c r="G833" s="2">
        <v>44.16</v>
      </c>
      <c r="H833" s="51" t="s">
        <v>839</v>
      </c>
      <c r="I833" s="44">
        <f>Tabla1[[#This Row],[Descuento]]+Tabla1[[#This Row],[Neto]]</f>
        <v>1516.9032</v>
      </c>
      <c r="J833" s="9">
        <v>682.60320000000002</v>
      </c>
      <c r="K833" s="9">
        <v>834.3</v>
      </c>
      <c r="L833" s="9">
        <v>212.29120703999999</v>
      </c>
      <c r="M833" s="24">
        <f>+Tabla1[[#This Row],[Costo Venta]]/Tabla1[[#This Row],[Cantidad]]</f>
        <v>4.8073190000000006</v>
      </c>
      <c r="N833" s="3">
        <v>1</v>
      </c>
      <c r="O833" s="8">
        <f>+Tabla1[[#This Row],[Conversión]]*Tabla1[[#This Row],[Cantidad]]</f>
        <v>44.16</v>
      </c>
      <c r="P833" s="43">
        <f>Tabla1[[#This Row],[Neto]]-Tabla1[[#This Row],[Costo Venta]]</f>
        <v>622.00879295999994</v>
      </c>
    </row>
    <row r="834" spans="1:16" x14ac:dyDescent="0.25">
      <c r="A834" s="48">
        <v>45541</v>
      </c>
      <c r="B834" s="1" t="s">
        <v>405</v>
      </c>
      <c r="C834" s="1" t="s">
        <v>65</v>
      </c>
      <c r="D834" s="1" t="s">
        <v>876</v>
      </c>
      <c r="E834" s="1" t="s">
        <v>132</v>
      </c>
      <c r="F834" s="1" t="s">
        <v>874</v>
      </c>
      <c r="G834" s="2">
        <v>10</v>
      </c>
      <c r="H834" s="51" t="s">
        <v>839</v>
      </c>
      <c r="I834" s="44">
        <f>Tabla1[[#This Row],[Descuento]]+Tabla1[[#This Row],[Neto]]</f>
        <v>343.5</v>
      </c>
      <c r="J834" s="9">
        <v>0</v>
      </c>
      <c r="K834" s="9">
        <v>343.5</v>
      </c>
      <c r="L834" s="9">
        <v>47.765599999999999</v>
      </c>
      <c r="M834" s="24">
        <f>+Tabla1[[#This Row],[Costo Venta]]/Tabla1[[#This Row],[Cantidad]]</f>
        <v>4.7765599999999999</v>
      </c>
      <c r="N834" s="3">
        <v>1</v>
      </c>
      <c r="O834" s="8">
        <f>+Tabla1[[#This Row],[Conversión]]*Tabla1[[#This Row],[Cantidad]]</f>
        <v>10</v>
      </c>
      <c r="P834" s="43">
        <f>Tabla1[[#This Row],[Neto]]-Tabla1[[#This Row],[Costo Venta]]</f>
        <v>295.73439999999999</v>
      </c>
    </row>
    <row r="835" spans="1:16" x14ac:dyDescent="0.25">
      <c r="A835" s="48">
        <v>45552</v>
      </c>
      <c r="B835" s="1" t="s">
        <v>405</v>
      </c>
      <c r="C835" s="1" t="s">
        <v>65</v>
      </c>
      <c r="D835" s="1" t="s">
        <v>877</v>
      </c>
      <c r="E835" s="1" t="s">
        <v>67</v>
      </c>
      <c r="F835" s="1" t="s">
        <v>9</v>
      </c>
      <c r="G835" s="2">
        <v>18</v>
      </c>
      <c r="H835" s="51" t="s">
        <v>839</v>
      </c>
      <c r="I835" s="44">
        <f>Tabla1[[#This Row],[Descuento]]+Tabla1[[#This Row],[Neto]]</f>
        <v>618.29500000000007</v>
      </c>
      <c r="J835" s="9">
        <v>278.23500000000001</v>
      </c>
      <c r="K835" s="9">
        <v>340.06</v>
      </c>
      <c r="L835" s="9">
        <v>86.664258000000004</v>
      </c>
      <c r="M835" s="24">
        <f>+Tabla1[[#This Row],[Costo Venta]]/Tabla1[[#This Row],[Cantidad]]</f>
        <v>4.8146810000000002</v>
      </c>
      <c r="N835" s="3">
        <v>1</v>
      </c>
      <c r="O835" s="8">
        <f>+Tabla1[[#This Row],[Conversión]]*Tabla1[[#This Row],[Cantidad]]</f>
        <v>18</v>
      </c>
      <c r="P835" s="43">
        <f>Tabla1[[#This Row],[Neto]]-Tabla1[[#This Row],[Costo Venta]]</f>
        <v>253.39574199999998</v>
      </c>
    </row>
    <row r="836" spans="1:16" x14ac:dyDescent="0.25">
      <c r="A836" s="48">
        <v>45554</v>
      </c>
      <c r="B836" s="1" t="s">
        <v>405</v>
      </c>
      <c r="C836" s="1" t="s">
        <v>65</v>
      </c>
      <c r="D836" s="1" t="s">
        <v>878</v>
      </c>
      <c r="E836" s="1" t="s">
        <v>67</v>
      </c>
      <c r="F836" s="1" t="s">
        <v>20</v>
      </c>
      <c r="G836" s="2">
        <v>2.16</v>
      </c>
      <c r="H836" s="51" t="s">
        <v>839</v>
      </c>
      <c r="I836" s="44">
        <f>Tabla1[[#This Row],[Descuento]]+Tabla1[[#This Row],[Neto]]</f>
        <v>74.198599999999999</v>
      </c>
      <c r="J836" s="9">
        <v>25.968599999999999</v>
      </c>
      <c r="K836" s="9">
        <v>48.23</v>
      </c>
      <c r="L836" s="9">
        <v>10.39971096</v>
      </c>
      <c r="M836" s="24">
        <f>+Tabla1[[#This Row],[Costo Venta]]/Tabla1[[#This Row],[Cantidad]]</f>
        <v>4.8146809999999993</v>
      </c>
      <c r="N836" s="3">
        <v>1</v>
      </c>
      <c r="O836" s="8">
        <f>+Tabla1[[#This Row],[Conversión]]*Tabla1[[#This Row],[Cantidad]]</f>
        <v>2.16</v>
      </c>
      <c r="P836" s="43">
        <f>Tabla1[[#This Row],[Neto]]-Tabla1[[#This Row],[Costo Venta]]</f>
        <v>37.830289039999997</v>
      </c>
    </row>
    <row r="837" spans="1:16" x14ac:dyDescent="0.25">
      <c r="A837" s="48">
        <v>45561</v>
      </c>
      <c r="B837" s="1" t="s">
        <v>405</v>
      </c>
      <c r="C837" s="1" t="s">
        <v>65</v>
      </c>
      <c r="D837" s="1" t="s">
        <v>879</v>
      </c>
      <c r="E837" s="1" t="s">
        <v>132</v>
      </c>
      <c r="F837" s="1" t="s">
        <v>874</v>
      </c>
      <c r="G837" s="2">
        <v>1.2</v>
      </c>
      <c r="H837" s="51" t="s">
        <v>839</v>
      </c>
      <c r="I837" s="44">
        <f>Tabla1[[#This Row],[Descuento]]+Tabla1[[#This Row],[Neto]]</f>
        <v>41.22</v>
      </c>
      <c r="J837" s="9">
        <v>0</v>
      </c>
      <c r="K837" s="9">
        <v>41.22</v>
      </c>
      <c r="L837" s="9">
        <v>5.7073463999999996</v>
      </c>
      <c r="M837" s="24">
        <f>+Tabla1[[#This Row],[Costo Venta]]/Tabla1[[#This Row],[Cantidad]]</f>
        <v>4.7561219999999995</v>
      </c>
      <c r="N837" s="3">
        <v>1</v>
      </c>
      <c r="O837" s="8">
        <f>+Tabla1[[#This Row],[Conversión]]*Tabla1[[#This Row],[Cantidad]]</f>
        <v>1.2</v>
      </c>
      <c r="P837" s="43">
        <f>Tabla1[[#This Row],[Neto]]-Tabla1[[#This Row],[Costo Venta]]</f>
        <v>35.5126536</v>
      </c>
    </row>
    <row r="838" spans="1:16" x14ac:dyDescent="0.25">
      <c r="A838" s="48">
        <v>45569</v>
      </c>
      <c r="B838" s="1" t="s">
        <v>405</v>
      </c>
      <c r="C838" s="1" t="s">
        <v>65</v>
      </c>
      <c r="D838" s="1" t="s">
        <v>880</v>
      </c>
      <c r="E838" s="1" t="s">
        <v>67</v>
      </c>
      <c r="F838" s="1" t="s">
        <v>9</v>
      </c>
      <c r="G838" s="2">
        <v>25.2</v>
      </c>
      <c r="H838" s="51" t="s">
        <v>839</v>
      </c>
      <c r="I838" s="44">
        <f>Tabla1[[#This Row],[Descuento]]+Tabla1[[#This Row],[Neto]]</f>
        <v>865.61899999999991</v>
      </c>
      <c r="J838" s="9">
        <v>389.529</v>
      </c>
      <c r="K838" s="9">
        <v>476.09</v>
      </c>
      <c r="L838" s="9">
        <v>118.6579296</v>
      </c>
      <c r="M838" s="24">
        <f>+Tabla1[[#This Row],[Costo Venta]]/Tabla1[[#This Row],[Cantidad]]</f>
        <v>4.7086480000000002</v>
      </c>
      <c r="N838" s="3">
        <v>1</v>
      </c>
      <c r="O838" s="8">
        <f>+Tabla1[[#This Row],[Conversión]]*Tabla1[[#This Row],[Cantidad]]</f>
        <v>25.2</v>
      </c>
      <c r="P838" s="43">
        <f>Tabla1[[#This Row],[Neto]]-Tabla1[[#This Row],[Costo Venta]]</f>
        <v>357.43207039999999</v>
      </c>
    </row>
    <row r="839" spans="1:16" x14ac:dyDescent="0.25">
      <c r="A839" s="48">
        <v>45615</v>
      </c>
      <c r="B839" s="1" t="s">
        <v>405</v>
      </c>
      <c r="C839" s="1" t="s">
        <v>65</v>
      </c>
      <c r="D839" s="1" t="s">
        <v>881</v>
      </c>
      <c r="E839" s="1" t="s">
        <v>67</v>
      </c>
      <c r="F839" s="1" t="s">
        <v>9</v>
      </c>
      <c r="G839" s="2">
        <v>61.2</v>
      </c>
      <c r="H839" s="51" t="s">
        <v>839</v>
      </c>
      <c r="I839" s="44">
        <f>Tabla1[[#This Row],[Descuento]]+Tabla1[[#This Row],[Neto]]</f>
        <v>2102.2190000000001</v>
      </c>
      <c r="J839" s="9">
        <v>945.99900000000002</v>
      </c>
      <c r="K839" s="9">
        <v>1156.22</v>
      </c>
      <c r="L839" s="9">
        <v>290.61799200000002</v>
      </c>
      <c r="M839" s="24">
        <f>+Tabla1[[#This Row],[Costo Venta]]/Tabla1[[#This Row],[Cantidad]]</f>
        <v>4.7486600000000001</v>
      </c>
      <c r="N839" s="3">
        <v>1</v>
      </c>
      <c r="O839" s="8">
        <f>+Tabla1[[#This Row],[Conversión]]*Tabla1[[#This Row],[Cantidad]]</f>
        <v>61.2</v>
      </c>
      <c r="P839" s="43">
        <f>Tabla1[[#This Row],[Neto]]-Tabla1[[#This Row],[Costo Venta]]</f>
        <v>865.60200800000007</v>
      </c>
    </row>
    <row r="840" spans="1:16" x14ac:dyDescent="0.25">
      <c r="A840" s="48">
        <v>45615</v>
      </c>
      <c r="B840" s="1" t="s">
        <v>405</v>
      </c>
      <c r="C840" s="1" t="s">
        <v>65</v>
      </c>
      <c r="D840" s="1" t="s">
        <v>882</v>
      </c>
      <c r="E840" s="1" t="s">
        <v>67</v>
      </c>
      <c r="F840" s="1" t="s">
        <v>20</v>
      </c>
      <c r="G840" s="2">
        <v>6</v>
      </c>
      <c r="H840" s="51" t="s">
        <v>839</v>
      </c>
      <c r="I840" s="44">
        <f>Tabla1[[#This Row],[Descuento]]+Tabla1[[#This Row],[Neto]]</f>
        <v>206.09500000000003</v>
      </c>
      <c r="J840" s="9">
        <v>72.135000000000005</v>
      </c>
      <c r="K840" s="9">
        <v>133.96</v>
      </c>
      <c r="L840" s="9">
        <v>28.491959999999999</v>
      </c>
      <c r="M840" s="24">
        <f>+Tabla1[[#This Row],[Costo Venta]]/Tabla1[[#This Row],[Cantidad]]</f>
        <v>4.7486600000000001</v>
      </c>
      <c r="N840" s="3">
        <v>1</v>
      </c>
      <c r="O840" s="8">
        <f>+Tabla1[[#This Row],[Conversión]]*Tabla1[[#This Row],[Cantidad]]</f>
        <v>6</v>
      </c>
      <c r="P840" s="43">
        <f>Tabla1[[#This Row],[Neto]]-Tabla1[[#This Row],[Costo Venta]]</f>
        <v>105.46804</v>
      </c>
    </row>
    <row r="841" spans="1:16" x14ac:dyDescent="0.25">
      <c r="A841" s="48">
        <v>45638</v>
      </c>
      <c r="B841" s="1" t="s">
        <v>405</v>
      </c>
      <c r="C841" s="1" t="s">
        <v>65</v>
      </c>
      <c r="D841" s="1" t="s">
        <v>883</v>
      </c>
      <c r="E841" s="1" t="s">
        <v>67</v>
      </c>
      <c r="F841" s="1" t="s">
        <v>9</v>
      </c>
      <c r="G841" s="2">
        <v>20.16</v>
      </c>
      <c r="H841" s="51" t="s">
        <v>839</v>
      </c>
      <c r="I841" s="44">
        <f>Tabla1[[#This Row],[Descuento]]+Tabla1[[#This Row],[Neto]]</f>
        <v>692.50319999999999</v>
      </c>
      <c r="J841" s="9">
        <v>311.6232</v>
      </c>
      <c r="K841" s="9">
        <v>380.88</v>
      </c>
      <c r="L841" s="9">
        <v>95.732985600000006</v>
      </c>
      <c r="M841" s="24">
        <f>+Tabla1[[#This Row],[Costo Venta]]/Tabla1[[#This Row],[Cantidad]]</f>
        <v>4.7486600000000001</v>
      </c>
      <c r="N841" s="3">
        <v>1</v>
      </c>
      <c r="O841" s="8">
        <f>+Tabla1[[#This Row],[Conversión]]*Tabla1[[#This Row],[Cantidad]]</f>
        <v>20.16</v>
      </c>
      <c r="P841" s="43">
        <f>Tabla1[[#This Row],[Neto]]-Tabla1[[#This Row],[Costo Venta]]</f>
        <v>285.14701439999999</v>
      </c>
    </row>
    <row r="842" spans="1:16" x14ac:dyDescent="0.25">
      <c r="A842" s="48">
        <v>45639</v>
      </c>
      <c r="B842" s="1" t="s">
        <v>405</v>
      </c>
      <c r="C842" s="1" t="s">
        <v>65</v>
      </c>
      <c r="D842" s="1" t="s">
        <v>351</v>
      </c>
      <c r="E842" s="1" t="s">
        <v>71</v>
      </c>
      <c r="F842" s="1" t="s">
        <v>352</v>
      </c>
      <c r="G842" s="2">
        <v>22</v>
      </c>
      <c r="H842" s="51" t="s">
        <v>839</v>
      </c>
      <c r="I842" s="44">
        <f>Tabla1[[#This Row],[Descuento]]+Tabla1[[#This Row],[Neto]]</f>
        <v>755.69500000000005</v>
      </c>
      <c r="J842" s="9">
        <v>113.355</v>
      </c>
      <c r="K842" s="9">
        <v>642.34</v>
      </c>
      <c r="L842" s="9">
        <v>104.47051999999999</v>
      </c>
      <c r="M842" s="24">
        <f>+Tabla1[[#This Row],[Costo Venta]]/Tabla1[[#This Row],[Cantidad]]</f>
        <v>4.7486600000000001</v>
      </c>
      <c r="N842" s="3">
        <v>1</v>
      </c>
      <c r="O842" s="8">
        <f>+Tabla1[[#This Row],[Conversión]]*Tabla1[[#This Row],[Cantidad]]</f>
        <v>22</v>
      </c>
      <c r="P842" s="43">
        <f>Tabla1[[#This Row],[Neto]]-Tabla1[[#This Row],[Costo Venta]]</f>
        <v>537.86948000000007</v>
      </c>
    </row>
    <row r="843" spans="1:16" x14ac:dyDescent="0.25">
      <c r="A843" s="48">
        <v>45665</v>
      </c>
      <c r="B843" s="1" t="s">
        <v>405</v>
      </c>
      <c r="C843" s="1" t="s">
        <v>65</v>
      </c>
      <c r="D843" s="1" t="s">
        <v>884</v>
      </c>
      <c r="E843" s="1" t="s">
        <v>67</v>
      </c>
      <c r="F843" s="1" t="s">
        <v>9</v>
      </c>
      <c r="G843" s="2">
        <v>4.08</v>
      </c>
      <c r="H843" s="51" t="s">
        <v>839</v>
      </c>
      <c r="I843" s="44">
        <f>Tabla1[[#This Row],[Descuento]]+Tabla1[[#This Row],[Neto]]</f>
        <v>140.14660000000001</v>
      </c>
      <c r="J843" s="9">
        <v>63.066600000000001</v>
      </c>
      <c r="K843" s="9">
        <v>77.08</v>
      </c>
      <c r="L843" s="9">
        <v>19.435683839999999</v>
      </c>
      <c r="M843" s="24">
        <f>+Tabla1[[#This Row],[Costo Venta]]/Tabla1[[#This Row],[Cantidad]]</f>
        <v>4.7636479999999999</v>
      </c>
      <c r="N843" s="3">
        <v>1</v>
      </c>
      <c r="O843" s="8">
        <f>+Tabla1[[#This Row],[Conversión]]*Tabla1[[#This Row],[Cantidad]]</f>
        <v>4.08</v>
      </c>
      <c r="P843" s="43">
        <f>Tabla1[[#This Row],[Neto]]-Tabla1[[#This Row],[Costo Venta]]</f>
        <v>57.644316160000002</v>
      </c>
    </row>
    <row r="844" spans="1:16" x14ac:dyDescent="0.25">
      <c r="A844" s="48">
        <v>45672</v>
      </c>
      <c r="B844" s="1" t="s">
        <v>405</v>
      </c>
      <c r="C844" s="1" t="s">
        <v>65</v>
      </c>
      <c r="D844" s="1" t="s">
        <v>885</v>
      </c>
      <c r="E844" s="1" t="s">
        <v>67</v>
      </c>
      <c r="F844" s="1" t="s">
        <v>20</v>
      </c>
      <c r="G844" s="2">
        <v>6</v>
      </c>
      <c r="H844" s="51" t="s">
        <v>839</v>
      </c>
      <c r="I844" s="44">
        <f>Tabla1[[#This Row],[Descuento]]+Tabla1[[#This Row],[Neto]]</f>
        <v>206.09500000000003</v>
      </c>
      <c r="J844" s="9">
        <v>72.135000000000005</v>
      </c>
      <c r="K844" s="9">
        <v>133.96</v>
      </c>
      <c r="L844" s="9">
        <v>28.630973999999998</v>
      </c>
      <c r="M844" s="24">
        <f>+Tabla1[[#This Row],[Costo Venta]]/Tabla1[[#This Row],[Cantidad]]</f>
        <v>4.7718289999999994</v>
      </c>
      <c r="N844" s="3">
        <v>1</v>
      </c>
      <c r="O844" s="8">
        <f>+Tabla1[[#This Row],[Conversión]]*Tabla1[[#This Row],[Cantidad]]</f>
        <v>6</v>
      </c>
      <c r="P844" s="43">
        <f>Tabla1[[#This Row],[Neto]]-Tabla1[[#This Row],[Costo Venta]]</f>
        <v>105.32902600000001</v>
      </c>
    </row>
    <row r="845" spans="1:16" x14ac:dyDescent="0.25">
      <c r="A845" s="48">
        <v>45702</v>
      </c>
      <c r="B845" s="1" t="s">
        <v>405</v>
      </c>
      <c r="C845" s="1" t="s">
        <v>65</v>
      </c>
      <c r="D845" s="1" t="s">
        <v>886</v>
      </c>
      <c r="E845" s="1" t="s">
        <v>67</v>
      </c>
      <c r="F845" s="1" t="s">
        <v>9</v>
      </c>
      <c r="G845" s="2">
        <v>35.04</v>
      </c>
      <c r="H845" s="51" t="s">
        <v>839</v>
      </c>
      <c r="I845" s="44">
        <f>Tabla1[[#This Row],[Descuento]]+Tabla1[[#This Row],[Neto]]</f>
        <v>1203.6208000000001</v>
      </c>
      <c r="J845" s="9">
        <v>541.63080000000002</v>
      </c>
      <c r="K845" s="9">
        <v>661.99</v>
      </c>
      <c r="L845" s="9">
        <v>167.20488816</v>
      </c>
      <c r="M845" s="24">
        <f>+Tabla1[[#This Row],[Costo Venta]]/Tabla1[[#This Row],[Cantidad]]</f>
        <v>4.7718290000000003</v>
      </c>
      <c r="N845" s="3">
        <v>1</v>
      </c>
      <c r="O845" s="8">
        <f>+Tabla1[[#This Row],[Conversión]]*Tabla1[[#This Row],[Cantidad]]</f>
        <v>35.04</v>
      </c>
      <c r="P845" s="43">
        <f>Tabla1[[#This Row],[Neto]]-Tabla1[[#This Row],[Costo Venta]]</f>
        <v>494.78511184000001</v>
      </c>
    </row>
    <row r="846" spans="1:16" x14ac:dyDescent="0.25">
      <c r="A846" s="48">
        <v>45713</v>
      </c>
      <c r="B846" s="1" t="s">
        <v>405</v>
      </c>
      <c r="C846" s="1" t="s">
        <v>65</v>
      </c>
      <c r="D846" s="1" t="s">
        <v>887</v>
      </c>
      <c r="E846" s="1" t="s">
        <v>67</v>
      </c>
      <c r="F846" s="1" t="s">
        <v>9</v>
      </c>
      <c r="G846" s="2">
        <v>5.04</v>
      </c>
      <c r="H846" s="51" t="s">
        <v>839</v>
      </c>
      <c r="I846" s="44">
        <f>Tabla1[[#This Row],[Descuento]]+Tabla1[[#This Row],[Neto]]</f>
        <v>173.11579999999998</v>
      </c>
      <c r="J846" s="9">
        <v>77.905799999999999</v>
      </c>
      <c r="K846" s="9">
        <v>95.21</v>
      </c>
      <c r="L846" s="9">
        <v>24.2251884</v>
      </c>
      <c r="M846" s="24">
        <f>+Tabla1[[#This Row],[Costo Venta]]/Tabla1[[#This Row],[Cantidad]]</f>
        <v>4.8065850000000001</v>
      </c>
      <c r="N846" s="3">
        <v>1</v>
      </c>
      <c r="O846" s="8">
        <f>+Tabla1[[#This Row],[Conversión]]*Tabla1[[#This Row],[Cantidad]]</f>
        <v>5.04</v>
      </c>
      <c r="P846" s="43">
        <f>Tabla1[[#This Row],[Neto]]-Tabla1[[#This Row],[Costo Venta]]</f>
        <v>70.9848116</v>
      </c>
    </row>
    <row r="847" spans="1:16" x14ac:dyDescent="0.25">
      <c r="A847" s="48">
        <v>45724</v>
      </c>
      <c r="B847" s="1" t="s">
        <v>405</v>
      </c>
      <c r="C847" s="1" t="s">
        <v>65</v>
      </c>
      <c r="D847" s="1" t="s">
        <v>658</v>
      </c>
      <c r="E847" s="1" t="s">
        <v>71</v>
      </c>
      <c r="F847" s="1" t="s">
        <v>376</v>
      </c>
      <c r="G847" s="2">
        <v>12.5</v>
      </c>
      <c r="H847" s="51" t="s">
        <v>839</v>
      </c>
      <c r="I847" s="44">
        <f>Tabla1[[#This Row],[Descuento]]+Tabla1[[#This Row],[Neto]]</f>
        <v>429.38375000000002</v>
      </c>
      <c r="J847" s="9">
        <v>107.34375</v>
      </c>
      <c r="K847" s="9">
        <v>322.04000000000002</v>
      </c>
      <c r="L847" s="9">
        <v>60.435524999999998</v>
      </c>
      <c r="M847" s="24">
        <f>+Tabla1[[#This Row],[Costo Venta]]/Tabla1[[#This Row],[Cantidad]]</f>
        <v>4.8348420000000001</v>
      </c>
      <c r="N847" s="3">
        <v>1</v>
      </c>
      <c r="O847" s="8">
        <f>+Tabla1[[#This Row],[Conversión]]*Tabla1[[#This Row],[Cantidad]]</f>
        <v>12.5</v>
      </c>
      <c r="P847" s="43">
        <f>Tabla1[[#This Row],[Neto]]-Tabla1[[#This Row],[Costo Venta]]</f>
        <v>261.60447500000004</v>
      </c>
    </row>
    <row r="848" spans="1:16" x14ac:dyDescent="0.25">
      <c r="A848" s="48">
        <v>45734</v>
      </c>
      <c r="B848" s="1" t="s">
        <v>405</v>
      </c>
      <c r="C848" s="1" t="s">
        <v>109</v>
      </c>
      <c r="D848" s="1" t="s">
        <v>888</v>
      </c>
      <c r="E848" s="1" t="s">
        <v>67</v>
      </c>
      <c r="F848" s="1" t="s">
        <v>20</v>
      </c>
      <c r="G848" s="2">
        <v>17.04</v>
      </c>
      <c r="H848" s="51" t="s">
        <v>839</v>
      </c>
      <c r="I848" s="44">
        <f>Tabla1[[#This Row],[Descuento]]+Tabla1[[#This Row],[Neto]]</f>
        <v>585.31719999999996</v>
      </c>
      <c r="J848" s="9">
        <v>175.59719999999999</v>
      </c>
      <c r="K848" s="9">
        <v>409.72</v>
      </c>
      <c r="L848" s="9">
        <v>82.79032248</v>
      </c>
      <c r="M848" s="24">
        <f>+Tabla1[[#This Row],[Costo Venta]]/Tabla1[[#This Row],[Cantidad]]</f>
        <v>4.858587</v>
      </c>
      <c r="N848" s="3">
        <v>1</v>
      </c>
      <c r="O848" s="8">
        <f>+Tabla1[[#This Row],[Conversión]]*Tabla1[[#This Row],[Cantidad]]</f>
        <v>17.04</v>
      </c>
      <c r="P848" s="43">
        <f>Tabla1[[#This Row],[Neto]]-Tabla1[[#This Row],[Costo Venta]]</f>
        <v>326.92967752000004</v>
      </c>
    </row>
    <row r="849" spans="1:16" x14ac:dyDescent="0.25">
      <c r="A849" s="48">
        <v>45744</v>
      </c>
      <c r="B849" s="1" t="s">
        <v>405</v>
      </c>
      <c r="C849" s="1" t="s">
        <v>65</v>
      </c>
      <c r="D849" s="1" t="s">
        <v>889</v>
      </c>
      <c r="E849" s="1" t="s">
        <v>67</v>
      </c>
      <c r="F849" s="1" t="s">
        <v>9</v>
      </c>
      <c r="G849" s="2">
        <v>3.12</v>
      </c>
      <c r="H849" s="51" t="s">
        <v>839</v>
      </c>
      <c r="I849" s="44">
        <f>Tabla1[[#This Row],[Descuento]]+Tabla1[[#This Row],[Neto]]</f>
        <v>107.1674</v>
      </c>
      <c r="J849" s="9">
        <v>48.227400000000003</v>
      </c>
      <c r="K849" s="9">
        <v>58.94</v>
      </c>
      <c r="L849" s="9">
        <v>15.15879144</v>
      </c>
      <c r="M849" s="24">
        <f>+Tabla1[[#This Row],[Costo Venta]]/Tabla1[[#This Row],[Cantidad]]</f>
        <v>4.858587</v>
      </c>
      <c r="N849" s="3">
        <v>1</v>
      </c>
      <c r="O849" s="8">
        <f>+Tabla1[[#This Row],[Conversión]]*Tabla1[[#This Row],[Cantidad]]</f>
        <v>3.12</v>
      </c>
      <c r="P849" s="43">
        <f>Tabla1[[#This Row],[Neto]]-Tabla1[[#This Row],[Costo Venta]]</f>
        <v>43.781208559999996</v>
      </c>
    </row>
    <row r="850" spans="1:16" x14ac:dyDescent="0.25">
      <c r="A850" s="48">
        <v>45751</v>
      </c>
      <c r="B850" s="1" t="s">
        <v>405</v>
      </c>
      <c r="C850" s="1" t="s">
        <v>65</v>
      </c>
      <c r="D850" s="1" t="s">
        <v>890</v>
      </c>
      <c r="E850" s="1" t="s">
        <v>67</v>
      </c>
      <c r="F850" s="1" t="s">
        <v>9</v>
      </c>
      <c r="G850" s="2">
        <v>15.12</v>
      </c>
      <c r="H850" s="51" t="s">
        <v>839</v>
      </c>
      <c r="I850" s="44">
        <f>Tabla1[[#This Row],[Descuento]]+Tabla1[[#This Row],[Neto]]</f>
        <v>519.36739999999998</v>
      </c>
      <c r="J850" s="9">
        <v>233.7174</v>
      </c>
      <c r="K850" s="9">
        <v>285.64999999999998</v>
      </c>
      <c r="L850" s="9">
        <v>73.461835440000002</v>
      </c>
      <c r="M850" s="24">
        <f>+Tabla1[[#This Row],[Costo Venta]]/Tabla1[[#This Row],[Cantidad]]</f>
        <v>4.858587</v>
      </c>
      <c r="N850" s="3">
        <v>1</v>
      </c>
      <c r="O850" s="8">
        <f>+Tabla1[[#This Row],[Conversión]]*Tabla1[[#This Row],[Cantidad]]</f>
        <v>15.12</v>
      </c>
      <c r="P850" s="43">
        <f>Tabla1[[#This Row],[Neto]]-Tabla1[[#This Row],[Costo Venta]]</f>
        <v>212.18816455999996</v>
      </c>
    </row>
    <row r="851" spans="1:16" x14ac:dyDescent="0.25">
      <c r="A851" s="48">
        <v>45764</v>
      </c>
      <c r="B851" s="1" t="s">
        <v>405</v>
      </c>
      <c r="C851" s="1" t="s">
        <v>65</v>
      </c>
      <c r="D851" s="1" t="s">
        <v>373</v>
      </c>
      <c r="E851" s="1" t="s">
        <v>71</v>
      </c>
      <c r="F851" s="1" t="s">
        <v>374</v>
      </c>
      <c r="G851" s="2">
        <v>16.02</v>
      </c>
      <c r="H851" s="51" t="s">
        <v>839</v>
      </c>
      <c r="I851" s="44">
        <f>Tabla1[[#This Row],[Descuento]]+Tabla1[[#This Row],[Neto]]</f>
        <v>550.29</v>
      </c>
      <c r="J851" s="9">
        <v>0</v>
      </c>
      <c r="K851" s="9">
        <v>550.29</v>
      </c>
      <c r="L851" s="9">
        <v>78.496862579999998</v>
      </c>
      <c r="M851" s="24">
        <f>+Tabla1[[#This Row],[Costo Venta]]/Tabla1[[#This Row],[Cantidad]]</f>
        <v>4.8999290000000002</v>
      </c>
      <c r="N851" s="3">
        <v>1</v>
      </c>
      <c r="O851" s="8">
        <f>+Tabla1[[#This Row],[Conversión]]*Tabla1[[#This Row],[Cantidad]]</f>
        <v>16.02</v>
      </c>
      <c r="P851" s="43">
        <f>Tabla1[[#This Row],[Neto]]-Tabla1[[#This Row],[Costo Venta]]</f>
        <v>471.79313741999999</v>
      </c>
    </row>
    <row r="852" spans="1:16" x14ac:dyDescent="0.25">
      <c r="A852" s="48">
        <v>45771</v>
      </c>
      <c r="B852" s="1" t="s">
        <v>405</v>
      </c>
      <c r="C852" s="1" t="s">
        <v>65</v>
      </c>
      <c r="D852" s="1" t="s">
        <v>891</v>
      </c>
      <c r="E852" s="1" t="s">
        <v>67</v>
      </c>
      <c r="F852" s="1" t="s">
        <v>9</v>
      </c>
      <c r="G852" s="2">
        <v>15.12</v>
      </c>
      <c r="H852" s="51" t="s">
        <v>839</v>
      </c>
      <c r="I852" s="44">
        <f>Tabla1[[#This Row],[Descuento]]+Tabla1[[#This Row],[Neto]]</f>
        <v>519.36739999999998</v>
      </c>
      <c r="J852" s="9">
        <v>233.7174</v>
      </c>
      <c r="K852" s="9">
        <v>285.64999999999998</v>
      </c>
      <c r="L852" s="9">
        <v>74.086926480000002</v>
      </c>
      <c r="M852" s="24">
        <f>+Tabla1[[#This Row],[Costo Venta]]/Tabla1[[#This Row],[Cantidad]]</f>
        <v>4.8999290000000002</v>
      </c>
      <c r="N852" s="3">
        <v>1</v>
      </c>
      <c r="O852" s="8">
        <f>+Tabla1[[#This Row],[Conversión]]*Tabla1[[#This Row],[Cantidad]]</f>
        <v>15.12</v>
      </c>
      <c r="P852" s="43">
        <f>Tabla1[[#This Row],[Neto]]-Tabla1[[#This Row],[Costo Venta]]</f>
        <v>211.56307351999999</v>
      </c>
    </row>
    <row r="853" spans="1:16" x14ac:dyDescent="0.25">
      <c r="A853" s="48">
        <v>45791</v>
      </c>
      <c r="B853" s="1" t="s">
        <v>405</v>
      </c>
      <c r="C853" s="1" t="s">
        <v>65</v>
      </c>
      <c r="D853" s="1" t="s">
        <v>892</v>
      </c>
      <c r="E853" s="1" t="s">
        <v>67</v>
      </c>
      <c r="F853" s="1" t="s">
        <v>9</v>
      </c>
      <c r="G853" s="2">
        <v>1.44</v>
      </c>
      <c r="H853" s="51" t="s">
        <v>839</v>
      </c>
      <c r="I853" s="44">
        <f>Tabla1[[#This Row],[Descuento]]+Tabla1[[#This Row],[Neto]]</f>
        <v>49.458799999999997</v>
      </c>
      <c r="J853" s="9">
        <v>22.258800000000001</v>
      </c>
      <c r="K853" s="9">
        <v>27.2</v>
      </c>
      <c r="L853" s="9">
        <v>7.8833433599999996</v>
      </c>
      <c r="M853" s="24">
        <f>+Tabla1[[#This Row],[Costo Venta]]/Tabla1[[#This Row],[Cantidad]]</f>
        <v>5.4745439999999999</v>
      </c>
      <c r="N853" s="3">
        <v>1</v>
      </c>
      <c r="O853" s="8">
        <f>+Tabla1[[#This Row],[Conversión]]*Tabla1[[#This Row],[Cantidad]]</f>
        <v>1.44</v>
      </c>
      <c r="P853" s="43">
        <f>Tabla1[[#This Row],[Neto]]-Tabla1[[#This Row],[Costo Venta]]</f>
        <v>19.316656639999998</v>
      </c>
    </row>
    <row r="854" spans="1:16" x14ac:dyDescent="0.25">
      <c r="A854" s="48">
        <v>45811</v>
      </c>
      <c r="B854" s="1" t="s">
        <v>405</v>
      </c>
      <c r="C854" s="1" t="s">
        <v>65</v>
      </c>
      <c r="D854" s="1" t="s">
        <v>665</v>
      </c>
      <c r="E854" s="1" t="s">
        <v>67</v>
      </c>
      <c r="F854" s="1" t="s">
        <v>44</v>
      </c>
      <c r="G854" s="2">
        <v>8</v>
      </c>
      <c r="H854" s="51" t="s">
        <v>839</v>
      </c>
      <c r="I854" s="44">
        <f>Tabla1[[#This Row],[Descuento]]+Tabla1[[#This Row],[Neto]]</f>
        <v>274.8</v>
      </c>
      <c r="J854" s="9">
        <v>96.18</v>
      </c>
      <c r="K854" s="9">
        <v>178.62</v>
      </c>
      <c r="L854" s="9">
        <v>44.734879999999997</v>
      </c>
      <c r="M854" s="24">
        <f>+Tabla1[[#This Row],[Costo Venta]]/Tabla1[[#This Row],[Cantidad]]</f>
        <v>5.5918599999999996</v>
      </c>
      <c r="N854" s="3">
        <v>1</v>
      </c>
      <c r="O854" s="8">
        <f>+Tabla1[[#This Row],[Conversión]]*Tabla1[[#This Row],[Cantidad]]</f>
        <v>8</v>
      </c>
      <c r="P854" s="43">
        <f>Tabla1[[#This Row],[Neto]]-Tabla1[[#This Row],[Costo Venta]]</f>
        <v>133.88512</v>
      </c>
    </row>
    <row r="855" spans="1:16" x14ac:dyDescent="0.25">
      <c r="A855" s="48">
        <v>45832</v>
      </c>
      <c r="B855" s="1" t="s">
        <v>405</v>
      </c>
      <c r="C855" s="1" t="s">
        <v>65</v>
      </c>
      <c r="D855" s="1" t="s">
        <v>893</v>
      </c>
      <c r="E855" s="1" t="s">
        <v>67</v>
      </c>
      <c r="F855" s="1" t="s">
        <v>9</v>
      </c>
      <c r="G855" s="2">
        <v>12</v>
      </c>
      <c r="H855" s="51" t="s">
        <v>839</v>
      </c>
      <c r="I855" s="44">
        <f>Tabla1[[#This Row],[Descuento]]+Tabla1[[#This Row],[Neto]]</f>
        <v>412.20000000000005</v>
      </c>
      <c r="J855" s="9">
        <v>185.49</v>
      </c>
      <c r="K855" s="9">
        <v>226.71</v>
      </c>
      <c r="L855" s="9">
        <v>69.700739999999996</v>
      </c>
      <c r="M855" s="24">
        <f>+Tabla1[[#This Row],[Costo Venta]]/Tabla1[[#This Row],[Cantidad]]</f>
        <v>5.808395</v>
      </c>
      <c r="N855" s="3">
        <v>1</v>
      </c>
      <c r="O855" s="8">
        <f>+Tabla1[[#This Row],[Conversión]]*Tabla1[[#This Row],[Cantidad]]</f>
        <v>12</v>
      </c>
      <c r="P855" s="43">
        <f>Tabla1[[#This Row],[Neto]]-Tabla1[[#This Row],[Costo Venta]]</f>
        <v>157.00926000000001</v>
      </c>
    </row>
    <row r="856" spans="1:16" x14ac:dyDescent="0.25">
      <c r="A856" s="48">
        <v>45846</v>
      </c>
      <c r="B856" s="1" t="s">
        <v>405</v>
      </c>
      <c r="C856" s="1" t="s">
        <v>65</v>
      </c>
      <c r="D856" s="1" t="s">
        <v>894</v>
      </c>
      <c r="E856" s="1" t="s">
        <v>67</v>
      </c>
      <c r="F856" s="1" t="s">
        <v>20</v>
      </c>
      <c r="G856" s="2">
        <v>10.08</v>
      </c>
      <c r="H856" s="51" t="s">
        <v>839</v>
      </c>
      <c r="I856" s="44">
        <f>Tabla1[[#This Row],[Descuento]]+Tabla1[[#This Row],[Neto]]</f>
        <v>346.25439999999998</v>
      </c>
      <c r="J856" s="9">
        <v>103.87439999999999</v>
      </c>
      <c r="K856" s="9">
        <v>242.38</v>
      </c>
      <c r="L856" s="9">
        <v>58.548621599999997</v>
      </c>
      <c r="M856" s="24">
        <f>+Tabla1[[#This Row],[Costo Venta]]/Tabla1[[#This Row],[Cantidad]]</f>
        <v>5.808395</v>
      </c>
      <c r="N856" s="3">
        <v>1</v>
      </c>
      <c r="O856" s="8">
        <f>+Tabla1[[#This Row],[Conversión]]*Tabla1[[#This Row],[Cantidad]]</f>
        <v>10.08</v>
      </c>
      <c r="P856" s="43">
        <f>Tabla1[[#This Row],[Neto]]-Tabla1[[#This Row],[Costo Venta]]</f>
        <v>183.83137840000001</v>
      </c>
    </row>
    <row r="857" spans="1:16" x14ac:dyDescent="0.25">
      <c r="A857" s="48">
        <v>45895</v>
      </c>
      <c r="B857" s="1" t="s">
        <v>405</v>
      </c>
      <c r="C857" s="1" t="s">
        <v>65</v>
      </c>
      <c r="D857" s="1" t="s">
        <v>895</v>
      </c>
      <c r="E857" s="1" t="s">
        <v>67</v>
      </c>
      <c r="F857" s="1" t="s">
        <v>9</v>
      </c>
      <c r="G857" s="2">
        <v>11.28</v>
      </c>
      <c r="H857" s="51" t="s">
        <v>839</v>
      </c>
      <c r="I857" s="44">
        <f>Tabla1[[#This Row],[Descuento]]+Tabla1[[#This Row],[Neto]]</f>
        <v>387.47059999999999</v>
      </c>
      <c r="J857" s="9">
        <v>174.36060000000001</v>
      </c>
      <c r="K857" s="9">
        <v>213.11</v>
      </c>
      <c r="L857" s="9">
        <v>65.379376320000006</v>
      </c>
      <c r="M857" s="24">
        <f>+Tabla1[[#This Row],[Costo Venta]]/Tabla1[[#This Row],[Cantidad]]</f>
        <v>5.7960440000000011</v>
      </c>
      <c r="N857" s="3">
        <v>1</v>
      </c>
      <c r="O857" s="8">
        <f>+Tabla1[[#This Row],[Conversión]]*Tabla1[[#This Row],[Cantidad]]</f>
        <v>11.28</v>
      </c>
      <c r="P857" s="43">
        <f>Tabla1[[#This Row],[Neto]]-Tabla1[[#This Row],[Costo Venta]]</f>
        <v>147.73062368000001</v>
      </c>
    </row>
    <row r="858" spans="1:16" x14ac:dyDescent="0.25">
      <c r="A858" s="48">
        <v>45912</v>
      </c>
      <c r="B858" s="1" t="s">
        <v>405</v>
      </c>
      <c r="C858" s="1" t="s">
        <v>65</v>
      </c>
      <c r="D858" s="1" t="s">
        <v>896</v>
      </c>
      <c r="E858" s="1" t="s">
        <v>67</v>
      </c>
      <c r="F858" s="1" t="s">
        <v>20</v>
      </c>
      <c r="G858" s="2">
        <v>17.04</v>
      </c>
      <c r="H858" s="51" t="s">
        <v>839</v>
      </c>
      <c r="I858" s="44">
        <f>Tabla1[[#This Row],[Descuento]]+Tabla1[[#This Row],[Neto]]</f>
        <v>585.31719999999996</v>
      </c>
      <c r="J858" s="9">
        <v>175.59719999999999</v>
      </c>
      <c r="K858" s="9">
        <v>409.72</v>
      </c>
      <c r="L858" s="9">
        <v>97.696539599999994</v>
      </c>
      <c r="M858" s="24">
        <f>+Tabla1[[#This Row],[Costo Venta]]/Tabla1[[#This Row],[Cantidad]]</f>
        <v>5.733365</v>
      </c>
      <c r="N858" s="3">
        <v>1</v>
      </c>
      <c r="O858" s="8">
        <f>+Tabla1[[#This Row],[Conversión]]*Tabla1[[#This Row],[Cantidad]]</f>
        <v>17.04</v>
      </c>
      <c r="P858" s="43">
        <f>Tabla1[[#This Row],[Neto]]-Tabla1[[#This Row],[Costo Venta]]</f>
        <v>312.02346040000003</v>
      </c>
    </row>
    <row r="859" spans="1:16" x14ac:dyDescent="0.25">
      <c r="A859" s="48">
        <v>45919</v>
      </c>
      <c r="B859" s="1" t="s">
        <v>405</v>
      </c>
      <c r="C859" s="1" t="s">
        <v>65</v>
      </c>
      <c r="D859" s="1" t="s">
        <v>897</v>
      </c>
      <c r="E859" s="1" t="s">
        <v>67</v>
      </c>
      <c r="F859" s="1" t="s">
        <v>9</v>
      </c>
      <c r="G859" s="2">
        <v>5.04</v>
      </c>
      <c r="H859" s="51" t="s">
        <v>839</v>
      </c>
      <c r="I859" s="44">
        <f>Tabla1[[#This Row],[Descuento]]+Tabla1[[#This Row],[Neto]]</f>
        <v>173.11579999999998</v>
      </c>
      <c r="J859" s="9">
        <v>77.905799999999999</v>
      </c>
      <c r="K859" s="9">
        <v>95.21</v>
      </c>
      <c r="L859" s="9">
        <v>28.8567468</v>
      </c>
      <c r="M859" s="24">
        <f>+Tabla1[[#This Row],[Costo Venta]]/Tabla1[[#This Row],[Cantidad]]</f>
        <v>5.7255450000000003</v>
      </c>
      <c r="N859" s="3">
        <v>1</v>
      </c>
      <c r="O859" s="8">
        <f>+Tabla1[[#This Row],[Conversión]]*Tabla1[[#This Row],[Cantidad]]</f>
        <v>5.04</v>
      </c>
      <c r="P859" s="43">
        <f>Tabla1[[#This Row],[Neto]]-Tabla1[[#This Row],[Costo Venta]]</f>
        <v>66.353253199999997</v>
      </c>
    </row>
    <row r="860" spans="1:16" x14ac:dyDescent="0.25">
      <c r="A860" s="48">
        <v>45924</v>
      </c>
      <c r="B860" s="1" t="s">
        <v>405</v>
      </c>
      <c r="C860" s="1" t="s">
        <v>65</v>
      </c>
      <c r="D860" s="1" t="s">
        <v>404</v>
      </c>
      <c r="E860" s="1" t="s">
        <v>67</v>
      </c>
      <c r="F860" s="1" t="s">
        <v>44</v>
      </c>
      <c r="G860" s="2">
        <v>18</v>
      </c>
      <c r="H860" s="51" t="s">
        <v>839</v>
      </c>
      <c r="I860" s="44">
        <f>Tabla1[[#This Row],[Descuento]]+Tabla1[[#This Row],[Neto]]</f>
        <v>618.30499999999995</v>
      </c>
      <c r="J860" s="9">
        <v>216.405</v>
      </c>
      <c r="K860" s="9">
        <v>401.9</v>
      </c>
      <c r="L860" s="9">
        <v>102.933144</v>
      </c>
      <c r="M860" s="24">
        <f>+Tabla1[[#This Row],[Costo Venta]]/Tabla1[[#This Row],[Cantidad]]</f>
        <v>5.7185079999999999</v>
      </c>
      <c r="N860" s="3">
        <v>1</v>
      </c>
      <c r="O860" s="8">
        <f>+Tabla1[[#This Row],[Conversión]]*Tabla1[[#This Row],[Cantidad]]</f>
        <v>18</v>
      </c>
      <c r="P860" s="43">
        <f>Tabla1[[#This Row],[Neto]]-Tabla1[[#This Row],[Costo Venta]]</f>
        <v>298.96685600000001</v>
      </c>
    </row>
    <row r="861" spans="1:16" x14ac:dyDescent="0.25">
      <c r="A861" s="48">
        <v>45924</v>
      </c>
      <c r="B861" s="1" t="s">
        <v>405</v>
      </c>
      <c r="C861" s="1" t="s">
        <v>65</v>
      </c>
      <c r="D861" s="1" t="s">
        <v>898</v>
      </c>
      <c r="E861" s="1" t="s">
        <v>67</v>
      </c>
      <c r="F861" s="1" t="s">
        <v>9</v>
      </c>
      <c r="G861" s="2">
        <v>37.200000000000003</v>
      </c>
      <c r="H861" s="51" t="s">
        <v>839</v>
      </c>
      <c r="I861" s="44">
        <f>Tabla1[[#This Row],[Descuento]]+Tabla1[[#This Row],[Neto]]</f>
        <v>1277.819</v>
      </c>
      <c r="J861" s="9">
        <v>575.01900000000001</v>
      </c>
      <c r="K861" s="9">
        <v>702.8</v>
      </c>
      <c r="L861" s="9">
        <v>212.7284976</v>
      </c>
      <c r="M861" s="24">
        <f>+Tabla1[[#This Row],[Costo Venta]]/Tabla1[[#This Row],[Cantidad]]</f>
        <v>5.7185079999999999</v>
      </c>
      <c r="N861" s="3">
        <v>1</v>
      </c>
      <c r="O861" s="8">
        <f>+Tabla1[[#This Row],[Conversión]]*Tabla1[[#This Row],[Cantidad]]</f>
        <v>37.200000000000003</v>
      </c>
      <c r="P861" s="43">
        <f>Tabla1[[#This Row],[Neto]]-Tabla1[[#This Row],[Costo Venta]]</f>
        <v>490.07150239999999</v>
      </c>
    </row>
    <row r="862" spans="1:16" x14ac:dyDescent="0.25">
      <c r="A862" s="48">
        <v>45926</v>
      </c>
      <c r="B862" s="1" t="s">
        <v>405</v>
      </c>
      <c r="C862" s="1" t="s">
        <v>65</v>
      </c>
      <c r="D862" s="1" t="s">
        <v>899</v>
      </c>
      <c r="E862" s="1" t="s">
        <v>67</v>
      </c>
      <c r="F862" s="1" t="s">
        <v>20</v>
      </c>
      <c r="G862" s="2">
        <v>8.4</v>
      </c>
      <c r="H862" s="51" t="s">
        <v>839</v>
      </c>
      <c r="I862" s="44">
        <f>Tabla1[[#This Row],[Descuento]]+Tabla1[[#This Row],[Neto]]</f>
        <v>288.54199999999997</v>
      </c>
      <c r="J862" s="9">
        <v>86.561999999999998</v>
      </c>
      <c r="K862" s="9">
        <v>201.98</v>
      </c>
      <c r="L862" s="9">
        <v>47.980102799999997</v>
      </c>
      <c r="M862" s="24">
        <f>+Tabla1[[#This Row],[Costo Venta]]/Tabla1[[#This Row],[Cantidad]]</f>
        <v>5.7119169999999997</v>
      </c>
      <c r="N862" s="3">
        <v>1</v>
      </c>
      <c r="O862" s="8">
        <f>+Tabla1[[#This Row],[Conversión]]*Tabla1[[#This Row],[Cantidad]]</f>
        <v>8.4</v>
      </c>
      <c r="P862" s="43">
        <f>Tabla1[[#This Row],[Neto]]-Tabla1[[#This Row],[Costo Venta]]</f>
        <v>153.99989719999999</v>
      </c>
    </row>
    <row r="863" spans="1:16" x14ac:dyDescent="0.25">
      <c r="A863" s="48">
        <v>45930</v>
      </c>
      <c r="B863" s="1" t="s">
        <v>405</v>
      </c>
      <c r="C863" s="1" t="s">
        <v>65</v>
      </c>
      <c r="D863" s="1" t="s">
        <v>900</v>
      </c>
      <c r="E863" s="1" t="s">
        <v>67</v>
      </c>
      <c r="F863" s="1" t="s">
        <v>44</v>
      </c>
      <c r="G863" s="2">
        <v>16.5</v>
      </c>
      <c r="H863" s="51" t="s">
        <v>839</v>
      </c>
      <c r="I863" s="44">
        <f>Tabla1[[#This Row],[Descuento]]+Tabla1[[#This Row],[Neto]]</f>
        <v>566.77125000000001</v>
      </c>
      <c r="J863" s="9">
        <v>198.37125</v>
      </c>
      <c r="K863" s="9">
        <v>368.4</v>
      </c>
      <c r="L863" s="9">
        <v>94.246630499999995</v>
      </c>
      <c r="M863" s="24">
        <f>+Tabla1[[#This Row],[Costo Venta]]/Tabla1[[#This Row],[Cantidad]]</f>
        <v>5.7119169999999997</v>
      </c>
      <c r="N863" s="3">
        <v>1</v>
      </c>
      <c r="O863" s="8">
        <f>+Tabla1[[#This Row],[Conversión]]*Tabla1[[#This Row],[Cantidad]]</f>
        <v>16.5</v>
      </c>
      <c r="P863" s="43">
        <f>Tabla1[[#This Row],[Neto]]-Tabla1[[#This Row],[Costo Venta]]</f>
        <v>274.1533695</v>
      </c>
    </row>
    <row r="864" spans="1:16" x14ac:dyDescent="0.25">
      <c r="A864" s="48">
        <v>44936</v>
      </c>
      <c r="B864" s="1" t="s">
        <v>735</v>
      </c>
      <c r="C864" s="1" t="s">
        <v>109</v>
      </c>
      <c r="D864" s="1" t="s">
        <v>632</v>
      </c>
      <c r="E864" s="1" t="s">
        <v>71</v>
      </c>
      <c r="F864" s="1" t="s">
        <v>633</v>
      </c>
      <c r="G864" s="2">
        <v>1.08</v>
      </c>
      <c r="H864" s="51" t="s">
        <v>901</v>
      </c>
      <c r="I864" s="44">
        <f>Tabla1[[#This Row],[Descuento]]+Tabla1[[#This Row],[Neto]]</f>
        <v>52.92</v>
      </c>
      <c r="J864" s="9">
        <v>0</v>
      </c>
      <c r="K864" s="9">
        <v>52.92</v>
      </c>
      <c r="L864" s="9">
        <v>7.4968826399999999</v>
      </c>
      <c r="M864" s="24">
        <f>+Tabla1[[#This Row],[Costo Venta]]/Tabla1[[#This Row],[Cantidad]]</f>
        <v>6.9415579999999997</v>
      </c>
      <c r="N864" s="3">
        <v>1</v>
      </c>
      <c r="O864" s="8">
        <f>+Tabla1[[#This Row],[Conversión]]*Tabla1[[#This Row],[Cantidad]]</f>
        <v>1.08</v>
      </c>
      <c r="P864" s="43">
        <f>Tabla1[[#This Row],[Neto]]-Tabla1[[#This Row],[Costo Venta]]</f>
        <v>45.423117359999999</v>
      </c>
    </row>
    <row r="865" spans="1:16" x14ac:dyDescent="0.25">
      <c r="A865" s="48">
        <v>45065</v>
      </c>
      <c r="B865" s="1" t="s">
        <v>735</v>
      </c>
      <c r="C865" s="1" t="s">
        <v>81</v>
      </c>
      <c r="D865" s="1" t="s">
        <v>82</v>
      </c>
      <c r="E865" s="1" t="s">
        <v>71</v>
      </c>
      <c r="F865" s="1" t="s">
        <v>83</v>
      </c>
      <c r="G865" s="2">
        <v>25</v>
      </c>
      <c r="H865" s="51" t="s">
        <v>901</v>
      </c>
      <c r="I865" s="44">
        <f>Tabla1[[#This Row],[Descuento]]+Tabla1[[#This Row],[Neto]]</f>
        <v>1225</v>
      </c>
      <c r="J865" s="9">
        <v>183.75</v>
      </c>
      <c r="K865" s="9">
        <v>1041.25</v>
      </c>
      <c r="L865" s="9">
        <v>167.10695000000001</v>
      </c>
      <c r="M865" s="24">
        <f>+Tabla1[[#This Row],[Costo Venta]]/Tabla1[[#This Row],[Cantidad]]</f>
        <v>6.6842780000000008</v>
      </c>
      <c r="N865" s="3">
        <v>1</v>
      </c>
      <c r="O865" s="8">
        <f>+Tabla1[[#This Row],[Conversión]]*Tabla1[[#This Row],[Cantidad]]</f>
        <v>25</v>
      </c>
      <c r="P865" s="43">
        <f>Tabla1[[#This Row],[Neto]]-Tabla1[[#This Row],[Costo Venta]]</f>
        <v>874.14305000000002</v>
      </c>
    </row>
    <row r="866" spans="1:16" x14ac:dyDescent="0.25">
      <c r="A866" s="48">
        <v>45142</v>
      </c>
      <c r="B866" s="1" t="s">
        <v>735</v>
      </c>
      <c r="C866" s="1" t="s">
        <v>81</v>
      </c>
      <c r="D866" s="1" t="s">
        <v>223</v>
      </c>
      <c r="E866" s="1" t="s">
        <v>71</v>
      </c>
      <c r="F866" s="1" t="s">
        <v>83</v>
      </c>
      <c r="G866" s="2">
        <v>18</v>
      </c>
      <c r="H866" s="51" t="s">
        <v>901</v>
      </c>
      <c r="I866" s="44">
        <f>Tabla1[[#This Row],[Descuento]]+Tabla1[[#This Row],[Neto]]</f>
        <v>882</v>
      </c>
      <c r="J866" s="9">
        <v>132.30000000000001</v>
      </c>
      <c r="K866" s="9">
        <v>749.7</v>
      </c>
      <c r="L866" s="9">
        <v>118.05748199999999</v>
      </c>
      <c r="M866" s="24">
        <f>+Tabla1[[#This Row],[Costo Venta]]/Tabla1[[#This Row],[Cantidad]]</f>
        <v>6.5587489999999997</v>
      </c>
      <c r="N866" s="3">
        <v>1</v>
      </c>
      <c r="O866" s="8">
        <f>+Tabla1[[#This Row],[Conversión]]*Tabla1[[#This Row],[Cantidad]]</f>
        <v>18</v>
      </c>
      <c r="P866" s="43">
        <f>Tabla1[[#This Row],[Neto]]-Tabla1[[#This Row],[Costo Venta]]</f>
        <v>631.64251800000011</v>
      </c>
    </row>
    <row r="867" spans="1:16" x14ac:dyDescent="0.25">
      <c r="A867" s="48">
        <v>45201</v>
      </c>
      <c r="B867" s="1" t="s">
        <v>735</v>
      </c>
      <c r="C867" s="1" t="s">
        <v>214</v>
      </c>
      <c r="D867" s="1" t="s">
        <v>244</v>
      </c>
      <c r="E867" s="1" t="s">
        <v>71</v>
      </c>
      <c r="F867" s="1" t="s">
        <v>22</v>
      </c>
      <c r="G867" s="2">
        <v>2.2000000000000002</v>
      </c>
      <c r="H867" s="51" t="s">
        <v>901</v>
      </c>
      <c r="I867" s="44">
        <f>Tabla1[[#This Row],[Descuento]]+Tabla1[[#This Row],[Neto]]</f>
        <v>108.8584</v>
      </c>
      <c r="J867" s="9">
        <v>16.328399999999998</v>
      </c>
      <c r="K867" s="9">
        <v>92.53</v>
      </c>
      <c r="L867" s="9">
        <v>13.4458258</v>
      </c>
      <c r="M867" s="24">
        <f>+Tabla1[[#This Row],[Costo Venta]]/Tabla1[[#This Row],[Cantidad]]</f>
        <v>6.1117389999999991</v>
      </c>
      <c r="N867" s="3">
        <v>1</v>
      </c>
      <c r="O867" s="8">
        <f>+Tabla1[[#This Row],[Conversión]]*Tabla1[[#This Row],[Cantidad]]</f>
        <v>2.2000000000000002</v>
      </c>
      <c r="P867" s="43">
        <f>Tabla1[[#This Row],[Neto]]-Tabla1[[#This Row],[Costo Venta]]</f>
        <v>79.084174200000007</v>
      </c>
    </row>
    <row r="868" spans="1:16" x14ac:dyDescent="0.25">
      <c r="A868" s="48">
        <v>45229</v>
      </c>
      <c r="B868" s="1" t="s">
        <v>735</v>
      </c>
      <c r="C868" s="1" t="s">
        <v>214</v>
      </c>
      <c r="D868" s="1" t="s">
        <v>258</v>
      </c>
      <c r="E868" s="1" t="s">
        <v>71</v>
      </c>
      <c r="F868" s="1" t="s">
        <v>259</v>
      </c>
      <c r="G868" s="2">
        <v>18</v>
      </c>
      <c r="H868" s="51" t="s">
        <v>902</v>
      </c>
      <c r="I868" s="44">
        <f>Tabla1[[#This Row],[Descuento]]+Tabla1[[#This Row],[Neto]]</f>
        <v>890.64</v>
      </c>
      <c r="J868" s="9">
        <v>0</v>
      </c>
      <c r="K868" s="9">
        <v>890.64</v>
      </c>
      <c r="L868" s="9">
        <v>105.032106</v>
      </c>
      <c r="M868" s="24">
        <f>+Tabla1[[#This Row],[Costo Venta]]/Tabla1[[#This Row],[Cantidad]]</f>
        <v>5.8351170000000003</v>
      </c>
      <c r="N868" s="3">
        <v>1</v>
      </c>
      <c r="O868" s="8">
        <f>+Tabla1[[#This Row],[Conversión]]*Tabla1[[#This Row],[Cantidad]]</f>
        <v>18</v>
      </c>
      <c r="P868" s="43">
        <f>Tabla1[[#This Row],[Neto]]-Tabla1[[#This Row],[Costo Venta]]</f>
        <v>785.60789399999999</v>
      </c>
    </row>
    <row r="869" spans="1:16" x14ac:dyDescent="0.25">
      <c r="A869" s="48">
        <v>45229</v>
      </c>
      <c r="B869" s="1" t="s">
        <v>735</v>
      </c>
      <c r="C869" s="1" t="s">
        <v>214</v>
      </c>
      <c r="D869" s="1" t="s">
        <v>258</v>
      </c>
      <c r="E869" s="1" t="s">
        <v>71</v>
      </c>
      <c r="F869" s="1" t="s">
        <v>259</v>
      </c>
      <c r="G869" s="2">
        <v>2</v>
      </c>
      <c r="H869" s="51" t="s">
        <v>902</v>
      </c>
      <c r="I869" s="44">
        <f>Tabla1[[#This Row],[Descuento]]+Tabla1[[#This Row],[Neto]]</f>
        <v>98.96</v>
      </c>
      <c r="J869" s="9">
        <v>98.96</v>
      </c>
      <c r="K869" s="9">
        <v>0</v>
      </c>
      <c r="L869" s="9">
        <v>11.670234000000001</v>
      </c>
      <c r="M869" s="24">
        <f>+Tabla1[[#This Row],[Costo Venta]]/Tabla1[[#This Row],[Cantidad]]</f>
        <v>5.8351170000000003</v>
      </c>
      <c r="N869" s="3">
        <v>1</v>
      </c>
      <c r="O869" s="8">
        <f>+Tabla1[[#This Row],[Conversión]]*Tabla1[[#This Row],[Cantidad]]</f>
        <v>2</v>
      </c>
      <c r="P869" s="43">
        <f>Tabla1[[#This Row],[Neto]]-Tabla1[[#This Row],[Costo Venta]]</f>
        <v>-11.670234000000001</v>
      </c>
    </row>
    <row r="870" spans="1:16" x14ac:dyDescent="0.25">
      <c r="A870" s="48">
        <v>45443</v>
      </c>
      <c r="B870" s="1" t="s">
        <v>735</v>
      </c>
      <c r="C870" s="1" t="s">
        <v>65</v>
      </c>
      <c r="D870" s="1" t="s">
        <v>624</v>
      </c>
      <c r="E870" s="1" t="s">
        <v>67</v>
      </c>
      <c r="F870" s="1" t="s">
        <v>173</v>
      </c>
      <c r="G870" s="2">
        <v>2</v>
      </c>
      <c r="H870" s="51" t="s">
        <v>902</v>
      </c>
      <c r="I870" s="44">
        <f>Tabla1[[#This Row],[Descuento]]+Tabla1[[#This Row],[Neto]]</f>
        <v>98.957999999999998</v>
      </c>
      <c r="J870" s="9">
        <v>29.687999999999999</v>
      </c>
      <c r="K870" s="9">
        <v>69.27</v>
      </c>
      <c r="L870" s="9">
        <v>8.2563180000000003</v>
      </c>
      <c r="M870" s="24">
        <f>+Tabla1[[#This Row],[Costo Venta]]/Tabla1[[#This Row],[Cantidad]]</f>
        <v>4.1281590000000001</v>
      </c>
      <c r="N870" s="3">
        <v>1</v>
      </c>
      <c r="O870" s="8">
        <f>+Tabla1[[#This Row],[Conversión]]*Tabla1[[#This Row],[Cantidad]]</f>
        <v>2</v>
      </c>
      <c r="P870" s="43">
        <f>Tabla1[[#This Row],[Neto]]-Tabla1[[#This Row],[Costo Venta]]</f>
        <v>61.013681999999996</v>
      </c>
    </row>
    <row r="871" spans="1:16" x14ac:dyDescent="0.25">
      <c r="A871" s="48">
        <v>45873</v>
      </c>
      <c r="B871" s="1" t="s">
        <v>735</v>
      </c>
      <c r="C871" s="1" t="s">
        <v>65</v>
      </c>
      <c r="D871" s="1" t="s">
        <v>647</v>
      </c>
      <c r="E871" s="1" t="s">
        <v>67</v>
      </c>
      <c r="F871" s="1" t="s">
        <v>44</v>
      </c>
      <c r="G871" s="2">
        <v>4.1399999999999997</v>
      </c>
      <c r="H871" s="51" t="s">
        <v>902</v>
      </c>
      <c r="I871" s="44">
        <f>Tabla1[[#This Row],[Descuento]]+Tabla1[[#This Row],[Neto]]</f>
        <v>204.84652</v>
      </c>
      <c r="J871" s="9">
        <v>71.696520000000007</v>
      </c>
      <c r="K871" s="9">
        <v>133.15</v>
      </c>
      <c r="L871" s="9">
        <v>16.766097479999999</v>
      </c>
      <c r="M871" s="24">
        <f>+Tabla1[[#This Row],[Costo Venta]]/Tabla1[[#This Row],[Cantidad]]</f>
        <v>4.0497820000000004</v>
      </c>
      <c r="N871" s="3">
        <v>1</v>
      </c>
      <c r="O871" s="8">
        <f>+Tabla1[[#This Row],[Conversión]]*Tabla1[[#This Row],[Cantidad]]</f>
        <v>4.1399999999999997</v>
      </c>
      <c r="P871" s="43">
        <f>Tabla1[[#This Row],[Neto]]-Tabla1[[#This Row],[Costo Venta]]</f>
        <v>116.38390252000001</v>
      </c>
    </row>
    <row r="872" spans="1:16" x14ac:dyDescent="0.25">
      <c r="A872" s="48">
        <v>45106</v>
      </c>
      <c r="B872" s="1" t="s">
        <v>735</v>
      </c>
      <c r="C872" s="1" t="s">
        <v>109</v>
      </c>
      <c r="D872" s="1" t="s">
        <v>903</v>
      </c>
      <c r="E872" s="1" t="s">
        <v>67</v>
      </c>
      <c r="F872" s="1" t="s">
        <v>15</v>
      </c>
      <c r="G872" s="2">
        <v>2.4</v>
      </c>
      <c r="H872" s="51" t="s">
        <v>902</v>
      </c>
      <c r="I872" s="44">
        <f>Tabla1[[#This Row],[Descuento]]+Tabla1[[#This Row],[Neto]]</f>
        <v>100.8</v>
      </c>
      <c r="J872" s="9">
        <v>35.28</v>
      </c>
      <c r="K872" s="9">
        <v>65.52</v>
      </c>
      <c r="L872" s="9">
        <v>16.519999200000001</v>
      </c>
      <c r="M872" s="24">
        <f>+Tabla1[[#This Row],[Costo Venta]]/Tabla1[[#This Row],[Cantidad]]</f>
        <v>6.8833330000000004</v>
      </c>
      <c r="N872" s="3">
        <v>1</v>
      </c>
      <c r="O872" s="8">
        <f>+Tabla1[[#This Row],[Conversión]]*Tabla1[[#This Row],[Cantidad]]</f>
        <v>2.4</v>
      </c>
      <c r="P872" s="43">
        <f>Tabla1[[#This Row],[Neto]]-Tabla1[[#This Row],[Costo Venta]]</f>
        <v>49.000000799999995</v>
      </c>
    </row>
    <row r="873" spans="1:16" x14ac:dyDescent="0.25">
      <c r="A873" s="48">
        <v>45027</v>
      </c>
      <c r="B873" s="1" t="s">
        <v>735</v>
      </c>
      <c r="C873" s="1" t="s">
        <v>81</v>
      </c>
      <c r="D873" s="1" t="s">
        <v>160</v>
      </c>
      <c r="E873" s="1" t="s">
        <v>71</v>
      </c>
      <c r="F873" s="1" t="s">
        <v>161</v>
      </c>
      <c r="G873" s="2">
        <v>5</v>
      </c>
      <c r="H873" s="51" t="s">
        <v>902</v>
      </c>
      <c r="I873" s="44">
        <f>Tabla1[[#This Row],[Descuento]]+Tabla1[[#This Row],[Neto]]</f>
        <v>245</v>
      </c>
      <c r="J873" s="9">
        <v>0</v>
      </c>
      <c r="K873" s="9">
        <v>245</v>
      </c>
      <c r="L873" s="9">
        <v>32.066785000000003</v>
      </c>
      <c r="M873" s="24">
        <f>+Tabla1[[#This Row],[Costo Venta]]/Tabla1[[#This Row],[Cantidad]]</f>
        <v>6.4133570000000004</v>
      </c>
      <c r="N873" s="3">
        <v>1</v>
      </c>
      <c r="O873" s="8">
        <f>+Tabla1[[#This Row],[Conversión]]*Tabla1[[#This Row],[Cantidad]]</f>
        <v>5</v>
      </c>
      <c r="P873" s="43">
        <f>Tabla1[[#This Row],[Neto]]-Tabla1[[#This Row],[Costo Venta]]</f>
        <v>212.93321499999999</v>
      </c>
    </row>
    <row r="874" spans="1:16" x14ac:dyDescent="0.25">
      <c r="A874" s="48">
        <v>45028</v>
      </c>
      <c r="B874" s="1" t="s">
        <v>735</v>
      </c>
      <c r="C874" s="1" t="s">
        <v>81</v>
      </c>
      <c r="D874" s="1" t="s">
        <v>162</v>
      </c>
      <c r="E874" s="1" t="s">
        <v>71</v>
      </c>
      <c r="F874" s="1" t="s">
        <v>163</v>
      </c>
      <c r="G874" s="2">
        <v>5.4</v>
      </c>
      <c r="H874" s="51" t="s">
        <v>904</v>
      </c>
      <c r="I874" s="44">
        <f>Tabla1[[#This Row],[Descuento]]+Tabla1[[#This Row],[Neto]]</f>
        <v>226.8</v>
      </c>
      <c r="J874" s="9">
        <v>0</v>
      </c>
      <c r="K874" s="9">
        <v>226.8</v>
      </c>
      <c r="L874" s="9">
        <v>21.718368000000002</v>
      </c>
      <c r="M874" s="24">
        <f>+Tabla1[[#This Row],[Costo Venta]]/Tabla1[[#This Row],[Cantidad]]</f>
        <v>4.0219199999999997</v>
      </c>
      <c r="N874" s="3">
        <v>1</v>
      </c>
      <c r="O874" s="8">
        <f>+Tabla1[[#This Row],[Conversión]]*Tabla1[[#This Row],[Cantidad]]</f>
        <v>5.4</v>
      </c>
      <c r="P874" s="43">
        <f>Tabla1[[#This Row],[Neto]]-Tabla1[[#This Row],[Costo Venta]]</f>
        <v>205.08163200000001</v>
      </c>
    </row>
    <row r="875" spans="1:16" x14ac:dyDescent="0.25">
      <c r="A875" s="48">
        <v>45291</v>
      </c>
      <c r="B875" s="1" t="s">
        <v>735</v>
      </c>
      <c r="C875" s="1" t="s">
        <v>214</v>
      </c>
      <c r="D875" s="1" t="s">
        <v>537</v>
      </c>
      <c r="E875" s="1" t="s">
        <v>71</v>
      </c>
      <c r="F875" s="1" t="s">
        <v>23</v>
      </c>
      <c r="G875" s="2">
        <v>50</v>
      </c>
      <c r="H875" s="51" t="s">
        <v>904</v>
      </c>
      <c r="I875" s="44">
        <f>Tabla1[[#This Row],[Descuento]]+Tabla1[[#This Row],[Neto]]</f>
        <v>2122</v>
      </c>
      <c r="J875" s="9">
        <v>530.5</v>
      </c>
      <c r="K875" s="9">
        <v>1591.5</v>
      </c>
      <c r="L875" s="9">
        <v>197.89709999999999</v>
      </c>
      <c r="M875" s="24">
        <f>+Tabla1[[#This Row],[Costo Venta]]/Tabla1[[#This Row],[Cantidad]]</f>
        <v>3.9579420000000001</v>
      </c>
      <c r="N875" s="3">
        <v>1</v>
      </c>
      <c r="O875" s="8">
        <f>+Tabla1[[#This Row],[Conversión]]*Tabla1[[#This Row],[Cantidad]]</f>
        <v>50</v>
      </c>
      <c r="P875" s="43">
        <f>Tabla1[[#This Row],[Neto]]-Tabla1[[#This Row],[Costo Venta]]</f>
        <v>1393.6029000000001</v>
      </c>
    </row>
    <row r="876" spans="1:16" x14ac:dyDescent="0.25">
      <c r="A876" s="48">
        <v>45291</v>
      </c>
      <c r="B876" s="1" t="s">
        <v>735</v>
      </c>
      <c r="C876" s="1" t="s">
        <v>214</v>
      </c>
      <c r="D876" s="1" t="s">
        <v>620</v>
      </c>
      <c r="E876" s="1" t="s">
        <v>71</v>
      </c>
      <c r="F876" s="1" t="s">
        <v>23</v>
      </c>
      <c r="G876" s="2">
        <v>8.5</v>
      </c>
      <c r="H876" s="51" t="s">
        <v>904</v>
      </c>
      <c r="I876" s="44">
        <f>Tabla1[[#This Row],[Descuento]]+Tabla1[[#This Row],[Neto]]</f>
        <v>360.745</v>
      </c>
      <c r="J876" s="9">
        <v>90.185000000000002</v>
      </c>
      <c r="K876" s="9">
        <v>270.56</v>
      </c>
      <c r="L876" s="9">
        <v>33.642507000000002</v>
      </c>
      <c r="M876" s="24">
        <f>+Tabla1[[#This Row],[Costo Venta]]/Tabla1[[#This Row],[Cantidad]]</f>
        <v>3.9579420000000001</v>
      </c>
      <c r="N876" s="3">
        <v>1</v>
      </c>
      <c r="O876" s="8">
        <f>+Tabla1[[#This Row],[Conversión]]*Tabla1[[#This Row],[Cantidad]]</f>
        <v>8.5</v>
      </c>
      <c r="P876" s="43">
        <f>Tabla1[[#This Row],[Neto]]-Tabla1[[#This Row],[Costo Venta]]</f>
        <v>236.91749300000001</v>
      </c>
    </row>
    <row r="877" spans="1:16" x14ac:dyDescent="0.25">
      <c r="A877" s="48">
        <v>45422</v>
      </c>
      <c r="B877" s="1" t="s">
        <v>735</v>
      </c>
      <c r="C877" s="1" t="s">
        <v>65</v>
      </c>
      <c r="D877" s="1" t="s">
        <v>704</v>
      </c>
      <c r="E877" s="1" t="s">
        <v>71</v>
      </c>
      <c r="F877" s="1" t="s">
        <v>705</v>
      </c>
      <c r="G877" s="2">
        <v>10</v>
      </c>
      <c r="H877" s="51" t="s">
        <v>904</v>
      </c>
      <c r="I877" s="44">
        <f>Tabla1[[#This Row],[Descuento]]+Tabla1[[#This Row],[Neto]]</f>
        <v>424.4</v>
      </c>
      <c r="J877" s="9">
        <v>127.32</v>
      </c>
      <c r="K877" s="9">
        <v>297.08</v>
      </c>
      <c r="L877" s="9">
        <v>62.731430000000003</v>
      </c>
      <c r="M877" s="24">
        <f>+Tabla1[[#This Row],[Costo Venta]]/Tabla1[[#This Row],[Cantidad]]</f>
        <v>6.2731430000000001</v>
      </c>
      <c r="N877" s="3">
        <v>1</v>
      </c>
      <c r="O877" s="8">
        <f>+Tabla1[[#This Row],[Conversión]]*Tabla1[[#This Row],[Cantidad]]</f>
        <v>10</v>
      </c>
      <c r="P877" s="43">
        <f>Tabla1[[#This Row],[Neto]]-Tabla1[[#This Row],[Costo Venta]]</f>
        <v>234.34857</v>
      </c>
    </row>
    <row r="878" spans="1:16" x14ac:dyDescent="0.25">
      <c r="A878" s="48">
        <v>45628</v>
      </c>
      <c r="B878" s="1" t="s">
        <v>735</v>
      </c>
      <c r="C878" s="1" t="s">
        <v>65</v>
      </c>
      <c r="D878" s="1" t="s">
        <v>656</v>
      </c>
      <c r="E878" s="1" t="s">
        <v>67</v>
      </c>
      <c r="F878" s="1" t="s">
        <v>9</v>
      </c>
      <c r="G878" s="2">
        <v>2</v>
      </c>
      <c r="H878" s="51" t="s">
        <v>904</v>
      </c>
      <c r="I878" s="44">
        <f>Tabla1[[#This Row],[Descuento]]+Tabla1[[#This Row],[Neto]]</f>
        <v>77.762</v>
      </c>
      <c r="J878" s="9">
        <v>34.991999999999997</v>
      </c>
      <c r="K878" s="9">
        <v>42.77</v>
      </c>
      <c r="L878" s="9">
        <v>8.1382879999999993</v>
      </c>
      <c r="M878" s="24">
        <f>+Tabla1[[#This Row],[Costo Venta]]/Tabla1[[#This Row],[Cantidad]]</f>
        <v>4.0691439999999997</v>
      </c>
      <c r="N878" s="3">
        <v>1</v>
      </c>
      <c r="O878" s="8">
        <f>+Tabla1[[#This Row],[Conversión]]*Tabla1[[#This Row],[Cantidad]]</f>
        <v>2</v>
      </c>
      <c r="P878" s="43">
        <f>Tabla1[[#This Row],[Neto]]-Tabla1[[#This Row],[Costo Venta]]</f>
        <v>34.631712000000007</v>
      </c>
    </row>
    <row r="879" spans="1:16" x14ac:dyDescent="0.25">
      <c r="A879" s="48">
        <v>45635</v>
      </c>
      <c r="B879" s="1" t="s">
        <v>735</v>
      </c>
      <c r="C879" s="1" t="s">
        <v>65</v>
      </c>
      <c r="D879" s="1" t="s">
        <v>657</v>
      </c>
      <c r="E879" s="1" t="s">
        <v>67</v>
      </c>
      <c r="F879" s="1" t="s">
        <v>9</v>
      </c>
      <c r="G879" s="2">
        <v>6</v>
      </c>
      <c r="H879" s="51" t="s">
        <v>904</v>
      </c>
      <c r="I879" s="44">
        <f>Tabla1[[#This Row],[Descuento]]+Tabla1[[#This Row],[Neto]]</f>
        <v>233.27600000000001</v>
      </c>
      <c r="J879" s="9">
        <v>104.976</v>
      </c>
      <c r="K879" s="9">
        <v>128.30000000000001</v>
      </c>
      <c r="L879" s="9">
        <v>21.914634</v>
      </c>
      <c r="M879" s="24">
        <f>+Tabla1[[#This Row],[Costo Venta]]/Tabla1[[#This Row],[Cantidad]]</f>
        <v>3.6524389999999998</v>
      </c>
      <c r="N879" s="3">
        <v>1</v>
      </c>
      <c r="O879" s="8">
        <f>+Tabla1[[#This Row],[Conversión]]*Tabla1[[#This Row],[Cantidad]]</f>
        <v>6</v>
      </c>
      <c r="P879" s="43">
        <f>Tabla1[[#This Row],[Neto]]-Tabla1[[#This Row],[Costo Venta]]</f>
        <v>106.385366</v>
      </c>
    </row>
    <row r="880" spans="1:16" x14ac:dyDescent="0.25">
      <c r="A880" s="48">
        <v>45724</v>
      </c>
      <c r="B880" s="1" t="s">
        <v>735</v>
      </c>
      <c r="C880" s="1" t="s">
        <v>65</v>
      </c>
      <c r="D880" s="1" t="s">
        <v>658</v>
      </c>
      <c r="E880" s="1" t="s">
        <v>71</v>
      </c>
      <c r="F880" s="1" t="s">
        <v>376</v>
      </c>
      <c r="G880" s="2">
        <v>238.4</v>
      </c>
      <c r="H880" s="51" t="s">
        <v>905</v>
      </c>
      <c r="I880" s="44">
        <f>Tabla1[[#This Row],[Descuento]]+Tabla1[[#This Row],[Neto]]</f>
        <v>9268.9879999999994</v>
      </c>
      <c r="J880" s="9">
        <v>2317.248</v>
      </c>
      <c r="K880" s="9">
        <v>6951.74</v>
      </c>
      <c r="L880" s="9">
        <v>888.46602080000002</v>
      </c>
      <c r="M880" s="24">
        <f>+Tabla1[[#This Row],[Costo Venta]]/Tabla1[[#This Row],[Cantidad]]</f>
        <v>3.7267869999999998</v>
      </c>
      <c r="N880" s="3">
        <v>1</v>
      </c>
      <c r="O880" s="8">
        <f>+Tabla1[[#This Row],[Conversión]]*Tabla1[[#This Row],[Cantidad]]</f>
        <v>238.4</v>
      </c>
      <c r="P880" s="43">
        <f>Tabla1[[#This Row],[Neto]]-Tabla1[[#This Row],[Costo Venta]]</f>
        <v>6063.2739791999993</v>
      </c>
    </row>
    <row r="881" spans="1:16" x14ac:dyDescent="0.25">
      <c r="A881" s="48">
        <v>45768</v>
      </c>
      <c r="B881" s="1" t="s">
        <v>735</v>
      </c>
      <c r="C881" s="1" t="s">
        <v>65</v>
      </c>
      <c r="D881" s="1" t="s">
        <v>660</v>
      </c>
      <c r="E881" s="1" t="s">
        <v>67</v>
      </c>
      <c r="F881" s="1" t="s">
        <v>9</v>
      </c>
      <c r="G881" s="2">
        <v>24</v>
      </c>
      <c r="H881" s="51" t="s">
        <v>905</v>
      </c>
      <c r="I881" s="44">
        <f>Tabla1[[#This Row],[Descuento]]+Tabla1[[#This Row],[Neto]]</f>
        <v>933.12400000000002</v>
      </c>
      <c r="J881" s="9">
        <v>419.904</v>
      </c>
      <c r="K881" s="9">
        <v>513.22</v>
      </c>
      <c r="L881" s="9">
        <v>114.230424</v>
      </c>
      <c r="M881" s="24">
        <f>+Tabla1[[#This Row],[Costo Venta]]/Tabla1[[#This Row],[Cantidad]]</f>
        <v>4.759601</v>
      </c>
      <c r="N881" s="3">
        <v>1</v>
      </c>
      <c r="O881" s="8">
        <f>+Tabla1[[#This Row],[Conversión]]*Tabla1[[#This Row],[Cantidad]]</f>
        <v>24</v>
      </c>
      <c r="P881" s="43">
        <f>Tabla1[[#This Row],[Neto]]-Tabla1[[#This Row],[Costo Venta]]</f>
        <v>398.98957600000006</v>
      </c>
    </row>
    <row r="882" spans="1:16" x14ac:dyDescent="0.25">
      <c r="A882" s="48">
        <v>45805</v>
      </c>
      <c r="B882" s="1" t="s">
        <v>735</v>
      </c>
      <c r="C882" s="1" t="s">
        <v>65</v>
      </c>
      <c r="D882" s="1" t="s">
        <v>906</v>
      </c>
      <c r="E882" s="1" t="s">
        <v>67</v>
      </c>
      <c r="F882" s="1" t="s">
        <v>9</v>
      </c>
      <c r="G882" s="2">
        <v>35.799999999999997</v>
      </c>
      <c r="H882" s="51" t="s">
        <v>905</v>
      </c>
      <c r="I882" s="44">
        <f>Tabla1[[#This Row],[Descuento]]+Tabla1[[#This Row],[Neto]]</f>
        <v>1391.8968</v>
      </c>
      <c r="J882" s="9">
        <v>626.35680000000002</v>
      </c>
      <c r="K882" s="9">
        <v>765.54</v>
      </c>
      <c r="L882" s="9">
        <v>171.97740039999999</v>
      </c>
      <c r="M882" s="24">
        <f>+Tabla1[[#This Row],[Costo Venta]]/Tabla1[[#This Row],[Cantidad]]</f>
        <v>4.8038379999999998</v>
      </c>
      <c r="N882" s="3">
        <v>1</v>
      </c>
      <c r="O882" s="8">
        <f>+Tabla1[[#This Row],[Conversión]]*Tabla1[[#This Row],[Cantidad]]</f>
        <v>35.799999999999997</v>
      </c>
      <c r="P882" s="43">
        <f>Tabla1[[#This Row],[Neto]]-Tabla1[[#This Row],[Costo Venta]]</f>
        <v>593.5625996</v>
      </c>
    </row>
    <row r="883" spans="1:16" x14ac:dyDescent="0.25">
      <c r="A883" s="48">
        <v>44942</v>
      </c>
      <c r="B883" s="1" t="s">
        <v>735</v>
      </c>
      <c r="C883" s="1" t="s">
        <v>115</v>
      </c>
      <c r="D883" s="1" t="s">
        <v>118</v>
      </c>
      <c r="E883" s="1" t="s">
        <v>71</v>
      </c>
      <c r="F883" s="1" t="s">
        <v>119</v>
      </c>
      <c r="G883" s="2">
        <v>6</v>
      </c>
      <c r="H883" s="51" t="s">
        <v>905</v>
      </c>
      <c r="I883" s="44">
        <f>Tabla1[[#This Row],[Descuento]]+Tabla1[[#This Row],[Neto]]</f>
        <v>252</v>
      </c>
      <c r="J883" s="9">
        <v>12.6</v>
      </c>
      <c r="K883" s="9">
        <v>239.4</v>
      </c>
      <c r="L883" s="9">
        <v>27.48</v>
      </c>
      <c r="M883" s="24">
        <f>+Tabla1[[#This Row],[Costo Venta]]/Tabla1[[#This Row],[Cantidad]]</f>
        <v>4.58</v>
      </c>
      <c r="N883" s="3">
        <v>1</v>
      </c>
      <c r="O883" s="8">
        <f>+Tabla1[[#This Row],[Conversión]]*Tabla1[[#This Row],[Cantidad]]</f>
        <v>6</v>
      </c>
      <c r="P883" s="43">
        <f>Tabla1[[#This Row],[Neto]]-Tabla1[[#This Row],[Costo Venta]]</f>
        <v>211.92000000000002</v>
      </c>
    </row>
    <row r="884" spans="1:16" x14ac:dyDescent="0.25">
      <c r="A884" s="48">
        <v>45028</v>
      </c>
      <c r="B884" s="1" t="s">
        <v>735</v>
      </c>
      <c r="C884" s="1" t="s">
        <v>81</v>
      </c>
      <c r="D884" s="1" t="s">
        <v>162</v>
      </c>
      <c r="E884" s="1" t="s">
        <v>71</v>
      </c>
      <c r="F884" s="1" t="s">
        <v>163</v>
      </c>
      <c r="G884" s="2">
        <v>3.6</v>
      </c>
      <c r="H884" s="51" t="s">
        <v>905</v>
      </c>
      <c r="I884" s="44">
        <f>Tabla1[[#This Row],[Descuento]]+Tabla1[[#This Row],[Neto]]</f>
        <v>151.19999999999999</v>
      </c>
      <c r="J884" s="9">
        <v>0</v>
      </c>
      <c r="K884" s="9">
        <v>151.19999999999999</v>
      </c>
      <c r="L884" s="9">
        <v>14.8244436</v>
      </c>
      <c r="M884" s="24">
        <f>+Tabla1[[#This Row],[Costo Venta]]/Tabla1[[#This Row],[Cantidad]]</f>
        <v>4.1179009999999998</v>
      </c>
      <c r="N884" s="3">
        <v>1</v>
      </c>
      <c r="O884" s="8">
        <f>+Tabla1[[#This Row],[Conversión]]*Tabla1[[#This Row],[Cantidad]]</f>
        <v>3.6</v>
      </c>
      <c r="P884" s="43">
        <f>Tabla1[[#This Row],[Neto]]-Tabla1[[#This Row],[Costo Venta]]</f>
        <v>136.37555639999999</v>
      </c>
    </row>
    <row r="885" spans="1:16" x14ac:dyDescent="0.25">
      <c r="A885" s="48">
        <v>45033</v>
      </c>
      <c r="B885" s="1" t="s">
        <v>735</v>
      </c>
      <c r="C885" s="1" t="s">
        <v>81</v>
      </c>
      <c r="D885" s="1" t="s">
        <v>166</v>
      </c>
      <c r="E885" s="1" t="s">
        <v>71</v>
      </c>
      <c r="F885" s="1" t="s">
        <v>167</v>
      </c>
      <c r="G885" s="2">
        <v>63</v>
      </c>
      <c r="H885" s="51" t="s">
        <v>905</v>
      </c>
      <c r="I885" s="44">
        <f>Tabla1[[#This Row],[Descuento]]+Tabla1[[#This Row],[Neto]]</f>
        <v>2646</v>
      </c>
      <c r="J885" s="9">
        <v>396.9</v>
      </c>
      <c r="K885" s="9">
        <v>2249.1</v>
      </c>
      <c r="L885" s="9">
        <v>259.42776300000003</v>
      </c>
      <c r="M885" s="24">
        <f>+Tabla1[[#This Row],[Costo Venta]]/Tabla1[[#This Row],[Cantidad]]</f>
        <v>4.1179010000000007</v>
      </c>
      <c r="N885" s="3">
        <v>1</v>
      </c>
      <c r="O885" s="8">
        <f>+Tabla1[[#This Row],[Conversión]]*Tabla1[[#This Row],[Cantidad]]</f>
        <v>63</v>
      </c>
      <c r="P885" s="43">
        <f>Tabla1[[#This Row],[Neto]]-Tabla1[[#This Row],[Costo Venta]]</f>
        <v>1989.6722369999998</v>
      </c>
    </row>
    <row r="886" spans="1:16" x14ac:dyDescent="0.25">
      <c r="A886" s="48">
        <v>45554</v>
      </c>
      <c r="B886" s="1" t="s">
        <v>735</v>
      </c>
      <c r="C886" s="1" t="s">
        <v>65</v>
      </c>
      <c r="D886" s="1" t="s">
        <v>907</v>
      </c>
      <c r="E886" s="1" t="s">
        <v>67</v>
      </c>
      <c r="F886" s="1" t="s">
        <v>9</v>
      </c>
      <c r="G886" s="2">
        <v>1.2</v>
      </c>
      <c r="H886" s="51" t="s">
        <v>905</v>
      </c>
      <c r="I886" s="44">
        <f>Tabla1[[#This Row],[Descuento]]+Tabla1[[#This Row],[Neto]]</f>
        <v>46.655200000000001</v>
      </c>
      <c r="J886" s="9">
        <v>20.995200000000001</v>
      </c>
      <c r="K886" s="9">
        <v>25.66</v>
      </c>
      <c r="L886" s="9">
        <v>4.0038456</v>
      </c>
      <c r="M886" s="24">
        <f>+Tabla1[[#This Row],[Costo Venta]]/Tabla1[[#This Row],[Cantidad]]</f>
        <v>3.336538</v>
      </c>
      <c r="N886" s="3">
        <v>1</v>
      </c>
      <c r="O886" s="8">
        <f>+Tabla1[[#This Row],[Conversión]]*Tabla1[[#This Row],[Cantidad]]</f>
        <v>1.2</v>
      </c>
      <c r="P886" s="43">
        <f>Tabla1[[#This Row],[Neto]]-Tabla1[[#This Row],[Costo Venta]]</f>
        <v>21.656154399999998</v>
      </c>
    </row>
    <row r="887" spans="1:16" x14ac:dyDescent="0.25">
      <c r="A887" s="48">
        <v>45628</v>
      </c>
      <c r="B887" s="1" t="s">
        <v>735</v>
      </c>
      <c r="C887" s="1" t="s">
        <v>65</v>
      </c>
      <c r="D887" s="1" t="s">
        <v>656</v>
      </c>
      <c r="E887" s="1" t="s">
        <v>67</v>
      </c>
      <c r="F887" s="1" t="s">
        <v>9</v>
      </c>
      <c r="G887" s="2">
        <v>6</v>
      </c>
      <c r="H887" s="51" t="s">
        <v>905</v>
      </c>
      <c r="I887" s="44">
        <f>Tabla1[[#This Row],[Descuento]]+Tabla1[[#This Row],[Neto]]</f>
        <v>233.27600000000001</v>
      </c>
      <c r="J887" s="9">
        <v>104.976</v>
      </c>
      <c r="K887" s="9">
        <v>128.30000000000001</v>
      </c>
      <c r="L887" s="9">
        <v>19.142735999999999</v>
      </c>
      <c r="M887" s="24">
        <f>+Tabla1[[#This Row],[Costo Venta]]/Tabla1[[#This Row],[Cantidad]]</f>
        <v>3.1904559999999997</v>
      </c>
      <c r="N887" s="3">
        <v>1</v>
      </c>
      <c r="O887" s="8">
        <f>+Tabla1[[#This Row],[Conversión]]*Tabla1[[#This Row],[Cantidad]]</f>
        <v>6</v>
      </c>
      <c r="P887" s="43">
        <f>Tabla1[[#This Row],[Neto]]-Tabla1[[#This Row],[Costo Venta]]</f>
        <v>109.15726400000001</v>
      </c>
    </row>
    <row r="888" spans="1:16" x14ac:dyDescent="0.25">
      <c r="A888" s="48">
        <v>45635</v>
      </c>
      <c r="B888" s="1" t="s">
        <v>735</v>
      </c>
      <c r="C888" s="1" t="s">
        <v>65</v>
      </c>
      <c r="D888" s="1" t="s">
        <v>657</v>
      </c>
      <c r="E888" s="1" t="s">
        <v>67</v>
      </c>
      <c r="F888" s="1" t="s">
        <v>9</v>
      </c>
      <c r="G888" s="2">
        <v>18</v>
      </c>
      <c r="H888" s="51" t="s">
        <v>905</v>
      </c>
      <c r="I888" s="44">
        <f>Tabla1[[#This Row],[Descuento]]+Tabla1[[#This Row],[Neto]]</f>
        <v>699.83799999999997</v>
      </c>
      <c r="J888" s="9">
        <v>314.928</v>
      </c>
      <c r="K888" s="9">
        <v>384.91</v>
      </c>
      <c r="L888" s="9">
        <v>53.382852</v>
      </c>
      <c r="M888" s="24">
        <f>+Tabla1[[#This Row],[Costo Venta]]/Tabla1[[#This Row],[Cantidad]]</f>
        <v>2.9657140000000002</v>
      </c>
      <c r="N888" s="3">
        <v>1</v>
      </c>
      <c r="O888" s="8">
        <f>+Tabla1[[#This Row],[Conversión]]*Tabla1[[#This Row],[Cantidad]]</f>
        <v>18</v>
      </c>
      <c r="P888" s="43">
        <f>Tabla1[[#This Row],[Neto]]-Tabla1[[#This Row],[Costo Venta]]</f>
        <v>331.52714800000001</v>
      </c>
    </row>
    <row r="889" spans="1:16" x14ac:dyDescent="0.25">
      <c r="A889" s="48">
        <v>45642</v>
      </c>
      <c r="B889" s="1" t="s">
        <v>735</v>
      </c>
      <c r="C889" s="1" t="s">
        <v>65</v>
      </c>
      <c r="D889" s="1" t="s">
        <v>354</v>
      </c>
      <c r="E889" s="1" t="s">
        <v>71</v>
      </c>
      <c r="F889" s="1" t="s">
        <v>355</v>
      </c>
      <c r="G889" s="2">
        <v>9</v>
      </c>
      <c r="H889" s="51" t="s">
        <v>905</v>
      </c>
      <c r="I889" s="44">
        <f>Tabla1[[#This Row],[Descuento]]+Tabla1[[#This Row],[Neto]]</f>
        <v>349.92200000000003</v>
      </c>
      <c r="J889" s="9">
        <v>34.991999999999997</v>
      </c>
      <c r="K889" s="9">
        <v>314.93</v>
      </c>
      <c r="L889" s="9">
        <v>26.862857999999999</v>
      </c>
      <c r="M889" s="24">
        <f>+Tabla1[[#This Row],[Costo Venta]]/Tabla1[[#This Row],[Cantidad]]</f>
        <v>2.9847619999999999</v>
      </c>
      <c r="N889" s="3">
        <v>1</v>
      </c>
      <c r="O889" s="8">
        <f>+Tabla1[[#This Row],[Conversión]]*Tabla1[[#This Row],[Cantidad]]</f>
        <v>9</v>
      </c>
      <c r="P889" s="43">
        <f>Tabla1[[#This Row],[Neto]]-Tabla1[[#This Row],[Costo Venta]]</f>
        <v>288.06714199999999</v>
      </c>
    </row>
    <row r="890" spans="1:16" x14ac:dyDescent="0.25">
      <c r="A890" s="48">
        <v>44942</v>
      </c>
      <c r="B890" s="1" t="s">
        <v>735</v>
      </c>
      <c r="C890" s="1" t="s">
        <v>115</v>
      </c>
      <c r="D890" s="1" t="s">
        <v>118</v>
      </c>
      <c r="E890" s="1" t="s">
        <v>71</v>
      </c>
      <c r="F890" s="1" t="s">
        <v>119</v>
      </c>
      <c r="G890" s="2">
        <v>2.2200000000000002</v>
      </c>
      <c r="H890" s="51" t="s">
        <v>905</v>
      </c>
      <c r="I890" s="44">
        <f>Tabla1[[#This Row],[Descuento]]+Tabla1[[#This Row],[Neto]]</f>
        <v>93.242000000000004</v>
      </c>
      <c r="J890" s="9">
        <v>4.6619999999999999</v>
      </c>
      <c r="K890" s="9">
        <v>88.58</v>
      </c>
      <c r="L890" s="9">
        <v>9.9979853399999996</v>
      </c>
      <c r="M890" s="24">
        <f>+Tabla1[[#This Row],[Costo Venta]]/Tabla1[[#This Row],[Cantidad]]</f>
        <v>4.5035969999999992</v>
      </c>
      <c r="N890" s="3">
        <v>1</v>
      </c>
      <c r="O890" s="8">
        <f>+Tabla1[[#This Row],[Conversión]]*Tabla1[[#This Row],[Cantidad]]</f>
        <v>2.2200000000000002</v>
      </c>
      <c r="P890" s="43">
        <f>Tabla1[[#This Row],[Neto]]-Tabla1[[#This Row],[Costo Venta]]</f>
        <v>78.582014659999999</v>
      </c>
    </row>
    <row r="891" spans="1:16" x14ac:dyDescent="0.25">
      <c r="A891" s="48">
        <v>45201</v>
      </c>
      <c r="B891" s="1" t="s">
        <v>735</v>
      </c>
      <c r="C891" s="1" t="s">
        <v>214</v>
      </c>
      <c r="D891" s="1" t="s">
        <v>244</v>
      </c>
      <c r="E891" s="1" t="s">
        <v>71</v>
      </c>
      <c r="F891" s="1" t="s">
        <v>22</v>
      </c>
      <c r="G891" s="2">
        <v>12</v>
      </c>
      <c r="H891" s="51" t="s">
        <v>905</v>
      </c>
      <c r="I891" s="44">
        <f>Tabla1[[#This Row],[Descuento]]+Tabla1[[#This Row],[Neto]]</f>
        <v>509.28199999999998</v>
      </c>
      <c r="J891" s="9">
        <v>76.391999999999996</v>
      </c>
      <c r="K891" s="9">
        <v>432.89</v>
      </c>
      <c r="L891" s="9">
        <v>54.345323999999998</v>
      </c>
      <c r="M891" s="24">
        <f>+Tabla1[[#This Row],[Costo Venta]]/Tabla1[[#This Row],[Cantidad]]</f>
        <v>4.5287769999999998</v>
      </c>
      <c r="N891" s="3">
        <v>1</v>
      </c>
      <c r="O891" s="8">
        <f>+Tabla1[[#This Row],[Conversión]]*Tabla1[[#This Row],[Cantidad]]</f>
        <v>12</v>
      </c>
      <c r="P891" s="43">
        <f>Tabla1[[#This Row],[Neto]]-Tabla1[[#This Row],[Costo Venta]]</f>
        <v>378.54467599999998</v>
      </c>
    </row>
    <row r="892" spans="1:16" x14ac:dyDescent="0.25">
      <c r="A892" s="48">
        <v>45281</v>
      </c>
      <c r="B892" s="1" t="s">
        <v>735</v>
      </c>
      <c r="C892" s="1" t="s">
        <v>214</v>
      </c>
      <c r="D892" s="1" t="s">
        <v>908</v>
      </c>
      <c r="E892" s="1" t="s">
        <v>71</v>
      </c>
      <c r="F892" s="1" t="s">
        <v>619</v>
      </c>
      <c r="G892" s="2">
        <v>4.4400000000000004</v>
      </c>
      <c r="H892" s="51" t="s">
        <v>905</v>
      </c>
      <c r="I892" s="44">
        <f>Tabla1[[#This Row],[Descuento]]+Tabla1[[#This Row],[Neto]]</f>
        <v>188.42504</v>
      </c>
      <c r="J892" s="9">
        <v>28.265039999999999</v>
      </c>
      <c r="K892" s="9">
        <v>160.16</v>
      </c>
      <c r="L892" s="9">
        <v>18.13305768</v>
      </c>
      <c r="M892" s="24">
        <f>+Tabla1[[#This Row],[Costo Venta]]/Tabla1[[#This Row],[Cantidad]]</f>
        <v>4.084022</v>
      </c>
      <c r="N892" s="3">
        <v>1</v>
      </c>
      <c r="O892" s="8">
        <f>+Tabla1[[#This Row],[Conversión]]*Tabla1[[#This Row],[Cantidad]]</f>
        <v>4.4400000000000004</v>
      </c>
      <c r="P892" s="43">
        <f>Tabla1[[#This Row],[Neto]]-Tabla1[[#This Row],[Costo Venta]]</f>
        <v>142.02694231999999</v>
      </c>
    </row>
    <row r="893" spans="1:16" x14ac:dyDescent="0.25">
      <c r="A893" s="48">
        <v>45628</v>
      </c>
      <c r="B893" s="1" t="s">
        <v>735</v>
      </c>
      <c r="C893" s="1" t="s">
        <v>65</v>
      </c>
      <c r="D893" s="1" t="s">
        <v>656</v>
      </c>
      <c r="E893" s="1" t="s">
        <v>67</v>
      </c>
      <c r="F893" s="1" t="s">
        <v>9</v>
      </c>
      <c r="G893" s="2">
        <v>10</v>
      </c>
      <c r="H893" s="51" t="s">
        <v>905</v>
      </c>
      <c r="I893" s="44">
        <f>Tabla1[[#This Row],[Descuento]]+Tabla1[[#This Row],[Neto]]</f>
        <v>388.8</v>
      </c>
      <c r="J893" s="9">
        <v>174.96</v>
      </c>
      <c r="K893" s="9">
        <v>213.84</v>
      </c>
      <c r="L893" s="9">
        <v>40.745139999999999</v>
      </c>
      <c r="M893" s="24">
        <f>+Tabla1[[#This Row],[Costo Venta]]/Tabla1[[#This Row],[Cantidad]]</f>
        <v>4.0745139999999997</v>
      </c>
      <c r="N893" s="3">
        <v>1</v>
      </c>
      <c r="O893" s="8">
        <f>+Tabla1[[#This Row],[Conversión]]*Tabla1[[#This Row],[Cantidad]]</f>
        <v>10</v>
      </c>
      <c r="P893" s="43">
        <f>Tabla1[[#This Row],[Neto]]-Tabla1[[#This Row],[Costo Venta]]</f>
        <v>173.09486000000001</v>
      </c>
    </row>
    <row r="894" spans="1:16" x14ac:dyDescent="0.25">
      <c r="A894" s="48">
        <v>45635</v>
      </c>
      <c r="B894" s="1" t="s">
        <v>735</v>
      </c>
      <c r="C894" s="1" t="s">
        <v>65</v>
      </c>
      <c r="D894" s="1" t="s">
        <v>657</v>
      </c>
      <c r="E894" s="1" t="s">
        <v>67</v>
      </c>
      <c r="F894" s="1" t="s">
        <v>9</v>
      </c>
      <c r="G894" s="2">
        <v>30.52</v>
      </c>
      <c r="H894" s="51" t="s">
        <v>905</v>
      </c>
      <c r="I894" s="44">
        <f>Tabla1[[#This Row],[Descuento]]+Tabla1[[#This Row],[Neto]]</f>
        <v>1186.6179200000001</v>
      </c>
      <c r="J894" s="9">
        <v>533.97792000000004</v>
      </c>
      <c r="K894" s="9">
        <v>652.64</v>
      </c>
      <c r="L894" s="9">
        <v>87.307221119999994</v>
      </c>
      <c r="M894" s="24">
        <f>+Tabla1[[#This Row],[Costo Venta]]/Tabla1[[#This Row],[Cantidad]]</f>
        <v>2.8606559999999996</v>
      </c>
      <c r="N894" s="3">
        <v>1</v>
      </c>
      <c r="O894" s="8">
        <f>+Tabla1[[#This Row],[Conversión]]*Tabla1[[#This Row],[Cantidad]]</f>
        <v>30.52</v>
      </c>
      <c r="P894" s="43">
        <f>Tabla1[[#This Row],[Neto]]-Tabla1[[#This Row],[Costo Venta]]</f>
        <v>565.33277887999998</v>
      </c>
    </row>
    <row r="895" spans="1:16" x14ac:dyDescent="0.25">
      <c r="A895" s="48">
        <v>45642</v>
      </c>
      <c r="B895" s="1" t="s">
        <v>735</v>
      </c>
      <c r="C895" s="1" t="s">
        <v>65</v>
      </c>
      <c r="D895" s="1" t="s">
        <v>354</v>
      </c>
      <c r="E895" s="1" t="s">
        <v>71</v>
      </c>
      <c r="F895" s="1" t="s">
        <v>355</v>
      </c>
      <c r="G895" s="2">
        <v>12.21</v>
      </c>
      <c r="H895" s="51" t="s">
        <v>905</v>
      </c>
      <c r="I895" s="44">
        <f>Tabla1[[#This Row],[Descuento]]+Tabla1[[#This Row],[Neto]]</f>
        <v>474.72248000000002</v>
      </c>
      <c r="J895" s="9">
        <v>47.472479999999997</v>
      </c>
      <c r="K895" s="9">
        <v>427.25</v>
      </c>
      <c r="L895" s="9">
        <v>34.928609760000001</v>
      </c>
      <c r="M895" s="24">
        <f>+Tabla1[[#This Row],[Costo Venta]]/Tabla1[[#This Row],[Cantidad]]</f>
        <v>2.8606559999999996</v>
      </c>
      <c r="N895" s="3">
        <v>1</v>
      </c>
      <c r="O895" s="8">
        <f>+Tabla1[[#This Row],[Conversión]]*Tabla1[[#This Row],[Cantidad]]</f>
        <v>12.21</v>
      </c>
      <c r="P895" s="43">
        <f>Tabla1[[#This Row],[Neto]]-Tabla1[[#This Row],[Costo Venta]]</f>
        <v>392.32139024000003</v>
      </c>
    </row>
    <row r="896" spans="1:16" x14ac:dyDescent="0.25">
      <c r="A896" s="48">
        <v>44950</v>
      </c>
      <c r="B896" s="1" t="s">
        <v>735</v>
      </c>
      <c r="C896" s="1" t="s">
        <v>115</v>
      </c>
      <c r="D896" s="1" t="s">
        <v>129</v>
      </c>
      <c r="E896" s="1" t="s">
        <v>71</v>
      </c>
      <c r="F896" s="1" t="s">
        <v>130</v>
      </c>
      <c r="G896" s="2">
        <v>158.55000000000001</v>
      </c>
      <c r="H896" s="51" t="s">
        <v>905</v>
      </c>
      <c r="I896" s="44">
        <f>Tabla1[[#This Row],[Descuento]]+Tabla1[[#This Row],[Neto]]</f>
        <v>6659.1049999999996</v>
      </c>
      <c r="J896" s="9">
        <v>998.86500000000001</v>
      </c>
      <c r="K896" s="9">
        <v>5660.24</v>
      </c>
      <c r="L896" s="9">
        <v>691.17224714999998</v>
      </c>
      <c r="M896" s="24">
        <f>+Tabla1[[#This Row],[Costo Venta]]/Tabla1[[#This Row],[Cantidad]]</f>
        <v>4.3593329999999995</v>
      </c>
      <c r="N896" s="3">
        <v>1</v>
      </c>
      <c r="O896" s="8">
        <f>+Tabla1[[#This Row],[Conversión]]*Tabla1[[#This Row],[Cantidad]]</f>
        <v>158.55000000000001</v>
      </c>
      <c r="P896" s="43">
        <f>Tabla1[[#This Row],[Neto]]-Tabla1[[#This Row],[Costo Venta]]</f>
        <v>4969.06775285</v>
      </c>
    </row>
    <row r="897" spans="1:16" x14ac:dyDescent="0.25">
      <c r="A897" s="48">
        <v>45063</v>
      </c>
      <c r="B897" s="1" t="s">
        <v>735</v>
      </c>
      <c r="C897" s="1" t="s">
        <v>81</v>
      </c>
      <c r="D897" s="1" t="s">
        <v>640</v>
      </c>
      <c r="E897" s="1" t="s">
        <v>132</v>
      </c>
      <c r="F897" s="1" t="s">
        <v>617</v>
      </c>
      <c r="G897" s="2">
        <v>10.5</v>
      </c>
      <c r="H897" s="51" t="s">
        <v>905</v>
      </c>
      <c r="I897" s="44">
        <f>Tabla1[[#This Row],[Descuento]]+Tabla1[[#This Row],[Neto]]</f>
        <v>441</v>
      </c>
      <c r="J897" s="9">
        <v>0</v>
      </c>
      <c r="K897" s="9">
        <v>441</v>
      </c>
      <c r="L897" s="9">
        <v>41.821562999999998</v>
      </c>
      <c r="M897" s="24">
        <f>+Tabla1[[#This Row],[Costo Venta]]/Tabla1[[#This Row],[Cantidad]]</f>
        <v>3.9830059999999996</v>
      </c>
      <c r="N897" s="3">
        <v>1</v>
      </c>
      <c r="O897" s="8">
        <f>+Tabla1[[#This Row],[Conversión]]*Tabla1[[#This Row],[Cantidad]]</f>
        <v>10.5</v>
      </c>
      <c r="P897" s="43">
        <f>Tabla1[[#This Row],[Neto]]-Tabla1[[#This Row],[Costo Venta]]</f>
        <v>399.17843700000003</v>
      </c>
    </row>
    <row r="898" spans="1:16" x14ac:dyDescent="0.25">
      <c r="A898" s="48">
        <v>45063</v>
      </c>
      <c r="B898" s="1" t="s">
        <v>735</v>
      </c>
      <c r="C898" s="1" t="s">
        <v>109</v>
      </c>
      <c r="D898" s="1" t="s">
        <v>641</v>
      </c>
      <c r="E898" s="1" t="s">
        <v>132</v>
      </c>
      <c r="F898" s="1" t="s">
        <v>642</v>
      </c>
      <c r="G898" s="2">
        <v>3.15</v>
      </c>
      <c r="H898" s="51" t="s">
        <v>905</v>
      </c>
      <c r="I898" s="44">
        <f>Tabla1[[#This Row],[Descuento]]+Tabla1[[#This Row],[Neto]]</f>
        <v>132.30000000000001</v>
      </c>
      <c r="J898" s="9">
        <v>39.69</v>
      </c>
      <c r="K898" s="9">
        <v>92.61</v>
      </c>
      <c r="L898" s="9">
        <v>12.546468900000001</v>
      </c>
      <c r="M898" s="24">
        <f>+Tabla1[[#This Row],[Costo Venta]]/Tabla1[[#This Row],[Cantidad]]</f>
        <v>3.9830060000000005</v>
      </c>
      <c r="N898" s="3">
        <v>1</v>
      </c>
      <c r="O898" s="8">
        <f>+Tabla1[[#This Row],[Conversión]]*Tabla1[[#This Row],[Cantidad]]</f>
        <v>3.15</v>
      </c>
      <c r="P898" s="43">
        <f>Tabla1[[#This Row],[Neto]]-Tabla1[[#This Row],[Costo Venta]]</f>
        <v>80.063531100000006</v>
      </c>
    </row>
    <row r="899" spans="1:16" x14ac:dyDescent="0.25">
      <c r="A899" s="48">
        <v>45163</v>
      </c>
      <c r="B899" s="1" t="s">
        <v>735</v>
      </c>
      <c r="C899" s="1" t="s">
        <v>214</v>
      </c>
      <c r="D899" s="1" t="s">
        <v>226</v>
      </c>
      <c r="E899" s="1" t="s">
        <v>71</v>
      </c>
      <c r="F899" s="1" t="s">
        <v>227</v>
      </c>
      <c r="G899" s="2">
        <v>42</v>
      </c>
      <c r="H899" s="51" t="s">
        <v>905</v>
      </c>
      <c r="I899" s="44">
        <f>Tabla1[[#This Row],[Descuento]]+Tabla1[[#This Row],[Neto]]</f>
        <v>1782.4780000000001</v>
      </c>
      <c r="J899" s="9">
        <v>178.24799999999999</v>
      </c>
      <c r="K899" s="9">
        <v>1604.23</v>
      </c>
      <c r="L899" s="9">
        <v>167.28625199999999</v>
      </c>
      <c r="M899" s="24">
        <f>+Tabla1[[#This Row],[Costo Venta]]/Tabla1[[#This Row],[Cantidad]]</f>
        <v>3.9830059999999996</v>
      </c>
      <c r="N899" s="3">
        <v>1</v>
      </c>
      <c r="O899" s="8">
        <f>+Tabla1[[#This Row],[Conversión]]*Tabla1[[#This Row],[Cantidad]]</f>
        <v>42</v>
      </c>
      <c r="P899" s="43">
        <f>Tabla1[[#This Row],[Neto]]-Tabla1[[#This Row],[Costo Venta]]</f>
        <v>1436.9437480000001</v>
      </c>
    </row>
    <row r="900" spans="1:16" x14ac:dyDescent="0.25">
      <c r="A900" s="48">
        <v>45614</v>
      </c>
      <c r="B900" s="1" t="s">
        <v>735</v>
      </c>
      <c r="C900" s="1" t="s">
        <v>65</v>
      </c>
      <c r="D900" s="1" t="s">
        <v>342</v>
      </c>
      <c r="E900" s="1" t="s">
        <v>67</v>
      </c>
      <c r="F900" s="1" t="s">
        <v>34</v>
      </c>
      <c r="G900" s="2">
        <v>4.2</v>
      </c>
      <c r="H900" s="51" t="s">
        <v>905</v>
      </c>
      <c r="I900" s="44">
        <f>Tabla1[[#This Row],[Descuento]]+Tabla1[[#This Row],[Neto]]</f>
        <v>163.30360000000002</v>
      </c>
      <c r="J900" s="9">
        <v>57.153599999999997</v>
      </c>
      <c r="K900" s="9">
        <v>106.15</v>
      </c>
      <c r="L900" s="9">
        <v>13.100543399999999</v>
      </c>
      <c r="M900" s="24">
        <f>+Tabla1[[#This Row],[Costo Venta]]/Tabla1[[#This Row],[Cantidad]]</f>
        <v>3.1191769999999996</v>
      </c>
      <c r="N900" s="3">
        <v>1</v>
      </c>
      <c r="O900" s="8">
        <f>+Tabla1[[#This Row],[Conversión]]*Tabla1[[#This Row],[Cantidad]]</f>
        <v>4.2</v>
      </c>
      <c r="P900" s="43">
        <f>Tabla1[[#This Row],[Neto]]-Tabla1[[#This Row],[Costo Venta]]</f>
        <v>93.049456600000013</v>
      </c>
    </row>
    <row r="901" spans="1:16" x14ac:dyDescent="0.25">
      <c r="A901" s="48">
        <v>45811</v>
      </c>
      <c r="B901" s="1" t="s">
        <v>735</v>
      </c>
      <c r="C901" s="1" t="s">
        <v>65</v>
      </c>
      <c r="D901" s="1" t="s">
        <v>665</v>
      </c>
      <c r="E901" s="1" t="s">
        <v>67</v>
      </c>
      <c r="F901" s="1" t="s">
        <v>44</v>
      </c>
      <c r="G901" s="2">
        <v>43</v>
      </c>
      <c r="H901" s="51" t="s">
        <v>905</v>
      </c>
      <c r="I901" s="44">
        <f>Tabla1[[#This Row],[Descuento]]+Tabla1[[#This Row],[Neto]]</f>
        <v>1671.8440000000001</v>
      </c>
      <c r="J901" s="9">
        <v>585.14400000000001</v>
      </c>
      <c r="K901" s="9">
        <v>1086.7</v>
      </c>
      <c r="L901" s="9">
        <v>198.92875000000001</v>
      </c>
      <c r="M901" s="24">
        <f>+Tabla1[[#This Row],[Costo Venta]]/Tabla1[[#This Row],[Cantidad]]</f>
        <v>4.6262499999999998</v>
      </c>
      <c r="N901" s="3">
        <v>1</v>
      </c>
      <c r="O901" s="8">
        <f>+Tabla1[[#This Row],[Conversión]]*Tabla1[[#This Row],[Cantidad]]</f>
        <v>43</v>
      </c>
      <c r="P901" s="43">
        <f>Tabla1[[#This Row],[Neto]]-Tabla1[[#This Row],[Costo Venta]]</f>
        <v>887.77125000000001</v>
      </c>
    </row>
    <row r="902" spans="1:16" x14ac:dyDescent="0.25">
      <c r="A902" s="48">
        <v>45002</v>
      </c>
      <c r="B902" s="1" t="s">
        <v>735</v>
      </c>
      <c r="C902" s="1" t="s">
        <v>109</v>
      </c>
      <c r="D902" s="1" t="s">
        <v>634</v>
      </c>
      <c r="E902" s="1" t="s">
        <v>67</v>
      </c>
      <c r="F902" s="1" t="s">
        <v>20</v>
      </c>
      <c r="G902" s="2">
        <v>13</v>
      </c>
      <c r="H902" s="51" t="s">
        <v>909</v>
      </c>
      <c r="I902" s="44">
        <f>Tabla1[[#This Row],[Descuento]]+Tabla1[[#This Row],[Neto]]</f>
        <v>546</v>
      </c>
      <c r="J902" s="9">
        <v>191.1</v>
      </c>
      <c r="K902" s="9">
        <v>354.9</v>
      </c>
      <c r="L902" s="9">
        <v>61.210006</v>
      </c>
      <c r="M902" s="24">
        <f>+Tabla1[[#This Row],[Costo Venta]]/Tabla1[[#This Row],[Cantidad]]</f>
        <v>4.7084619999999999</v>
      </c>
      <c r="N902" s="3">
        <v>1</v>
      </c>
      <c r="O902" s="8">
        <f>+Tabla1[[#This Row],[Conversión]]*Tabla1[[#This Row],[Cantidad]]</f>
        <v>13</v>
      </c>
      <c r="P902" s="43">
        <f>Tabla1[[#This Row],[Neto]]-Tabla1[[#This Row],[Costo Venta]]</f>
        <v>293.68999399999996</v>
      </c>
    </row>
    <row r="903" spans="1:16" x14ac:dyDescent="0.25">
      <c r="A903" s="48">
        <v>45282</v>
      </c>
      <c r="B903" s="1" t="s">
        <v>735</v>
      </c>
      <c r="C903" s="1" t="s">
        <v>81</v>
      </c>
      <c r="D903" s="1" t="s">
        <v>910</v>
      </c>
      <c r="E903" s="1" t="s">
        <v>71</v>
      </c>
      <c r="F903" s="1" t="s">
        <v>10</v>
      </c>
      <c r="G903" s="2">
        <v>7</v>
      </c>
      <c r="H903" s="51" t="s">
        <v>911</v>
      </c>
      <c r="I903" s="44">
        <f>Tabla1[[#This Row],[Descuento]]+Tabla1[[#This Row],[Neto]]</f>
        <v>297.07799999999997</v>
      </c>
      <c r="J903" s="9">
        <v>103.97799999999999</v>
      </c>
      <c r="K903" s="9">
        <v>193.1</v>
      </c>
      <c r="L903" s="9">
        <v>29.785</v>
      </c>
      <c r="M903" s="24">
        <f>+Tabla1[[#This Row],[Costo Venta]]/Tabla1[[#This Row],[Cantidad]]</f>
        <v>4.2549999999999999</v>
      </c>
      <c r="N903" s="3">
        <v>1</v>
      </c>
      <c r="O903" s="8">
        <f>+Tabla1[[#This Row],[Conversión]]*Tabla1[[#This Row],[Cantidad]]</f>
        <v>7</v>
      </c>
      <c r="P903" s="43">
        <f>Tabla1[[#This Row],[Neto]]-Tabla1[[#This Row],[Costo Venta]]</f>
        <v>163.315</v>
      </c>
    </row>
    <row r="904" spans="1:16" x14ac:dyDescent="0.25">
      <c r="A904" s="48">
        <v>45545</v>
      </c>
      <c r="B904" s="1" t="s">
        <v>735</v>
      </c>
      <c r="C904" s="1" t="s">
        <v>65</v>
      </c>
      <c r="D904" s="1" t="s">
        <v>654</v>
      </c>
      <c r="E904" s="1" t="s">
        <v>67</v>
      </c>
      <c r="F904" s="1" t="s">
        <v>20</v>
      </c>
      <c r="G904" s="2">
        <v>6</v>
      </c>
      <c r="H904" s="51" t="s">
        <v>911</v>
      </c>
      <c r="I904" s="44">
        <f>Tabla1[[#This Row],[Descuento]]+Tabla1[[#This Row],[Neto]]</f>
        <v>233.27799999999999</v>
      </c>
      <c r="J904" s="9">
        <v>81.647999999999996</v>
      </c>
      <c r="K904" s="9">
        <v>151.63</v>
      </c>
      <c r="L904" s="9">
        <v>28.734317999999998</v>
      </c>
      <c r="M904" s="24">
        <f>+Tabla1[[#This Row],[Costo Venta]]/Tabla1[[#This Row],[Cantidad]]</f>
        <v>4.789053</v>
      </c>
      <c r="N904" s="3">
        <v>1</v>
      </c>
      <c r="O904" s="8">
        <f>+Tabla1[[#This Row],[Conversión]]*Tabla1[[#This Row],[Cantidad]]</f>
        <v>6</v>
      </c>
      <c r="P904" s="43">
        <f>Tabla1[[#This Row],[Neto]]-Tabla1[[#This Row],[Costo Venta]]</f>
        <v>122.89568199999999</v>
      </c>
    </row>
    <row r="905" spans="1:16" x14ac:dyDescent="0.25">
      <c r="A905" s="48">
        <v>45594</v>
      </c>
      <c r="B905" s="1" t="s">
        <v>735</v>
      </c>
      <c r="C905" s="1" t="s">
        <v>65</v>
      </c>
      <c r="D905" s="1" t="s">
        <v>655</v>
      </c>
      <c r="E905" s="1" t="s">
        <v>67</v>
      </c>
      <c r="F905" s="1" t="s">
        <v>20</v>
      </c>
      <c r="G905" s="2">
        <v>6</v>
      </c>
      <c r="H905" s="51" t="s">
        <v>911</v>
      </c>
      <c r="I905" s="44">
        <f>Tabla1[[#This Row],[Descuento]]+Tabla1[[#This Row],[Neto]]</f>
        <v>233.27799999999999</v>
      </c>
      <c r="J905" s="9">
        <v>81.647999999999996</v>
      </c>
      <c r="K905" s="9">
        <v>151.63</v>
      </c>
      <c r="L905" s="9">
        <v>28.734317999999998</v>
      </c>
      <c r="M905" s="24">
        <f>+Tabla1[[#This Row],[Costo Venta]]/Tabla1[[#This Row],[Cantidad]]</f>
        <v>4.789053</v>
      </c>
      <c r="N905" s="3">
        <v>1</v>
      </c>
      <c r="O905" s="8">
        <f>+Tabla1[[#This Row],[Conversión]]*Tabla1[[#This Row],[Cantidad]]</f>
        <v>6</v>
      </c>
      <c r="P905" s="43">
        <f>Tabla1[[#This Row],[Neto]]-Tabla1[[#This Row],[Costo Venta]]</f>
        <v>122.89568199999999</v>
      </c>
    </row>
    <row r="906" spans="1:16" x14ac:dyDescent="0.25">
      <c r="A906" s="48">
        <v>45051</v>
      </c>
      <c r="B906" s="1" t="s">
        <v>481</v>
      </c>
      <c r="C906" s="1" t="s">
        <v>109</v>
      </c>
      <c r="D906" s="1" t="s">
        <v>912</v>
      </c>
      <c r="E906" s="1" t="s">
        <v>71</v>
      </c>
      <c r="F906" s="1" t="s">
        <v>913</v>
      </c>
      <c r="G906" s="2">
        <v>244.08</v>
      </c>
      <c r="H906" s="1" t="s">
        <v>914</v>
      </c>
      <c r="I906" s="44">
        <f>Tabla1[[#This Row],[Descuento]]+Tabla1[[#This Row],[Neto]]</f>
        <v>7227.2108799999996</v>
      </c>
      <c r="J906" s="9">
        <v>722.72087999999997</v>
      </c>
      <c r="K906" s="9">
        <v>6504.49</v>
      </c>
      <c r="L906" s="9">
        <v>4869.3959999999997</v>
      </c>
      <c r="M906" s="24">
        <f>+Tabla1[[#This Row],[Costo Venta]]/Tabla1[[#This Row],[Cantidad]]</f>
        <v>19.95</v>
      </c>
      <c r="N906" s="3">
        <v>1</v>
      </c>
      <c r="O906" s="8">
        <f>+Tabla1[[#This Row],[Conversión]]*Tabla1[[#This Row],[Cantidad]]</f>
        <v>244.08</v>
      </c>
      <c r="P906" s="43">
        <f>Tabla1[[#This Row],[Neto]]-Tabla1[[#This Row],[Costo Venta]]</f>
        <v>1635.0940000000001</v>
      </c>
    </row>
    <row r="907" spans="1:16" x14ac:dyDescent="0.25">
      <c r="A907" s="48">
        <v>45021</v>
      </c>
      <c r="B907" s="1" t="s">
        <v>764</v>
      </c>
      <c r="C907" s="1" t="s">
        <v>81</v>
      </c>
      <c r="D907" s="1" t="s">
        <v>915</v>
      </c>
      <c r="E907" s="1" t="s">
        <v>71</v>
      </c>
      <c r="F907" s="1" t="s">
        <v>916</v>
      </c>
      <c r="G907" s="2">
        <v>2</v>
      </c>
      <c r="H907" s="51" t="s">
        <v>917</v>
      </c>
      <c r="I907" s="44">
        <f>Tabla1[[#This Row],[Descuento]]+Tabla1[[#This Row],[Neto]]</f>
        <v>90</v>
      </c>
      <c r="J907" s="9">
        <v>0</v>
      </c>
      <c r="K907" s="9">
        <v>90</v>
      </c>
      <c r="L907" s="9">
        <v>16.05</v>
      </c>
      <c r="M907" s="24">
        <f>+Tabla1[[#This Row],[Costo Venta]]/Tabla1[[#This Row],[Cantidad]]</f>
        <v>8.0250000000000004</v>
      </c>
      <c r="N907" s="3">
        <v>1</v>
      </c>
      <c r="O907" s="8">
        <f>+Tabla1[[#This Row],[Conversión]]*Tabla1[[#This Row],[Cantidad]]</f>
        <v>2</v>
      </c>
      <c r="P907" s="43">
        <f>Tabla1[[#This Row],[Neto]]-Tabla1[[#This Row],[Costo Venta]]</f>
        <v>73.95</v>
      </c>
    </row>
    <row r="908" spans="1:16" x14ac:dyDescent="0.25">
      <c r="A908" s="48">
        <v>45078</v>
      </c>
      <c r="B908" s="1" t="s">
        <v>764</v>
      </c>
      <c r="C908" s="1" t="s">
        <v>81</v>
      </c>
      <c r="D908" s="1" t="s">
        <v>918</v>
      </c>
      <c r="E908" s="1" t="s">
        <v>137</v>
      </c>
      <c r="F908" s="1" t="s">
        <v>919</v>
      </c>
      <c r="G908" s="2">
        <v>70</v>
      </c>
      <c r="H908" s="51" t="s">
        <v>917</v>
      </c>
      <c r="I908" s="44">
        <f>Tabla1[[#This Row],[Descuento]]+Tabla1[[#This Row],[Neto]]</f>
        <v>3150</v>
      </c>
      <c r="J908" s="9">
        <v>787.5</v>
      </c>
      <c r="K908" s="9">
        <v>2362.5</v>
      </c>
      <c r="L908" s="9">
        <v>561.75</v>
      </c>
      <c r="M908" s="24">
        <f>+Tabla1[[#This Row],[Costo Venta]]/Tabla1[[#This Row],[Cantidad]]</f>
        <v>8.0250000000000004</v>
      </c>
      <c r="N908" s="3">
        <v>1</v>
      </c>
      <c r="O908" s="8">
        <f>+Tabla1[[#This Row],[Conversión]]*Tabla1[[#This Row],[Cantidad]]</f>
        <v>70</v>
      </c>
      <c r="P908" s="43">
        <f>Tabla1[[#This Row],[Neto]]-Tabla1[[#This Row],[Costo Venta]]</f>
        <v>1800.75</v>
      </c>
    </row>
    <row r="909" spans="1:16" x14ac:dyDescent="0.25">
      <c r="A909" s="48">
        <v>45100</v>
      </c>
      <c r="B909" s="1" t="s">
        <v>764</v>
      </c>
      <c r="C909" s="1" t="s">
        <v>109</v>
      </c>
      <c r="D909" s="1" t="s">
        <v>752</v>
      </c>
      <c r="E909" s="1" t="s">
        <v>67</v>
      </c>
      <c r="F909" s="1" t="s">
        <v>9</v>
      </c>
      <c r="G909" s="2">
        <v>6</v>
      </c>
      <c r="H909" s="51" t="s">
        <v>917</v>
      </c>
      <c r="I909" s="44">
        <f>Tabla1[[#This Row],[Descuento]]+Tabla1[[#This Row],[Neto]]</f>
        <v>270</v>
      </c>
      <c r="J909" s="9">
        <v>108</v>
      </c>
      <c r="K909" s="9">
        <v>162</v>
      </c>
      <c r="L909" s="9">
        <v>47.060291999999997</v>
      </c>
      <c r="M909" s="24">
        <f>+Tabla1[[#This Row],[Costo Venta]]/Tabla1[[#This Row],[Cantidad]]</f>
        <v>7.8433819999999992</v>
      </c>
      <c r="N909" s="3">
        <v>1</v>
      </c>
      <c r="O909" s="8">
        <f>+Tabla1[[#This Row],[Conversión]]*Tabla1[[#This Row],[Cantidad]]</f>
        <v>6</v>
      </c>
      <c r="P909" s="43">
        <f>Tabla1[[#This Row],[Neto]]-Tabla1[[#This Row],[Costo Venta]]</f>
        <v>114.939708</v>
      </c>
    </row>
    <row r="910" spans="1:16" x14ac:dyDescent="0.25">
      <c r="A910" s="48">
        <v>45303</v>
      </c>
      <c r="B910" s="1" t="s">
        <v>764</v>
      </c>
      <c r="C910" s="1" t="s">
        <v>65</v>
      </c>
      <c r="D910" s="1" t="s">
        <v>920</v>
      </c>
      <c r="E910" s="1" t="s">
        <v>71</v>
      </c>
      <c r="F910" s="1" t="s">
        <v>921</v>
      </c>
      <c r="G910" s="2">
        <v>8</v>
      </c>
      <c r="H910" s="51" t="s">
        <v>917</v>
      </c>
      <c r="I910" s="44">
        <f>Tabla1[[#This Row],[Descuento]]+Tabla1[[#This Row],[Neto]]</f>
        <v>363.52199999999999</v>
      </c>
      <c r="J910" s="9">
        <v>36.351999999999997</v>
      </c>
      <c r="K910" s="9">
        <v>327.17</v>
      </c>
      <c r="L910" s="9">
        <v>64</v>
      </c>
      <c r="M910" s="24">
        <f>+Tabla1[[#This Row],[Costo Venta]]/Tabla1[[#This Row],[Cantidad]]</f>
        <v>8</v>
      </c>
      <c r="N910" s="3">
        <v>1</v>
      </c>
      <c r="O910" s="8">
        <f>+Tabla1[[#This Row],[Conversión]]*Tabla1[[#This Row],[Cantidad]]</f>
        <v>8</v>
      </c>
      <c r="P910" s="43">
        <f>Tabla1[[#This Row],[Neto]]-Tabla1[[#This Row],[Costo Venta]]</f>
        <v>263.17</v>
      </c>
    </row>
    <row r="911" spans="1:16" x14ac:dyDescent="0.25">
      <c r="A911" s="48">
        <v>45398</v>
      </c>
      <c r="B911" s="1" t="s">
        <v>764</v>
      </c>
      <c r="C911" s="1" t="s">
        <v>81</v>
      </c>
      <c r="D911" s="1" t="s">
        <v>922</v>
      </c>
      <c r="E911" s="1" t="s">
        <v>67</v>
      </c>
      <c r="F911" s="1" t="s">
        <v>9</v>
      </c>
      <c r="G911" s="2">
        <v>30</v>
      </c>
      <c r="H911" s="51" t="s">
        <v>917</v>
      </c>
      <c r="I911" s="44">
        <f>Tabla1[[#This Row],[Descuento]]+Tabla1[[#This Row],[Neto]]</f>
        <v>1166.4000000000001</v>
      </c>
      <c r="J911" s="9">
        <v>408.24</v>
      </c>
      <c r="K911" s="9">
        <v>758.16</v>
      </c>
      <c r="L911" s="9">
        <v>110.93544</v>
      </c>
      <c r="M911" s="24">
        <f>+Tabla1[[#This Row],[Costo Venta]]/Tabla1[[#This Row],[Cantidad]]</f>
        <v>3.697848</v>
      </c>
      <c r="N911" s="3">
        <v>1</v>
      </c>
      <c r="O911" s="8">
        <f>+Tabla1[[#This Row],[Conversión]]*Tabla1[[#This Row],[Cantidad]]</f>
        <v>30</v>
      </c>
      <c r="P911" s="43">
        <f>Tabla1[[#This Row],[Neto]]-Tabla1[[#This Row],[Costo Venta]]</f>
        <v>647.22456</v>
      </c>
    </row>
    <row r="912" spans="1:16" x14ac:dyDescent="0.25">
      <c r="A912" s="48">
        <v>45475</v>
      </c>
      <c r="B912" s="1" t="s">
        <v>764</v>
      </c>
      <c r="C912" s="1" t="s">
        <v>65</v>
      </c>
      <c r="D912" s="1" t="s">
        <v>923</v>
      </c>
      <c r="E912" s="1" t="s">
        <v>71</v>
      </c>
      <c r="F912" s="1" t="s">
        <v>924</v>
      </c>
      <c r="G912" s="2">
        <v>33</v>
      </c>
      <c r="H912" s="51" t="s">
        <v>917</v>
      </c>
      <c r="I912" s="44">
        <f>Tabla1[[#This Row],[Descuento]]+Tabla1[[#This Row],[Neto]]</f>
        <v>1283.0440000000001</v>
      </c>
      <c r="J912" s="9">
        <v>128.304</v>
      </c>
      <c r="K912" s="9">
        <v>1154.74</v>
      </c>
      <c r="L912" s="9">
        <v>122.02898399999999</v>
      </c>
      <c r="M912" s="24">
        <f>+Tabla1[[#This Row],[Costo Venta]]/Tabla1[[#This Row],[Cantidad]]</f>
        <v>3.697848</v>
      </c>
      <c r="N912" s="3">
        <v>1</v>
      </c>
      <c r="O912" s="8">
        <f>+Tabla1[[#This Row],[Conversión]]*Tabla1[[#This Row],[Cantidad]]</f>
        <v>33</v>
      </c>
      <c r="P912" s="43">
        <f>Tabla1[[#This Row],[Neto]]-Tabla1[[#This Row],[Costo Venta]]</f>
        <v>1032.711016</v>
      </c>
    </row>
    <row r="913" spans="1:16" x14ac:dyDescent="0.25">
      <c r="A913" s="48">
        <v>45533</v>
      </c>
      <c r="B913" s="1" t="s">
        <v>764</v>
      </c>
      <c r="C913" s="1" t="s">
        <v>65</v>
      </c>
      <c r="D913" s="1" t="s">
        <v>326</v>
      </c>
      <c r="E913" s="1" t="s">
        <v>71</v>
      </c>
      <c r="F913" s="1" t="s">
        <v>327</v>
      </c>
      <c r="G913" s="2">
        <v>9</v>
      </c>
      <c r="H913" s="51" t="s">
        <v>917</v>
      </c>
      <c r="I913" s="44">
        <f>Tabla1[[#This Row],[Descuento]]+Tabla1[[#This Row],[Neto]]</f>
        <v>349.92200000000003</v>
      </c>
      <c r="J913" s="9">
        <v>34.991999999999997</v>
      </c>
      <c r="K913" s="9">
        <v>314.93</v>
      </c>
      <c r="L913" s="9">
        <v>29.458898999999999</v>
      </c>
      <c r="M913" s="24">
        <f>+Tabla1[[#This Row],[Costo Venta]]/Tabla1[[#This Row],[Cantidad]]</f>
        <v>3.2732109999999999</v>
      </c>
      <c r="N913" s="3">
        <v>1</v>
      </c>
      <c r="O913" s="8">
        <f>+Tabla1[[#This Row],[Conversión]]*Tabla1[[#This Row],[Cantidad]]</f>
        <v>9</v>
      </c>
      <c r="P913" s="43">
        <f>Tabla1[[#This Row],[Neto]]-Tabla1[[#This Row],[Costo Venta]]</f>
        <v>285.47110100000003</v>
      </c>
    </row>
    <row r="914" spans="1:16" x14ac:dyDescent="0.25">
      <c r="A914" s="48">
        <v>45628</v>
      </c>
      <c r="B914" s="1" t="s">
        <v>764</v>
      </c>
      <c r="C914" s="1" t="s">
        <v>65</v>
      </c>
      <c r="D914" s="1" t="s">
        <v>546</v>
      </c>
      <c r="E914" s="1" t="s">
        <v>67</v>
      </c>
      <c r="F914" s="1" t="s">
        <v>20</v>
      </c>
      <c r="G914" s="2">
        <v>35</v>
      </c>
      <c r="H914" s="51" t="s">
        <v>917</v>
      </c>
      <c r="I914" s="44">
        <f>Tabla1[[#This Row],[Descuento]]+Tabla1[[#This Row],[Neto]]</f>
        <v>1360.8000000000002</v>
      </c>
      <c r="J914" s="9">
        <v>612.36</v>
      </c>
      <c r="K914" s="9">
        <v>748.44</v>
      </c>
      <c r="L914" s="9">
        <v>111.47108</v>
      </c>
      <c r="M914" s="24">
        <f>+Tabla1[[#This Row],[Costo Venta]]/Tabla1[[#This Row],[Cantidad]]</f>
        <v>3.1848879999999999</v>
      </c>
      <c r="N914" s="3">
        <v>1</v>
      </c>
      <c r="O914" s="8">
        <f>+Tabla1[[#This Row],[Conversión]]*Tabla1[[#This Row],[Cantidad]]</f>
        <v>35</v>
      </c>
      <c r="P914" s="43">
        <f>Tabla1[[#This Row],[Neto]]-Tabla1[[#This Row],[Costo Venta]]</f>
        <v>636.96892000000003</v>
      </c>
    </row>
    <row r="915" spans="1:16" x14ac:dyDescent="0.25">
      <c r="A915" s="48">
        <v>45846</v>
      </c>
      <c r="B915" s="1" t="s">
        <v>764</v>
      </c>
      <c r="C915" s="1" t="s">
        <v>65</v>
      </c>
      <c r="D915" s="1" t="s">
        <v>925</v>
      </c>
      <c r="E915" s="1" t="s">
        <v>67</v>
      </c>
      <c r="F915" s="1" t="s">
        <v>20</v>
      </c>
      <c r="G915" s="2">
        <v>3</v>
      </c>
      <c r="H915" s="51" t="s">
        <v>917</v>
      </c>
      <c r="I915" s="44">
        <f>Tabla1[[#This Row],[Descuento]]+Tabla1[[#This Row],[Neto]]</f>
        <v>116.642</v>
      </c>
      <c r="J915" s="9">
        <v>34.991999999999997</v>
      </c>
      <c r="K915" s="9">
        <v>81.650000000000006</v>
      </c>
      <c r="L915" s="9">
        <v>9.5739180000000008</v>
      </c>
      <c r="M915" s="24">
        <f>+Tabla1[[#This Row],[Costo Venta]]/Tabla1[[#This Row],[Cantidad]]</f>
        <v>3.1913060000000004</v>
      </c>
      <c r="N915" s="3">
        <v>1</v>
      </c>
      <c r="O915" s="8">
        <f>+Tabla1[[#This Row],[Conversión]]*Tabla1[[#This Row],[Cantidad]]</f>
        <v>3</v>
      </c>
      <c r="P915" s="43">
        <f>Tabla1[[#This Row],[Neto]]-Tabla1[[#This Row],[Costo Venta]]</f>
        <v>72.076082</v>
      </c>
    </row>
    <row r="916" spans="1:16" x14ac:dyDescent="0.25">
      <c r="A916" s="48">
        <v>45912</v>
      </c>
      <c r="B916" s="1" t="s">
        <v>764</v>
      </c>
      <c r="C916" s="1" t="s">
        <v>65</v>
      </c>
      <c r="D916" s="1" t="s">
        <v>926</v>
      </c>
      <c r="E916" s="1" t="s">
        <v>67</v>
      </c>
      <c r="F916" s="1" t="s">
        <v>41</v>
      </c>
      <c r="G916" s="2">
        <v>18</v>
      </c>
      <c r="H916" s="1" t="s">
        <v>927</v>
      </c>
      <c r="I916" s="44">
        <f>Tabla1[[#This Row],[Descuento]]+Tabla1[[#This Row],[Neto]]</f>
        <v>699.84199999999998</v>
      </c>
      <c r="J916" s="9">
        <v>209.952</v>
      </c>
      <c r="K916" s="9">
        <v>489.89</v>
      </c>
      <c r="L916" s="9">
        <v>121.5</v>
      </c>
      <c r="M916" s="24">
        <f>+Tabla1[[#This Row],[Costo Venta]]/Tabla1[[#This Row],[Cantidad]]</f>
        <v>6.75</v>
      </c>
      <c r="N916" s="3">
        <v>1</v>
      </c>
      <c r="O916" s="8">
        <f>+Tabla1[[#This Row],[Conversión]]*Tabla1[[#This Row],[Cantidad]]</f>
        <v>18</v>
      </c>
      <c r="P916" s="43">
        <f>Tabla1[[#This Row],[Neto]]-Tabla1[[#This Row],[Costo Venta]]</f>
        <v>368.39</v>
      </c>
    </row>
    <row r="917" spans="1:16" x14ac:dyDescent="0.25">
      <c r="A917" s="48">
        <v>45064</v>
      </c>
      <c r="B917" s="1" t="s">
        <v>764</v>
      </c>
      <c r="C917" s="1" t="s">
        <v>81</v>
      </c>
      <c r="D917" s="1" t="s">
        <v>928</v>
      </c>
      <c r="E917" s="1" t="s">
        <v>71</v>
      </c>
      <c r="F917" s="1" t="s">
        <v>929</v>
      </c>
      <c r="G917" s="2">
        <v>32</v>
      </c>
      <c r="H917" s="51" t="s">
        <v>930</v>
      </c>
      <c r="I917" s="44">
        <f>Tabla1[[#This Row],[Descuento]]+Tabla1[[#This Row],[Neto]]</f>
        <v>1440</v>
      </c>
      <c r="J917" s="9">
        <v>0</v>
      </c>
      <c r="K917" s="9">
        <v>1440</v>
      </c>
      <c r="L917" s="9">
        <v>207.453664</v>
      </c>
      <c r="M917" s="24">
        <f>+Tabla1[[#This Row],[Costo Venta]]/Tabla1[[#This Row],[Cantidad]]</f>
        <v>6.4829270000000001</v>
      </c>
      <c r="N917" s="3">
        <v>1</v>
      </c>
      <c r="O917" s="8">
        <f>+Tabla1[[#This Row],[Conversión]]*Tabla1[[#This Row],[Cantidad]]</f>
        <v>32</v>
      </c>
      <c r="P917" s="43">
        <f>Tabla1[[#This Row],[Neto]]-Tabla1[[#This Row],[Costo Venta]]</f>
        <v>1232.5463359999999</v>
      </c>
    </row>
    <row r="918" spans="1:16" x14ac:dyDescent="0.25">
      <c r="A918" s="48">
        <v>45078</v>
      </c>
      <c r="B918" s="1" t="s">
        <v>764</v>
      </c>
      <c r="C918" s="1" t="s">
        <v>81</v>
      </c>
      <c r="D918" s="1" t="s">
        <v>918</v>
      </c>
      <c r="E918" s="1" t="s">
        <v>137</v>
      </c>
      <c r="F918" s="1" t="s">
        <v>919</v>
      </c>
      <c r="G918" s="2">
        <v>280</v>
      </c>
      <c r="H918" s="51" t="s">
        <v>930</v>
      </c>
      <c r="I918" s="44">
        <f>Tabla1[[#This Row],[Descuento]]+Tabla1[[#This Row],[Neto]]</f>
        <v>12600</v>
      </c>
      <c r="J918" s="9">
        <v>3150</v>
      </c>
      <c r="K918" s="9">
        <v>9450</v>
      </c>
      <c r="L918" s="9">
        <v>1586.2588000000001</v>
      </c>
      <c r="M918" s="24">
        <f>+Tabla1[[#This Row],[Costo Venta]]/Tabla1[[#This Row],[Cantidad]]</f>
        <v>5.6652100000000001</v>
      </c>
      <c r="N918" s="3">
        <v>1</v>
      </c>
      <c r="O918" s="8">
        <f>+Tabla1[[#This Row],[Conversión]]*Tabla1[[#This Row],[Cantidad]]</f>
        <v>280</v>
      </c>
      <c r="P918" s="43">
        <f>Tabla1[[#This Row],[Neto]]-Tabla1[[#This Row],[Costo Venta]]</f>
        <v>7863.7412000000004</v>
      </c>
    </row>
    <row r="919" spans="1:16" x14ac:dyDescent="0.25">
      <c r="A919" s="48">
        <v>45124</v>
      </c>
      <c r="B919" s="1" t="s">
        <v>764</v>
      </c>
      <c r="C919" s="1" t="s">
        <v>81</v>
      </c>
      <c r="D919" s="1" t="s">
        <v>212</v>
      </c>
      <c r="E919" s="1" t="s">
        <v>71</v>
      </c>
      <c r="F919" s="1" t="s">
        <v>213</v>
      </c>
      <c r="G919" s="2">
        <v>27</v>
      </c>
      <c r="H919" s="51" t="s">
        <v>930</v>
      </c>
      <c r="I919" s="44">
        <f>Tabla1[[#This Row],[Descuento]]+Tabla1[[#This Row],[Neto]]</f>
        <v>1215</v>
      </c>
      <c r="J919" s="9">
        <v>60.75</v>
      </c>
      <c r="K919" s="9">
        <v>1154.25</v>
      </c>
      <c r="L919" s="9">
        <v>156.49199999999999</v>
      </c>
      <c r="M919" s="24">
        <f>+Tabla1[[#This Row],[Costo Venta]]/Tabla1[[#This Row],[Cantidad]]</f>
        <v>5.7959999999999994</v>
      </c>
      <c r="N919" s="3">
        <v>1</v>
      </c>
      <c r="O919" s="8">
        <f>+Tabla1[[#This Row],[Conversión]]*Tabla1[[#This Row],[Cantidad]]</f>
        <v>27</v>
      </c>
      <c r="P919" s="43">
        <f>Tabla1[[#This Row],[Neto]]-Tabla1[[#This Row],[Costo Venta]]</f>
        <v>997.75800000000004</v>
      </c>
    </row>
    <row r="920" spans="1:16" x14ac:dyDescent="0.25">
      <c r="A920" s="48">
        <v>45147</v>
      </c>
      <c r="B920" s="1" t="s">
        <v>764</v>
      </c>
      <c r="C920" s="1" t="s">
        <v>109</v>
      </c>
      <c r="D920" s="1" t="s">
        <v>931</v>
      </c>
      <c r="E920" s="1" t="s">
        <v>67</v>
      </c>
      <c r="F920" s="1" t="s">
        <v>9</v>
      </c>
      <c r="G920" s="2">
        <v>20</v>
      </c>
      <c r="H920" s="51" t="s">
        <v>930</v>
      </c>
      <c r="I920" s="44">
        <f>Tabla1[[#This Row],[Descuento]]+Tabla1[[#This Row],[Neto]]</f>
        <v>900</v>
      </c>
      <c r="J920" s="9">
        <v>315</v>
      </c>
      <c r="K920" s="9">
        <v>585</v>
      </c>
      <c r="L920" s="9">
        <v>109.89012</v>
      </c>
      <c r="M920" s="24">
        <f>+Tabla1[[#This Row],[Costo Venta]]/Tabla1[[#This Row],[Cantidad]]</f>
        <v>5.4945059999999994</v>
      </c>
      <c r="N920" s="3">
        <v>1</v>
      </c>
      <c r="O920" s="8">
        <f>+Tabla1[[#This Row],[Conversión]]*Tabla1[[#This Row],[Cantidad]]</f>
        <v>20</v>
      </c>
      <c r="P920" s="43">
        <f>Tabla1[[#This Row],[Neto]]-Tabla1[[#This Row],[Costo Venta]]</f>
        <v>475.10987999999998</v>
      </c>
    </row>
    <row r="921" spans="1:16" x14ac:dyDescent="0.25">
      <c r="A921" s="48">
        <v>45357</v>
      </c>
      <c r="B921" s="1" t="s">
        <v>764</v>
      </c>
      <c r="C921" s="1" t="s">
        <v>81</v>
      </c>
      <c r="D921" s="1" t="s">
        <v>298</v>
      </c>
      <c r="E921" s="1" t="s">
        <v>71</v>
      </c>
      <c r="F921" s="1" t="s">
        <v>297</v>
      </c>
      <c r="G921" s="2">
        <v>13</v>
      </c>
      <c r="H921" s="51" t="s">
        <v>930</v>
      </c>
      <c r="I921" s="44">
        <f>Tabla1[[#This Row],[Descuento]]+Tabla1[[#This Row],[Neto]]</f>
        <v>590.72199999999998</v>
      </c>
      <c r="J921" s="9">
        <v>59.072000000000003</v>
      </c>
      <c r="K921" s="9">
        <v>531.65</v>
      </c>
      <c r="L921" s="9">
        <v>70.772390000000001</v>
      </c>
      <c r="M921" s="24">
        <f>+Tabla1[[#This Row],[Costo Venta]]/Tabla1[[#This Row],[Cantidad]]</f>
        <v>5.4440299999999997</v>
      </c>
      <c r="N921" s="3">
        <v>1</v>
      </c>
      <c r="O921" s="8">
        <f>+Tabla1[[#This Row],[Conversión]]*Tabla1[[#This Row],[Cantidad]]</f>
        <v>13</v>
      </c>
      <c r="P921" s="43">
        <f>Tabla1[[#This Row],[Neto]]-Tabla1[[#This Row],[Costo Venta]]</f>
        <v>460.87761</v>
      </c>
    </row>
    <row r="922" spans="1:16" x14ac:dyDescent="0.25">
      <c r="A922" s="48">
        <v>45357</v>
      </c>
      <c r="B922" s="1" t="s">
        <v>764</v>
      </c>
      <c r="C922" s="1" t="s">
        <v>81</v>
      </c>
      <c r="D922" s="1" t="s">
        <v>296</v>
      </c>
      <c r="E922" s="1" t="s">
        <v>71</v>
      </c>
      <c r="F922" s="1" t="s">
        <v>297</v>
      </c>
      <c r="G922" s="2">
        <v>17</v>
      </c>
      <c r="H922" s="51" t="s">
        <v>930</v>
      </c>
      <c r="I922" s="44">
        <f>Tabla1[[#This Row],[Descuento]]+Tabla1[[#This Row],[Neto]]</f>
        <v>772.47800000000007</v>
      </c>
      <c r="J922" s="9">
        <v>77.248000000000005</v>
      </c>
      <c r="K922" s="9">
        <v>695.23</v>
      </c>
      <c r="L922" s="9">
        <v>92.548509999999993</v>
      </c>
      <c r="M922" s="24">
        <f>+Tabla1[[#This Row],[Costo Venta]]/Tabla1[[#This Row],[Cantidad]]</f>
        <v>5.4440299999999997</v>
      </c>
      <c r="N922" s="3">
        <v>1</v>
      </c>
      <c r="O922" s="8">
        <f>+Tabla1[[#This Row],[Conversión]]*Tabla1[[#This Row],[Cantidad]]</f>
        <v>17</v>
      </c>
      <c r="P922" s="43">
        <f>Tabla1[[#This Row],[Neto]]-Tabla1[[#This Row],[Costo Venta]]</f>
        <v>602.68149000000005</v>
      </c>
    </row>
    <row r="923" spans="1:16" x14ac:dyDescent="0.25">
      <c r="A923" s="48">
        <v>45567</v>
      </c>
      <c r="B923" s="1" t="s">
        <v>764</v>
      </c>
      <c r="C923" s="1" t="s">
        <v>65</v>
      </c>
      <c r="D923" s="1" t="s">
        <v>932</v>
      </c>
      <c r="E923" s="1" t="s">
        <v>67</v>
      </c>
      <c r="F923" s="1" t="s">
        <v>20</v>
      </c>
      <c r="G923" s="2">
        <v>26</v>
      </c>
      <c r="H923" s="51" t="s">
        <v>930</v>
      </c>
      <c r="I923" s="44">
        <f>Tabla1[[#This Row],[Descuento]]+Tabla1[[#This Row],[Neto]]</f>
        <v>1010.878</v>
      </c>
      <c r="J923" s="9">
        <v>353.80799999999999</v>
      </c>
      <c r="K923" s="9">
        <v>657.07</v>
      </c>
      <c r="L923" s="9">
        <v>139.94588400000001</v>
      </c>
      <c r="M923" s="24">
        <f>+Tabla1[[#This Row],[Costo Venta]]/Tabla1[[#This Row],[Cantidad]]</f>
        <v>5.3825340000000006</v>
      </c>
      <c r="N923" s="3">
        <v>1</v>
      </c>
      <c r="O923" s="8">
        <f>+Tabla1[[#This Row],[Conversión]]*Tabla1[[#This Row],[Cantidad]]</f>
        <v>26</v>
      </c>
      <c r="P923" s="43">
        <f>Tabla1[[#This Row],[Neto]]-Tabla1[[#This Row],[Costo Venta]]</f>
        <v>517.12411600000007</v>
      </c>
    </row>
    <row r="924" spans="1:16" x14ac:dyDescent="0.25">
      <c r="A924" s="48">
        <v>45615</v>
      </c>
      <c r="B924" s="1" t="s">
        <v>764</v>
      </c>
      <c r="C924" s="1" t="s">
        <v>65</v>
      </c>
      <c r="D924" s="1" t="s">
        <v>933</v>
      </c>
      <c r="E924" s="1" t="s">
        <v>67</v>
      </c>
      <c r="F924" s="1" t="s">
        <v>20</v>
      </c>
      <c r="G924" s="2">
        <v>30</v>
      </c>
      <c r="H924" s="51" t="s">
        <v>930</v>
      </c>
      <c r="I924" s="44">
        <f>Tabla1[[#This Row],[Descuento]]+Tabla1[[#This Row],[Neto]]</f>
        <v>1166.4000000000001</v>
      </c>
      <c r="J924" s="9">
        <v>408.24</v>
      </c>
      <c r="K924" s="9">
        <v>758.16</v>
      </c>
      <c r="L924" s="9">
        <v>161.05113</v>
      </c>
      <c r="M924" s="24">
        <f>+Tabla1[[#This Row],[Costo Venta]]/Tabla1[[#This Row],[Cantidad]]</f>
        <v>5.3683709999999998</v>
      </c>
      <c r="N924" s="3">
        <v>1</v>
      </c>
      <c r="O924" s="8">
        <f>+Tabla1[[#This Row],[Conversión]]*Tabla1[[#This Row],[Cantidad]]</f>
        <v>30</v>
      </c>
      <c r="P924" s="43">
        <f>Tabla1[[#This Row],[Neto]]-Tabla1[[#This Row],[Costo Venta]]</f>
        <v>597.10887000000002</v>
      </c>
    </row>
    <row r="925" spans="1:16" x14ac:dyDescent="0.25">
      <c r="A925" s="48">
        <v>45685</v>
      </c>
      <c r="B925" s="1" t="s">
        <v>764</v>
      </c>
      <c r="C925" s="1" t="s">
        <v>65</v>
      </c>
      <c r="D925" s="1" t="s">
        <v>367</v>
      </c>
      <c r="E925" s="1" t="s">
        <v>67</v>
      </c>
      <c r="F925" s="1" t="s">
        <v>43</v>
      </c>
      <c r="G925" s="2">
        <v>2</v>
      </c>
      <c r="H925" s="51" t="s">
        <v>930</v>
      </c>
      <c r="I925" s="44">
        <f>Tabla1[[#This Row],[Descuento]]+Tabla1[[#This Row],[Neto]]</f>
        <v>77.757999999999996</v>
      </c>
      <c r="J925" s="9">
        <v>23.327999999999999</v>
      </c>
      <c r="K925" s="9">
        <v>54.43</v>
      </c>
      <c r="L925" s="9">
        <v>10.736742</v>
      </c>
      <c r="M925" s="24">
        <f>+Tabla1[[#This Row],[Costo Venta]]/Tabla1[[#This Row],[Cantidad]]</f>
        <v>5.3683709999999998</v>
      </c>
      <c r="N925" s="3">
        <v>1</v>
      </c>
      <c r="O925" s="8">
        <f>+Tabla1[[#This Row],[Conversión]]*Tabla1[[#This Row],[Cantidad]]</f>
        <v>2</v>
      </c>
      <c r="P925" s="43">
        <f>Tabla1[[#This Row],[Neto]]-Tabla1[[#This Row],[Costo Venta]]</f>
        <v>43.693258</v>
      </c>
    </row>
    <row r="926" spans="1:16" x14ac:dyDescent="0.25">
      <c r="A926" s="48">
        <v>45706</v>
      </c>
      <c r="B926" s="1" t="s">
        <v>764</v>
      </c>
      <c r="C926" s="1" t="s">
        <v>65</v>
      </c>
      <c r="D926" s="1" t="s">
        <v>934</v>
      </c>
      <c r="E926" s="1" t="s">
        <v>67</v>
      </c>
      <c r="F926" s="1" t="s">
        <v>20</v>
      </c>
      <c r="G926" s="2">
        <v>17</v>
      </c>
      <c r="H926" s="51" t="s">
        <v>930</v>
      </c>
      <c r="I926" s="44">
        <f>Tabla1[[#This Row],[Descuento]]+Tabla1[[#This Row],[Neto]]</f>
        <v>660.95800000000008</v>
      </c>
      <c r="J926" s="9">
        <v>198.28800000000001</v>
      </c>
      <c r="K926" s="9">
        <v>462.67</v>
      </c>
      <c r="L926" s="9">
        <v>93.133377999999993</v>
      </c>
      <c r="M926" s="24">
        <f>+Tabla1[[#This Row],[Costo Venta]]/Tabla1[[#This Row],[Cantidad]]</f>
        <v>5.478434</v>
      </c>
      <c r="N926" s="3">
        <v>1</v>
      </c>
      <c r="O926" s="8">
        <f>+Tabla1[[#This Row],[Conversión]]*Tabla1[[#This Row],[Cantidad]]</f>
        <v>17</v>
      </c>
      <c r="P926" s="43">
        <f>Tabla1[[#This Row],[Neto]]-Tabla1[[#This Row],[Costo Venta]]</f>
        <v>369.53662200000002</v>
      </c>
    </row>
    <row r="927" spans="1:16" x14ac:dyDescent="0.25">
      <c r="A927" s="48">
        <v>45706</v>
      </c>
      <c r="B927" s="1" t="s">
        <v>764</v>
      </c>
      <c r="C927" s="1" t="s">
        <v>65</v>
      </c>
      <c r="D927" s="1" t="s">
        <v>935</v>
      </c>
      <c r="E927" s="1" t="s">
        <v>67</v>
      </c>
      <c r="F927" s="1" t="s">
        <v>20</v>
      </c>
      <c r="G927" s="2">
        <v>6</v>
      </c>
      <c r="H927" s="51" t="s">
        <v>930</v>
      </c>
      <c r="I927" s="44">
        <f>Tabla1[[#This Row],[Descuento]]+Tabla1[[#This Row],[Neto]]</f>
        <v>233.28399999999999</v>
      </c>
      <c r="J927" s="9">
        <v>69.983999999999995</v>
      </c>
      <c r="K927" s="9">
        <v>163.30000000000001</v>
      </c>
      <c r="L927" s="9">
        <v>32.870604</v>
      </c>
      <c r="M927" s="24">
        <f>+Tabla1[[#This Row],[Costo Venta]]/Tabla1[[#This Row],[Cantidad]]</f>
        <v>5.478434</v>
      </c>
      <c r="N927" s="3">
        <v>1</v>
      </c>
      <c r="O927" s="8">
        <f>+Tabla1[[#This Row],[Conversión]]*Tabla1[[#This Row],[Cantidad]]</f>
        <v>6</v>
      </c>
      <c r="P927" s="43">
        <f>Tabla1[[#This Row],[Neto]]-Tabla1[[#This Row],[Costo Venta]]</f>
        <v>130.429396</v>
      </c>
    </row>
    <row r="928" spans="1:16" x14ac:dyDescent="0.25">
      <c r="A928" s="48">
        <v>45756</v>
      </c>
      <c r="B928" s="1" t="s">
        <v>764</v>
      </c>
      <c r="C928" s="1" t="s">
        <v>65</v>
      </c>
      <c r="D928" s="1" t="s">
        <v>573</v>
      </c>
      <c r="E928" s="1" t="s">
        <v>67</v>
      </c>
      <c r="F928" s="1" t="s">
        <v>20</v>
      </c>
      <c r="G928" s="2">
        <v>37</v>
      </c>
      <c r="H928" s="51" t="s">
        <v>930</v>
      </c>
      <c r="I928" s="44">
        <f>Tabla1[[#This Row],[Descuento]]+Tabla1[[#This Row],[Neto]]</f>
        <v>1438.558</v>
      </c>
      <c r="J928" s="9">
        <v>431.56799999999998</v>
      </c>
      <c r="K928" s="9">
        <v>1006.99</v>
      </c>
      <c r="L928" s="9">
        <v>179.469684</v>
      </c>
      <c r="M928" s="24">
        <f>+Tabla1[[#This Row],[Costo Venta]]/Tabla1[[#This Row],[Cantidad]]</f>
        <v>4.8505320000000003</v>
      </c>
      <c r="N928" s="3">
        <v>1</v>
      </c>
      <c r="O928" s="8">
        <f>+Tabla1[[#This Row],[Conversión]]*Tabla1[[#This Row],[Cantidad]]</f>
        <v>37</v>
      </c>
      <c r="P928" s="43">
        <f>Tabla1[[#This Row],[Neto]]-Tabla1[[#This Row],[Costo Venta]]</f>
        <v>827.52031599999998</v>
      </c>
    </row>
    <row r="929" spans="1:16" x14ac:dyDescent="0.25">
      <c r="A929" s="48">
        <v>45772</v>
      </c>
      <c r="B929" s="1" t="s">
        <v>764</v>
      </c>
      <c r="C929" s="1" t="s">
        <v>65</v>
      </c>
      <c r="D929" s="1" t="s">
        <v>936</v>
      </c>
      <c r="E929" s="1" t="s">
        <v>67</v>
      </c>
      <c r="F929" s="1" t="s">
        <v>20</v>
      </c>
      <c r="G929" s="2">
        <v>37</v>
      </c>
      <c r="H929" s="51" t="s">
        <v>930</v>
      </c>
      <c r="I929" s="44">
        <f>Tabla1[[#This Row],[Descuento]]+Tabla1[[#This Row],[Neto]]</f>
        <v>1438.558</v>
      </c>
      <c r="J929" s="9">
        <v>431.56799999999998</v>
      </c>
      <c r="K929" s="9">
        <v>1006.99</v>
      </c>
      <c r="L929" s="9">
        <v>173.91121100000001</v>
      </c>
      <c r="M929" s="24">
        <f>+Tabla1[[#This Row],[Costo Venta]]/Tabla1[[#This Row],[Cantidad]]</f>
        <v>4.7003029999999999</v>
      </c>
      <c r="N929" s="3">
        <v>1</v>
      </c>
      <c r="O929" s="8">
        <f>+Tabla1[[#This Row],[Conversión]]*Tabla1[[#This Row],[Cantidad]]</f>
        <v>37</v>
      </c>
      <c r="P929" s="43">
        <f>Tabla1[[#This Row],[Neto]]-Tabla1[[#This Row],[Costo Venta]]</f>
        <v>833.07878900000003</v>
      </c>
    </row>
    <row r="930" spans="1:16" x14ac:dyDescent="0.25">
      <c r="A930" s="48">
        <v>44942</v>
      </c>
      <c r="B930" s="1" t="s">
        <v>764</v>
      </c>
      <c r="C930" s="1" t="s">
        <v>65</v>
      </c>
      <c r="D930" s="1" t="s">
        <v>937</v>
      </c>
      <c r="E930" s="1" t="s">
        <v>132</v>
      </c>
      <c r="F930" s="1" t="s">
        <v>938</v>
      </c>
      <c r="G930" s="2">
        <v>11</v>
      </c>
      <c r="H930" s="1" t="s">
        <v>939</v>
      </c>
      <c r="I930" s="44">
        <f>Tabla1[[#This Row],[Descuento]]+Tabla1[[#This Row],[Neto]]</f>
        <v>495</v>
      </c>
      <c r="J930" s="9">
        <v>24.75</v>
      </c>
      <c r="K930" s="9">
        <v>470.25</v>
      </c>
      <c r="L930" s="9">
        <v>102.52</v>
      </c>
      <c r="M930" s="24">
        <f>+Tabla1[[#This Row],[Costo Venta]]/Tabla1[[#This Row],[Cantidad]]</f>
        <v>9.32</v>
      </c>
      <c r="N930" s="3">
        <v>1</v>
      </c>
      <c r="O930" s="8">
        <f>+Tabla1[[#This Row],[Conversión]]*Tabla1[[#This Row],[Cantidad]]</f>
        <v>11</v>
      </c>
      <c r="P930" s="43">
        <f>Tabla1[[#This Row],[Neto]]-Tabla1[[#This Row],[Costo Venta]]</f>
        <v>367.73</v>
      </c>
    </row>
    <row r="931" spans="1:16" x14ac:dyDescent="0.25">
      <c r="A931" s="48">
        <v>45351</v>
      </c>
      <c r="B931" s="1" t="s">
        <v>764</v>
      </c>
      <c r="C931" s="1" t="s">
        <v>29</v>
      </c>
      <c r="D931" s="1" t="s">
        <v>940</v>
      </c>
      <c r="E931" s="1" t="s">
        <v>71</v>
      </c>
      <c r="F931" s="1" t="s">
        <v>941</v>
      </c>
      <c r="G931" s="2">
        <v>2.88</v>
      </c>
      <c r="H931" s="1" t="s">
        <v>939</v>
      </c>
      <c r="I931" s="44">
        <f>Tabla1[[#This Row],[Descuento]]+Tabla1[[#This Row],[Neto]]</f>
        <v>137.4</v>
      </c>
      <c r="J931" s="9">
        <v>0</v>
      </c>
      <c r="K931" s="9">
        <v>137.4</v>
      </c>
      <c r="L931" s="9">
        <v>23.160000960000001</v>
      </c>
      <c r="M931" s="24">
        <f>+Tabla1[[#This Row],[Costo Venta]]/Tabla1[[#This Row],[Cantidad]]</f>
        <v>8.0416670000000003</v>
      </c>
      <c r="N931" s="3">
        <v>1</v>
      </c>
      <c r="O931" s="8">
        <f>+Tabla1[[#This Row],[Conversión]]*Tabla1[[#This Row],[Cantidad]]</f>
        <v>2.88</v>
      </c>
      <c r="P931" s="43">
        <f>Tabla1[[#This Row],[Neto]]-Tabla1[[#This Row],[Costo Venta]]</f>
        <v>114.23999904</v>
      </c>
    </row>
    <row r="932" spans="1:16" x14ac:dyDescent="0.25">
      <c r="A932" s="48">
        <v>45615</v>
      </c>
      <c r="B932" s="1" t="s">
        <v>764</v>
      </c>
      <c r="C932" s="1" t="s">
        <v>65</v>
      </c>
      <c r="D932" s="1" t="s">
        <v>933</v>
      </c>
      <c r="E932" s="1" t="s">
        <v>67</v>
      </c>
      <c r="F932" s="1" t="s">
        <v>20</v>
      </c>
      <c r="G932" s="2">
        <v>2.8</v>
      </c>
      <c r="H932" s="1" t="s">
        <v>939</v>
      </c>
      <c r="I932" s="44">
        <f>Tabla1[[#This Row],[Descuento]]+Tabla1[[#This Row],[Neto]]</f>
        <v>108.86240000000001</v>
      </c>
      <c r="J932" s="9">
        <v>38.102400000000003</v>
      </c>
      <c r="K932" s="9">
        <v>70.760000000000005</v>
      </c>
      <c r="L932" s="9">
        <v>20.344366000000001</v>
      </c>
      <c r="M932" s="24">
        <f>+Tabla1[[#This Row],[Costo Venta]]/Tabla1[[#This Row],[Cantidad]]</f>
        <v>7.2658450000000006</v>
      </c>
      <c r="N932" s="3">
        <v>1</v>
      </c>
      <c r="O932" s="8">
        <f>+Tabla1[[#This Row],[Conversión]]*Tabla1[[#This Row],[Cantidad]]</f>
        <v>2.8</v>
      </c>
      <c r="P932" s="43">
        <f>Tabla1[[#This Row],[Neto]]-Tabla1[[#This Row],[Costo Venta]]</f>
        <v>50.415634000000004</v>
      </c>
    </row>
    <row r="933" spans="1:16" x14ac:dyDescent="0.25">
      <c r="A933" s="48">
        <v>45638</v>
      </c>
      <c r="B933" s="1" t="s">
        <v>764</v>
      </c>
      <c r="C933" s="1" t="s">
        <v>65</v>
      </c>
      <c r="D933" s="1" t="s">
        <v>942</v>
      </c>
      <c r="E933" s="1" t="s">
        <v>67</v>
      </c>
      <c r="F933" s="1" t="s">
        <v>9</v>
      </c>
      <c r="G933" s="2">
        <v>4</v>
      </c>
      <c r="H933" s="1" t="s">
        <v>939</v>
      </c>
      <c r="I933" s="44">
        <f>Tabla1[[#This Row],[Descuento]]+Tabla1[[#This Row],[Neto]]</f>
        <v>155.524</v>
      </c>
      <c r="J933" s="9">
        <v>69.983999999999995</v>
      </c>
      <c r="K933" s="9">
        <v>85.54</v>
      </c>
      <c r="L933" s="9">
        <v>29.063379999999999</v>
      </c>
      <c r="M933" s="24">
        <f>+Tabla1[[#This Row],[Costo Venta]]/Tabla1[[#This Row],[Cantidad]]</f>
        <v>7.2658449999999997</v>
      </c>
      <c r="N933" s="3">
        <v>1</v>
      </c>
      <c r="O933" s="8">
        <f>+Tabla1[[#This Row],[Conversión]]*Tabla1[[#This Row],[Cantidad]]</f>
        <v>4</v>
      </c>
      <c r="P933" s="43">
        <f>Tabla1[[#This Row],[Neto]]-Tabla1[[#This Row],[Costo Venta]]</f>
        <v>56.476620000000011</v>
      </c>
    </row>
    <row r="934" spans="1:16" x14ac:dyDescent="0.25">
      <c r="A934" s="48">
        <v>45034</v>
      </c>
      <c r="B934" s="1" t="s">
        <v>764</v>
      </c>
      <c r="C934" s="1" t="s">
        <v>109</v>
      </c>
      <c r="D934" s="1" t="s">
        <v>943</v>
      </c>
      <c r="E934" s="1" t="s">
        <v>67</v>
      </c>
      <c r="F934" s="1" t="s">
        <v>9</v>
      </c>
      <c r="G934" s="2">
        <v>6</v>
      </c>
      <c r="H934" s="51" t="s">
        <v>944</v>
      </c>
      <c r="I934" s="44">
        <f>Tabla1[[#This Row],[Descuento]]+Tabla1[[#This Row],[Neto]]</f>
        <v>270</v>
      </c>
      <c r="J934" s="9">
        <v>94.5</v>
      </c>
      <c r="K934" s="9">
        <v>175.5</v>
      </c>
      <c r="L934" s="9">
        <v>15.768882</v>
      </c>
      <c r="M934" s="24">
        <f>+Tabla1[[#This Row],[Costo Venta]]/Tabla1[[#This Row],[Cantidad]]</f>
        <v>2.6281469999999998</v>
      </c>
      <c r="N934" s="3">
        <v>1</v>
      </c>
      <c r="O934" s="8">
        <f>+Tabla1[[#This Row],[Conversión]]*Tabla1[[#This Row],[Cantidad]]</f>
        <v>6</v>
      </c>
      <c r="P934" s="43">
        <f>Tabla1[[#This Row],[Neto]]-Tabla1[[#This Row],[Costo Venta]]</f>
        <v>159.73111800000001</v>
      </c>
    </row>
    <row r="935" spans="1:16" x14ac:dyDescent="0.25">
      <c r="A935" s="48">
        <v>45204</v>
      </c>
      <c r="B935" s="1" t="s">
        <v>764</v>
      </c>
      <c r="C935" s="1" t="s">
        <v>81</v>
      </c>
      <c r="D935" s="1" t="s">
        <v>945</v>
      </c>
      <c r="E935" s="1" t="s">
        <v>67</v>
      </c>
      <c r="F935" s="1" t="s">
        <v>20</v>
      </c>
      <c r="G935" s="2">
        <v>36</v>
      </c>
      <c r="H935" s="51" t="s">
        <v>944</v>
      </c>
      <c r="I935" s="44">
        <f>Tabla1[[#This Row],[Descuento]]+Tabla1[[#This Row],[Neto]]</f>
        <v>1635.8440000000001</v>
      </c>
      <c r="J935" s="9">
        <v>572.54399999999998</v>
      </c>
      <c r="K935" s="9">
        <v>1063.3</v>
      </c>
      <c r="L935" s="9">
        <v>124.17778800000001</v>
      </c>
      <c r="M935" s="24">
        <f>+Tabla1[[#This Row],[Costo Venta]]/Tabla1[[#This Row],[Cantidad]]</f>
        <v>3.4493830000000001</v>
      </c>
      <c r="N935" s="3">
        <v>1</v>
      </c>
      <c r="O935" s="8">
        <f>+Tabla1[[#This Row],[Conversión]]*Tabla1[[#This Row],[Cantidad]]</f>
        <v>36</v>
      </c>
      <c r="P935" s="43">
        <f>Tabla1[[#This Row],[Neto]]-Tabla1[[#This Row],[Costo Venta]]</f>
        <v>939.12221199999999</v>
      </c>
    </row>
    <row r="936" spans="1:16" x14ac:dyDescent="0.25">
      <c r="A936" s="48">
        <v>45306</v>
      </c>
      <c r="B936" s="1" t="s">
        <v>764</v>
      </c>
      <c r="C936" s="1" t="s">
        <v>81</v>
      </c>
      <c r="D936" s="1" t="s">
        <v>946</v>
      </c>
      <c r="E936" s="1" t="s">
        <v>67</v>
      </c>
      <c r="F936" s="1" t="s">
        <v>20</v>
      </c>
      <c r="G936" s="2">
        <v>38</v>
      </c>
      <c r="H936" s="51" t="s">
        <v>944</v>
      </c>
      <c r="I936" s="44">
        <f>Tabla1[[#This Row],[Descuento]]+Tabla1[[#This Row],[Neto]]</f>
        <v>1726.7219999999998</v>
      </c>
      <c r="J936" s="9">
        <v>604.35199999999998</v>
      </c>
      <c r="K936" s="9">
        <v>1122.3699999999999</v>
      </c>
      <c r="L936" s="9">
        <v>139.321946</v>
      </c>
      <c r="M936" s="24">
        <f>+Tabla1[[#This Row],[Costo Venta]]/Tabla1[[#This Row],[Cantidad]]</f>
        <v>3.6663669999999997</v>
      </c>
      <c r="N936" s="3">
        <v>1</v>
      </c>
      <c r="O936" s="8">
        <f>+Tabla1[[#This Row],[Conversión]]*Tabla1[[#This Row],[Cantidad]]</f>
        <v>38</v>
      </c>
      <c r="P936" s="43">
        <f>Tabla1[[#This Row],[Neto]]-Tabla1[[#This Row],[Costo Venta]]</f>
        <v>983.04805399999987</v>
      </c>
    </row>
    <row r="937" spans="1:16" x14ac:dyDescent="0.25">
      <c r="A937" s="48">
        <v>45329</v>
      </c>
      <c r="B937" s="1" t="s">
        <v>764</v>
      </c>
      <c r="C937" s="1" t="s">
        <v>81</v>
      </c>
      <c r="D937" s="1" t="s">
        <v>947</v>
      </c>
      <c r="E937" s="1" t="s">
        <v>67</v>
      </c>
      <c r="F937" s="1" t="s">
        <v>20</v>
      </c>
      <c r="G937" s="2">
        <v>29</v>
      </c>
      <c r="H937" s="51" t="s">
        <v>944</v>
      </c>
      <c r="I937" s="44">
        <f>Tabla1[[#This Row],[Descuento]]+Tabla1[[#This Row],[Neto]]</f>
        <v>1317.7559999999999</v>
      </c>
      <c r="J937" s="9">
        <v>461.21600000000001</v>
      </c>
      <c r="K937" s="9">
        <v>856.54</v>
      </c>
      <c r="L937" s="9">
        <v>101.665097</v>
      </c>
      <c r="M937" s="24">
        <f>+Tabla1[[#This Row],[Costo Venta]]/Tabla1[[#This Row],[Cantidad]]</f>
        <v>3.5056929999999999</v>
      </c>
      <c r="N937" s="3">
        <v>1</v>
      </c>
      <c r="O937" s="8">
        <f>+Tabla1[[#This Row],[Conversión]]*Tabla1[[#This Row],[Cantidad]]</f>
        <v>29</v>
      </c>
      <c r="P937" s="43">
        <f>Tabla1[[#This Row],[Neto]]-Tabla1[[#This Row],[Costo Venta]]</f>
        <v>754.8749029999999</v>
      </c>
    </row>
    <row r="938" spans="1:16" x14ac:dyDescent="0.25">
      <c r="A938" s="48">
        <v>45457</v>
      </c>
      <c r="B938" s="1" t="s">
        <v>764</v>
      </c>
      <c r="C938" s="1" t="s">
        <v>81</v>
      </c>
      <c r="D938" s="1" t="s">
        <v>948</v>
      </c>
      <c r="E938" s="1" t="s">
        <v>67</v>
      </c>
      <c r="F938" s="1" t="s">
        <v>20</v>
      </c>
      <c r="G938" s="2">
        <v>38</v>
      </c>
      <c r="H938" s="51" t="s">
        <v>944</v>
      </c>
      <c r="I938" s="44">
        <f>Tabla1[[#This Row],[Descuento]]+Tabla1[[#This Row],[Neto]]</f>
        <v>1477.444</v>
      </c>
      <c r="J938" s="9">
        <v>517.10400000000004</v>
      </c>
      <c r="K938" s="9">
        <v>960.34</v>
      </c>
      <c r="L938" s="9">
        <v>117.95317799999999</v>
      </c>
      <c r="M938" s="24">
        <f>+Tabla1[[#This Row],[Costo Venta]]/Tabla1[[#This Row],[Cantidad]]</f>
        <v>3.104031</v>
      </c>
      <c r="N938" s="3">
        <v>1</v>
      </c>
      <c r="O938" s="8">
        <f>+Tabla1[[#This Row],[Conversión]]*Tabla1[[#This Row],[Cantidad]]</f>
        <v>38</v>
      </c>
      <c r="P938" s="43">
        <f>Tabla1[[#This Row],[Neto]]-Tabla1[[#This Row],[Costo Venta]]</f>
        <v>842.38682200000005</v>
      </c>
    </row>
    <row r="939" spans="1:16" x14ac:dyDescent="0.25">
      <c r="A939" s="48">
        <v>45561</v>
      </c>
      <c r="B939" s="1" t="s">
        <v>764</v>
      </c>
      <c r="C939" s="1" t="s">
        <v>65</v>
      </c>
      <c r="D939" s="1" t="s">
        <v>949</v>
      </c>
      <c r="E939" s="1" t="s">
        <v>67</v>
      </c>
      <c r="F939" s="1" t="s">
        <v>20</v>
      </c>
      <c r="G939" s="2">
        <v>9</v>
      </c>
      <c r="H939" s="51" t="s">
        <v>944</v>
      </c>
      <c r="I939" s="44">
        <f>Tabla1[[#This Row],[Descuento]]+Tabla1[[#This Row],[Neto]]</f>
        <v>349.92199999999997</v>
      </c>
      <c r="J939" s="9">
        <v>122.47199999999999</v>
      </c>
      <c r="K939" s="9">
        <v>227.45</v>
      </c>
      <c r="L939" s="9">
        <v>27.368046</v>
      </c>
      <c r="M939" s="24">
        <f>+Tabla1[[#This Row],[Costo Venta]]/Tabla1[[#This Row],[Cantidad]]</f>
        <v>3.0408939999999998</v>
      </c>
      <c r="N939" s="3">
        <v>1</v>
      </c>
      <c r="O939" s="8">
        <f>+Tabla1[[#This Row],[Conversión]]*Tabla1[[#This Row],[Cantidad]]</f>
        <v>9</v>
      </c>
      <c r="P939" s="43">
        <f>Tabla1[[#This Row],[Neto]]-Tabla1[[#This Row],[Costo Venta]]</f>
        <v>200.081954</v>
      </c>
    </row>
    <row r="940" spans="1:16" x14ac:dyDescent="0.25">
      <c r="A940" s="48">
        <v>45685</v>
      </c>
      <c r="B940" s="1" t="s">
        <v>764</v>
      </c>
      <c r="C940" s="1" t="s">
        <v>65</v>
      </c>
      <c r="D940" s="1" t="s">
        <v>366</v>
      </c>
      <c r="E940" s="1" t="s">
        <v>67</v>
      </c>
      <c r="F940" s="1" t="s">
        <v>365</v>
      </c>
      <c r="G940" s="2">
        <v>21</v>
      </c>
      <c r="H940" s="51" t="s">
        <v>944</v>
      </c>
      <c r="I940" s="44">
        <f>Tabla1[[#This Row],[Descuento]]+Tabla1[[#This Row],[Neto]]</f>
        <v>816.48399999999992</v>
      </c>
      <c r="J940" s="9">
        <v>244.94399999999999</v>
      </c>
      <c r="K940" s="9">
        <v>571.54</v>
      </c>
      <c r="L940" s="9">
        <v>64.377116999999998</v>
      </c>
      <c r="M940" s="24">
        <f>+Tabla1[[#This Row],[Costo Venta]]/Tabla1[[#This Row],[Cantidad]]</f>
        <v>3.0655769999999998</v>
      </c>
      <c r="N940" s="3">
        <v>1</v>
      </c>
      <c r="O940" s="8">
        <f>+Tabla1[[#This Row],[Conversión]]*Tabla1[[#This Row],[Cantidad]]</f>
        <v>21</v>
      </c>
      <c r="P940" s="43">
        <f>Tabla1[[#This Row],[Neto]]-Tabla1[[#This Row],[Costo Venta]]</f>
        <v>507.16288299999997</v>
      </c>
    </row>
    <row r="941" spans="1:16" x14ac:dyDescent="0.25">
      <c r="A941" s="48">
        <v>45724</v>
      </c>
      <c r="B941" s="1" t="s">
        <v>764</v>
      </c>
      <c r="C941" s="1" t="s">
        <v>65</v>
      </c>
      <c r="D941" s="1" t="s">
        <v>658</v>
      </c>
      <c r="E941" s="1" t="s">
        <v>71</v>
      </c>
      <c r="F941" s="1" t="s">
        <v>376</v>
      </c>
      <c r="G941" s="2">
        <v>25.6</v>
      </c>
      <c r="H941" s="51" t="s">
        <v>944</v>
      </c>
      <c r="I941" s="44">
        <f>Tabla1[[#This Row],[Descuento]]+Tabla1[[#This Row],[Neto]]</f>
        <v>995.33199999999999</v>
      </c>
      <c r="J941" s="9">
        <v>248.83199999999999</v>
      </c>
      <c r="K941" s="9">
        <v>746.5</v>
      </c>
      <c r="L941" s="9">
        <v>78.478771199999997</v>
      </c>
      <c r="M941" s="24">
        <f>+Tabla1[[#This Row],[Costo Venta]]/Tabla1[[#This Row],[Cantidad]]</f>
        <v>3.0655769999999998</v>
      </c>
      <c r="N941" s="3">
        <v>1</v>
      </c>
      <c r="O941" s="8">
        <f>+Tabla1[[#This Row],[Conversión]]*Tabla1[[#This Row],[Cantidad]]</f>
        <v>25.6</v>
      </c>
      <c r="P941" s="43">
        <f>Tabla1[[#This Row],[Neto]]-Tabla1[[#This Row],[Costo Venta]]</f>
        <v>668.02122880000002</v>
      </c>
    </row>
    <row r="942" spans="1:16" x14ac:dyDescent="0.25">
      <c r="A942" s="48">
        <v>45734</v>
      </c>
      <c r="B942" s="1" t="s">
        <v>764</v>
      </c>
      <c r="C942" s="1" t="s">
        <v>109</v>
      </c>
      <c r="D942" s="1" t="s">
        <v>950</v>
      </c>
      <c r="E942" s="1" t="s">
        <v>67</v>
      </c>
      <c r="F942" s="1" t="s">
        <v>20</v>
      </c>
      <c r="G942" s="2">
        <v>15</v>
      </c>
      <c r="H942" s="51" t="s">
        <v>944</v>
      </c>
      <c r="I942" s="44">
        <f>Tabla1[[#This Row],[Descuento]]+Tabla1[[#This Row],[Neto]]</f>
        <v>583.20000000000005</v>
      </c>
      <c r="J942" s="9">
        <v>174.96</v>
      </c>
      <c r="K942" s="9">
        <v>408.24</v>
      </c>
      <c r="L942" s="9">
        <v>45.671039999999998</v>
      </c>
      <c r="M942" s="24">
        <f>+Tabla1[[#This Row],[Costo Venta]]/Tabla1[[#This Row],[Cantidad]]</f>
        <v>3.0447359999999999</v>
      </c>
      <c r="N942" s="3">
        <v>1</v>
      </c>
      <c r="O942" s="8">
        <f>+Tabla1[[#This Row],[Conversión]]*Tabla1[[#This Row],[Cantidad]]</f>
        <v>15</v>
      </c>
      <c r="P942" s="43">
        <f>Tabla1[[#This Row],[Neto]]-Tabla1[[#This Row],[Costo Venta]]</f>
        <v>362.56896</v>
      </c>
    </row>
    <row r="943" spans="1:16" x14ac:dyDescent="0.25">
      <c r="A943" s="48">
        <v>45782</v>
      </c>
      <c r="B943" s="1" t="s">
        <v>764</v>
      </c>
      <c r="C943" s="1" t="s">
        <v>65</v>
      </c>
      <c r="D943" s="1" t="s">
        <v>375</v>
      </c>
      <c r="E943" s="1" t="s">
        <v>71</v>
      </c>
      <c r="F943" s="1" t="s">
        <v>376</v>
      </c>
      <c r="G943" s="2">
        <v>45</v>
      </c>
      <c r="H943" s="51" t="s">
        <v>944</v>
      </c>
      <c r="I943" s="44">
        <f>Tabla1[[#This Row],[Descuento]]+Tabla1[[#This Row],[Neto]]</f>
        <v>1749.6</v>
      </c>
      <c r="J943" s="9">
        <v>437.4</v>
      </c>
      <c r="K943" s="9">
        <v>1312.2</v>
      </c>
      <c r="L943" s="9">
        <v>132.04354499999999</v>
      </c>
      <c r="M943" s="24">
        <f>+Tabla1[[#This Row],[Costo Venta]]/Tabla1[[#This Row],[Cantidad]]</f>
        <v>2.934301</v>
      </c>
      <c r="N943" s="3">
        <v>1</v>
      </c>
      <c r="O943" s="8">
        <f>+Tabla1[[#This Row],[Conversión]]*Tabla1[[#This Row],[Cantidad]]</f>
        <v>45</v>
      </c>
      <c r="P943" s="43">
        <f>Tabla1[[#This Row],[Neto]]-Tabla1[[#This Row],[Costo Venta]]</f>
        <v>1180.1564550000001</v>
      </c>
    </row>
    <row r="944" spans="1:16" x14ac:dyDescent="0.25">
      <c r="A944" s="48">
        <v>45814</v>
      </c>
      <c r="B944" s="1" t="s">
        <v>764</v>
      </c>
      <c r="C944" s="1" t="s">
        <v>65</v>
      </c>
      <c r="D944" s="1" t="s">
        <v>951</v>
      </c>
      <c r="E944" s="1" t="s">
        <v>67</v>
      </c>
      <c r="F944" s="1" t="s">
        <v>20</v>
      </c>
      <c r="G944" s="2">
        <v>40</v>
      </c>
      <c r="H944" s="51" t="s">
        <v>952</v>
      </c>
      <c r="I944" s="44">
        <f>Tabla1[[#This Row],[Descuento]]+Tabla1[[#This Row],[Neto]]</f>
        <v>1555.2</v>
      </c>
      <c r="J944" s="9">
        <v>466.56</v>
      </c>
      <c r="K944" s="9">
        <v>1088.6400000000001</v>
      </c>
      <c r="L944" s="9">
        <v>113.06196</v>
      </c>
      <c r="M944" s="24">
        <f>+Tabla1[[#This Row],[Costo Venta]]/Tabla1[[#This Row],[Cantidad]]</f>
        <v>2.826549</v>
      </c>
      <c r="N944" s="3">
        <v>1</v>
      </c>
      <c r="O944" s="8">
        <f>+Tabla1[[#This Row],[Conversión]]*Tabla1[[#This Row],[Cantidad]]</f>
        <v>40</v>
      </c>
      <c r="P944" s="43">
        <f>Tabla1[[#This Row],[Neto]]-Tabla1[[#This Row],[Costo Venta]]</f>
        <v>975.5780400000001</v>
      </c>
    </row>
    <row r="945" spans="1:16" x14ac:dyDescent="0.25">
      <c r="A945" s="48">
        <v>45814</v>
      </c>
      <c r="B945" s="1" t="s">
        <v>764</v>
      </c>
      <c r="C945" s="1" t="s">
        <v>65</v>
      </c>
      <c r="D945" s="1" t="s">
        <v>953</v>
      </c>
      <c r="E945" s="1" t="s">
        <v>67</v>
      </c>
      <c r="F945" s="1" t="s">
        <v>20</v>
      </c>
      <c r="G945" s="2">
        <v>6</v>
      </c>
      <c r="H945" s="51" t="s">
        <v>952</v>
      </c>
      <c r="I945" s="44">
        <f>Tabla1[[#This Row],[Descuento]]+Tabla1[[#This Row],[Neto]]</f>
        <v>233.28399999999999</v>
      </c>
      <c r="J945" s="9">
        <v>69.983999999999995</v>
      </c>
      <c r="K945" s="9">
        <v>163.30000000000001</v>
      </c>
      <c r="L945" s="9">
        <v>17.69763</v>
      </c>
      <c r="M945" s="24">
        <f>+Tabla1[[#This Row],[Costo Venta]]/Tabla1[[#This Row],[Cantidad]]</f>
        <v>2.949605</v>
      </c>
      <c r="N945" s="3">
        <v>1</v>
      </c>
      <c r="O945" s="8">
        <f>+Tabla1[[#This Row],[Conversión]]*Tabla1[[#This Row],[Cantidad]]</f>
        <v>6</v>
      </c>
      <c r="P945" s="43">
        <f>Tabla1[[#This Row],[Neto]]-Tabla1[[#This Row],[Costo Venta]]</f>
        <v>145.60237000000001</v>
      </c>
    </row>
    <row r="946" spans="1:16" x14ac:dyDescent="0.25">
      <c r="A946" s="48">
        <v>45855</v>
      </c>
      <c r="B946" s="1" t="s">
        <v>764</v>
      </c>
      <c r="C946" s="1" t="s">
        <v>65</v>
      </c>
      <c r="D946" s="1" t="s">
        <v>954</v>
      </c>
      <c r="E946" s="1" t="s">
        <v>67</v>
      </c>
      <c r="F946" s="1" t="s">
        <v>20</v>
      </c>
      <c r="G946" s="2">
        <v>11</v>
      </c>
      <c r="H946" s="51" t="s">
        <v>952</v>
      </c>
      <c r="I946" s="44">
        <f>Tabla1[[#This Row],[Descuento]]+Tabla1[[#This Row],[Neto]]</f>
        <v>427.68399999999997</v>
      </c>
      <c r="J946" s="9">
        <v>128.304</v>
      </c>
      <c r="K946" s="9">
        <v>299.38</v>
      </c>
      <c r="L946" s="9">
        <v>32.073667999999998</v>
      </c>
      <c r="M946" s="24">
        <f>+Tabla1[[#This Row],[Costo Venta]]/Tabla1[[#This Row],[Cantidad]]</f>
        <v>2.9157879999999996</v>
      </c>
      <c r="N946" s="3">
        <v>1</v>
      </c>
      <c r="O946" s="8">
        <f>+Tabla1[[#This Row],[Conversión]]*Tabla1[[#This Row],[Cantidad]]</f>
        <v>11</v>
      </c>
      <c r="P946" s="43">
        <f>Tabla1[[#This Row],[Neto]]-Tabla1[[#This Row],[Costo Venta]]</f>
        <v>267.306332</v>
      </c>
    </row>
    <row r="947" spans="1:16" x14ac:dyDescent="0.25">
      <c r="A947" s="48">
        <v>45873</v>
      </c>
      <c r="B947" s="1" t="s">
        <v>764</v>
      </c>
      <c r="C947" s="1" t="s">
        <v>65</v>
      </c>
      <c r="D947" s="1" t="s">
        <v>955</v>
      </c>
      <c r="E947" s="1" t="s">
        <v>67</v>
      </c>
      <c r="F947" s="1" t="s">
        <v>20</v>
      </c>
      <c r="G947" s="2">
        <v>2</v>
      </c>
      <c r="H947" s="51" t="s">
        <v>952</v>
      </c>
      <c r="I947" s="44">
        <f>Tabla1[[#This Row],[Descuento]]+Tabla1[[#This Row],[Neto]]</f>
        <v>77.757999999999996</v>
      </c>
      <c r="J947" s="9">
        <v>23.327999999999999</v>
      </c>
      <c r="K947" s="9">
        <v>54.43</v>
      </c>
      <c r="L947" s="9">
        <v>5.8315760000000001</v>
      </c>
      <c r="M947" s="24">
        <f>+Tabla1[[#This Row],[Costo Venta]]/Tabla1[[#This Row],[Cantidad]]</f>
        <v>2.915788</v>
      </c>
      <c r="N947" s="3">
        <v>1</v>
      </c>
      <c r="O947" s="8">
        <f>+Tabla1[[#This Row],[Conversión]]*Tabla1[[#This Row],[Cantidad]]</f>
        <v>2</v>
      </c>
      <c r="P947" s="43">
        <f>Tabla1[[#This Row],[Neto]]-Tabla1[[#This Row],[Costo Venta]]</f>
        <v>48.598424000000001</v>
      </c>
    </row>
    <row r="948" spans="1:16" x14ac:dyDescent="0.25">
      <c r="A948" s="48">
        <v>45182</v>
      </c>
      <c r="B948" s="1" t="s">
        <v>764</v>
      </c>
      <c r="C948" s="1" t="s">
        <v>81</v>
      </c>
      <c r="D948" s="1" t="s">
        <v>956</v>
      </c>
      <c r="E948" s="1" t="s">
        <v>67</v>
      </c>
      <c r="F948" s="1" t="s">
        <v>9</v>
      </c>
      <c r="G948" s="2">
        <v>85</v>
      </c>
      <c r="H948" s="51" t="s">
        <v>957</v>
      </c>
      <c r="I948" s="44">
        <f>Tabla1[[#This Row],[Descuento]]+Tabla1[[#This Row],[Neto]]</f>
        <v>3862.3999999999996</v>
      </c>
      <c r="J948" s="9">
        <v>1351.84</v>
      </c>
      <c r="K948" s="9">
        <v>2510.56</v>
      </c>
      <c r="L948" s="9">
        <v>247.10129000000001</v>
      </c>
      <c r="M948" s="24">
        <f>+Tabla1[[#This Row],[Costo Venta]]/Tabla1[[#This Row],[Cantidad]]</f>
        <v>2.9070740000000002</v>
      </c>
      <c r="N948" s="3">
        <v>1</v>
      </c>
      <c r="O948" s="8">
        <f>+Tabla1[[#This Row],[Conversión]]*Tabla1[[#This Row],[Cantidad]]</f>
        <v>85</v>
      </c>
      <c r="P948" s="43">
        <f>Tabla1[[#This Row],[Neto]]-Tabla1[[#This Row],[Costo Venta]]</f>
        <v>2263.4587099999999</v>
      </c>
    </row>
    <row r="949" spans="1:16" x14ac:dyDescent="0.25">
      <c r="A949" s="48">
        <v>45189</v>
      </c>
      <c r="B949" s="1" t="s">
        <v>764</v>
      </c>
      <c r="C949" s="1" t="s">
        <v>81</v>
      </c>
      <c r="D949" s="1" t="s">
        <v>958</v>
      </c>
      <c r="E949" s="1" t="s">
        <v>67</v>
      </c>
      <c r="F949" s="1" t="s">
        <v>9</v>
      </c>
      <c r="G949" s="2">
        <v>90</v>
      </c>
      <c r="H949" s="51" t="s">
        <v>957</v>
      </c>
      <c r="I949" s="44">
        <f>Tabla1[[#This Row],[Descuento]]+Tabla1[[#This Row],[Neto]]</f>
        <v>4089.5999999999995</v>
      </c>
      <c r="J949" s="9">
        <v>1431.36</v>
      </c>
      <c r="K949" s="9">
        <v>2658.24</v>
      </c>
      <c r="L949" s="9">
        <v>262.39220999999998</v>
      </c>
      <c r="M949" s="24">
        <f>+Tabla1[[#This Row],[Costo Venta]]/Tabla1[[#This Row],[Cantidad]]</f>
        <v>2.9154689999999999</v>
      </c>
      <c r="N949" s="3">
        <v>1</v>
      </c>
      <c r="O949" s="8">
        <f>+Tabla1[[#This Row],[Conversión]]*Tabla1[[#This Row],[Cantidad]]</f>
        <v>90</v>
      </c>
      <c r="P949" s="43">
        <f>Tabla1[[#This Row],[Neto]]-Tabla1[[#This Row],[Costo Venta]]</f>
        <v>2395.8477899999998</v>
      </c>
    </row>
    <row r="950" spans="1:16" x14ac:dyDescent="0.25">
      <c r="A950" s="48">
        <v>45250</v>
      </c>
      <c r="B950" s="1" t="s">
        <v>764</v>
      </c>
      <c r="C950" s="1" t="s">
        <v>81</v>
      </c>
      <c r="D950" s="1" t="s">
        <v>959</v>
      </c>
      <c r="E950" s="1" t="s">
        <v>67</v>
      </c>
      <c r="F950" s="1" t="s">
        <v>9</v>
      </c>
      <c r="G950" s="2">
        <v>50</v>
      </c>
      <c r="H950" s="51" t="s">
        <v>957</v>
      </c>
      <c r="I950" s="44">
        <f>Tabla1[[#This Row],[Descuento]]+Tabla1[[#This Row],[Neto]]</f>
        <v>2272</v>
      </c>
      <c r="J950" s="9">
        <v>795.2</v>
      </c>
      <c r="K950" s="9">
        <v>1476.8</v>
      </c>
      <c r="L950" s="9">
        <v>144.5008</v>
      </c>
      <c r="M950" s="24">
        <f>+Tabla1[[#This Row],[Costo Venta]]/Tabla1[[#This Row],[Cantidad]]</f>
        <v>2.8900160000000001</v>
      </c>
      <c r="N950" s="3">
        <v>1</v>
      </c>
      <c r="O950" s="8">
        <f>+Tabla1[[#This Row],[Conversión]]*Tabla1[[#This Row],[Cantidad]]</f>
        <v>50</v>
      </c>
      <c r="P950" s="43">
        <f>Tabla1[[#This Row],[Neto]]-Tabla1[[#This Row],[Costo Venta]]</f>
        <v>1332.2991999999999</v>
      </c>
    </row>
    <row r="951" spans="1:16" x14ac:dyDescent="0.25">
      <c r="A951" s="48">
        <v>45404</v>
      </c>
      <c r="B951" s="1" t="s">
        <v>764</v>
      </c>
      <c r="C951" s="1" t="s">
        <v>81</v>
      </c>
      <c r="D951" s="1" t="s">
        <v>960</v>
      </c>
      <c r="E951" s="1" t="s">
        <v>71</v>
      </c>
      <c r="F951" s="1" t="s">
        <v>961</v>
      </c>
      <c r="G951" s="2">
        <v>14</v>
      </c>
      <c r="H951" s="51" t="s">
        <v>957</v>
      </c>
      <c r="I951" s="44">
        <f>Tabla1[[#This Row],[Descuento]]+Tabla1[[#This Row],[Neto]]</f>
        <v>544.322</v>
      </c>
      <c r="J951" s="9">
        <v>54.432000000000002</v>
      </c>
      <c r="K951" s="9">
        <v>489.89</v>
      </c>
      <c r="L951" s="9">
        <v>44.287039999999998</v>
      </c>
      <c r="M951" s="24">
        <f>+Tabla1[[#This Row],[Costo Venta]]/Tabla1[[#This Row],[Cantidad]]</f>
        <v>3.1633599999999999</v>
      </c>
      <c r="N951" s="3">
        <v>1</v>
      </c>
      <c r="O951" s="8">
        <f>+Tabla1[[#This Row],[Conversión]]*Tabla1[[#This Row],[Cantidad]]</f>
        <v>14</v>
      </c>
      <c r="P951" s="43">
        <f>Tabla1[[#This Row],[Neto]]-Tabla1[[#This Row],[Costo Venta]]</f>
        <v>445.60296</v>
      </c>
    </row>
    <row r="952" spans="1:16" x14ac:dyDescent="0.25">
      <c r="A952" s="48">
        <v>45456</v>
      </c>
      <c r="B952" s="1" t="s">
        <v>764</v>
      </c>
      <c r="C952" s="1" t="s">
        <v>65</v>
      </c>
      <c r="D952" s="1" t="s">
        <v>962</v>
      </c>
      <c r="E952" s="1" t="s">
        <v>71</v>
      </c>
      <c r="F952" s="1" t="s">
        <v>961</v>
      </c>
      <c r="G952" s="2">
        <v>12</v>
      </c>
      <c r="H952" s="51" t="s">
        <v>957</v>
      </c>
      <c r="I952" s="44">
        <f>Tabla1[[#This Row],[Descuento]]+Tabla1[[#This Row],[Neto]]</f>
        <v>466.56200000000001</v>
      </c>
      <c r="J952" s="9">
        <v>93.311999999999998</v>
      </c>
      <c r="K952" s="9">
        <v>373.25</v>
      </c>
      <c r="L952" s="9">
        <v>37.878731999999999</v>
      </c>
      <c r="M952" s="24">
        <f>+Tabla1[[#This Row],[Costo Venta]]/Tabla1[[#This Row],[Cantidad]]</f>
        <v>3.156561</v>
      </c>
      <c r="N952" s="3">
        <v>1</v>
      </c>
      <c r="O952" s="8">
        <f>+Tabla1[[#This Row],[Conversión]]*Tabla1[[#This Row],[Cantidad]]</f>
        <v>12</v>
      </c>
      <c r="P952" s="43">
        <f>Tabla1[[#This Row],[Neto]]-Tabla1[[#This Row],[Costo Venta]]</f>
        <v>335.37126799999999</v>
      </c>
    </row>
    <row r="953" spans="1:16" x14ac:dyDescent="0.25">
      <c r="A953" s="48">
        <v>45637</v>
      </c>
      <c r="B953" s="1" t="s">
        <v>764</v>
      </c>
      <c r="C953" s="1" t="s">
        <v>65</v>
      </c>
      <c r="D953" s="1" t="s">
        <v>963</v>
      </c>
      <c r="E953" s="1" t="s">
        <v>67</v>
      </c>
      <c r="F953" s="1" t="s">
        <v>9</v>
      </c>
      <c r="G953" s="2">
        <v>41</v>
      </c>
      <c r="H953" s="51" t="s">
        <v>957</v>
      </c>
      <c r="I953" s="44">
        <f>Tabla1[[#This Row],[Descuento]]+Tabla1[[#This Row],[Neto]]</f>
        <v>1594.076</v>
      </c>
      <c r="J953" s="9">
        <v>717.33600000000001</v>
      </c>
      <c r="K953" s="9">
        <v>876.74</v>
      </c>
      <c r="L953" s="9">
        <v>126.389183</v>
      </c>
      <c r="M953" s="24">
        <f>+Tabla1[[#This Row],[Costo Venta]]/Tabla1[[#This Row],[Cantidad]]</f>
        <v>3.0826630000000002</v>
      </c>
      <c r="N953" s="3">
        <v>1</v>
      </c>
      <c r="O953" s="8">
        <f>+Tabla1[[#This Row],[Conversión]]*Tabla1[[#This Row],[Cantidad]]</f>
        <v>41</v>
      </c>
      <c r="P953" s="43">
        <f>Tabla1[[#This Row],[Neto]]-Tabla1[[#This Row],[Costo Venta]]</f>
        <v>750.35081700000001</v>
      </c>
    </row>
    <row r="954" spans="1:16" x14ac:dyDescent="0.25">
      <c r="A954" s="48">
        <v>45638</v>
      </c>
      <c r="B954" s="1" t="s">
        <v>764</v>
      </c>
      <c r="C954" s="1" t="s">
        <v>65</v>
      </c>
      <c r="D954" s="1" t="s">
        <v>964</v>
      </c>
      <c r="E954" s="1" t="s">
        <v>67</v>
      </c>
      <c r="F954" s="1" t="s">
        <v>9</v>
      </c>
      <c r="G954" s="2">
        <v>15</v>
      </c>
      <c r="H954" s="51" t="s">
        <v>957</v>
      </c>
      <c r="I954" s="44">
        <f>Tabla1[[#This Row],[Descuento]]+Tabla1[[#This Row],[Neto]]</f>
        <v>583.20000000000005</v>
      </c>
      <c r="J954" s="9">
        <v>262.44</v>
      </c>
      <c r="K954" s="9">
        <v>320.76</v>
      </c>
      <c r="L954" s="9">
        <v>46.239944999999999</v>
      </c>
      <c r="M954" s="24">
        <f>+Tabla1[[#This Row],[Costo Venta]]/Tabla1[[#This Row],[Cantidad]]</f>
        <v>3.0826629999999997</v>
      </c>
      <c r="N954" s="3">
        <v>1</v>
      </c>
      <c r="O954" s="8">
        <f>+Tabla1[[#This Row],[Conversión]]*Tabla1[[#This Row],[Cantidad]]</f>
        <v>15</v>
      </c>
      <c r="P954" s="43">
        <f>Tabla1[[#This Row],[Neto]]-Tabla1[[#This Row],[Costo Venta]]</f>
        <v>274.52005500000001</v>
      </c>
    </row>
    <row r="955" spans="1:16" x14ac:dyDescent="0.25">
      <c r="A955" s="48">
        <v>45650</v>
      </c>
      <c r="B955" s="1" t="s">
        <v>764</v>
      </c>
      <c r="C955" s="1" t="s">
        <v>65</v>
      </c>
      <c r="D955" s="1" t="s">
        <v>965</v>
      </c>
      <c r="E955" s="1" t="s">
        <v>67</v>
      </c>
      <c r="F955" s="1" t="s">
        <v>9</v>
      </c>
      <c r="G955" s="2">
        <v>1</v>
      </c>
      <c r="H955" s="51" t="s">
        <v>957</v>
      </c>
      <c r="I955" s="44">
        <f>Tabla1[[#This Row],[Descuento]]+Tabla1[[#This Row],[Neto]]</f>
        <v>38.875999999999998</v>
      </c>
      <c r="J955" s="9">
        <v>17.495999999999999</v>
      </c>
      <c r="K955" s="9">
        <v>21.38</v>
      </c>
      <c r="L955" s="9">
        <v>3.0963500000000002</v>
      </c>
      <c r="M955" s="24">
        <f>+Tabla1[[#This Row],[Costo Venta]]/Tabla1[[#This Row],[Cantidad]]</f>
        <v>3.0963500000000002</v>
      </c>
      <c r="N955" s="3">
        <v>1</v>
      </c>
      <c r="O955" s="8">
        <f>+Tabla1[[#This Row],[Conversión]]*Tabla1[[#This Row],[Cantidad]]</f>
        <v>1</v>
      </c>
      <c r="P955" s="43">
        <f>Tabla1[[#This Row],[Neto]]-Tabla1[[#This Row],[Costo Venta]]</f>
        <v>18.283649999999998</v>
      </c>
    </row>
    <row r="956" spans="1:16" x14ac:dyDescent="0.25">
      <c r="A956" s="48">
        <v>45848</v>
      </c>
      <c r="B956" s="1" t="s">
        <v>764</v>
      </c>
      <c r="C956" s="1" t="s">
        <v>65</v>
      </c>
      <c r="D956" s="1" t="s">
        <v>966</v>
      </c>
      <c r="E956" s="1" t="s">
        <v>67</v>
      </c>
      <c r="F956" s="1" t="s">
        <v>9</v>
      </c>
      <c r="G956" s="2">
        <v>30</v>
      </c>
      <c r="H956" s="51" t="s">
        <v>957</v>
      </c>
      <c r="I956" s="44">
        <f>Tabla1[[#This Row],[Descuento]]+Tabla1[[#This Row],[Neto]]</f>
        <v>1166.4000000000001</v>
      </c>
      <c r="J956" s="9">
        <v>524.88</v>
      </c>
      <c r="K956" s="9">
        <v>641.52</v>
      </c>
      <c r="L956" s="9">
        <v>86.719290000000001</v>
      </c>
      <c r="M956" s="24">
        <f>+Tabla1[[#This Row],[Costo Venta]]/Tabla1[[#This Row],[Cantidad]]</f>
        <v>2.8906429999999999</v>
      </c>
      <c r="N956" s="3">
        <v>1</v>
      </c>
      <c r="O956" s="8">
        <f>+Tabla1[[#This Row],[Conversión]]*Tabla1[[#This Row],[Cantidad]]</f>
        <v>30</v>
      </c>
      <c r="P956" s="43">
        <f>Tabla1[[#This Row],[Neto]]-Tabla1[[#This Row],[Costo Venta]]</f>
        <v>554.80070999999998</v>
      </c>
    </row>
    <row r="957" spans="1:16" x14ac:dyDescent="0.25">
      <c r="A957" s="48">
        <v>45881</v>
      </c>
      <c r="B957" s="1" t="s">
        <v>764</v>
      </c>
      <c r="C957" s="1" t="s">
        <v>65</v>
      </c>
      <c r="D957" s="1" t="s">
        <v>967</v>
      </c>
      <c r="E957" s="1" t="s">
        <v>67</v>
      </c>
      <c r="F957" s="1" t="s">
        <v>9</v>
      </c>
      <c r="G957" s="2">
        <v>5</v>
      </c>
      <c r="H957" s="51" t="s">
        <v>957</v>
      </c>
      <c r="I957" s="44">
        <f>Tabla1[[#This Row],[Descuento]]+Tabla1[[#This Row],[Neto]]</f>
        <v>194.4</v>
      </c>
      <c r="J957" s="9">
        <v>87.48</v>
      </c>
      <c r="K957" s="9">
        <v>106.92</v>
      </c>
      <c r="L957" s="9">
        <v>15.39306</v>
      </c>
      <c r="M957" s="24">
        <f>+Tabla1[[#This Row],[Costo Venta]]/Tabla1[[#This Row],[Cantidad]]</f>
        <v>3.0786120000000001</v>
      </c>
      <c r="N957" s="3">
        <v>1</v>
      </c>
      <c r="O957" s="8">
        <f>+Tabla1[[#This Row],[Conversión]]*Tabla1[[#This Row],[Cantidad]]</f>
        <v>5</v>
      </c>
      <c r="P957" s="43">
        <f>Tabla1[[#This Row],[Neto]]-Tabla1[[#This Row],[Costo Venta]]</f>
        <v>91.526939999999996</v>
      </c>
    </row>
    <row r="958" spans="1:16" x14ac:dyDescent="0.25">
      <c r="A958" s="48">
        <v>44963</v>
      </c>
      <c r="B958" s="1" t="s">
        <v>764</v>
      </c>
      <c r="C958" s="1" t="s">
        <v>65</v>
      </c>
      <c r="D958" s="1" t="s">
        <v>139</v>
      </c>
      <c r="E958" s="1" t="s">
        <v>71</v>
      </c>
      <c r="F958" s="1" t="s">
        <v>140</v>
      </c>
      <c r="G958" s="2">
        <v>6</v>
      </c>
      <c r="H958" s="1" t="s">
        <v>968</v>
      </c>
      <c r="I958" s="44">
        <f>Tabla1[[#This Row],[Descuento]]+Tabla1[[#This Row],[Neto]]</f>
        <v>270</v>
      </c>
      <c r="J958" s="9">
        <v>27</v>
      </c>
      <c r="K958" s="9">
        <v>243</v>
      </c>
      <c r="L958" s="9">
        <v>33.81</v>
      </c>
      <c r="M958" s="24">
        <f>+Tabla1[[#This Row],[Costo Venta]]/Tabla1[[#This Row],[Cantidad]]</f>
        <v>5.6350000000000007</v>
      </c>
      <c r="N958" s="3">
        <v>1</v>
      </c>
      <c r="O958" s="8">
        <f>+Tabla1[[#This Row],[Conversión]]*Tabla1[[#This Row],[Cantidad]]</f>
        <v>6</v>
      </c>
      <c r="P958" s="43">
        <f>Tabla1[[#This Row],[Neto]]-Tabla1[[#This Row],[Costo Venta]]</f>
        <v>209.19</v>
      </c>
    </row>
    <row r="959" spans="1:16" x14ac:dyDescent="0.25">
      <c r="A959" s="48">
        <v>45195</v>
      </c>
      <c r="B959" s="1" t="s">
        <v>764</v>
      </c>
      <c r="C959" s="1" t="s">
        <v>81</v>
      </c>
      <c r="D959" s="1" t="s">
        <v>969</v>
      </c>
      <c r="E959" s="1" t="s">
        <v>67</v>
      </c>
      <c r="F959" s="1" t="s">
        <v>9</v>
      </c>
      <c r="G959" s="2">
        <v>6</v>
      </c>
      <c r="H959" s="1" t="s">
        <v>968</v>
      </c>
      <c r="I959" s="44">
        <f>Tabla1[[#This Row],[Descuento]]+Tabla1[[#This Row],[Neto]]</f>
        <v>272.64400000000001</v>
      </c>
      <c r="J959" s="9">
        <v>95.424000000000007</v>
      </c>
      <c r="K959" s="9">
        <v>177.22</v>
      </c>
      <c r="L959" s="9">
        <v>33.76737</v>
      </c>
      <c r="M959" s="24">
        <f>+Tabla1[[#This Row],[Costo Venta]]/Tabla1[[#This Row],[Cantidad]]</f>
        <v>5.6278949999999996</v>
      </c>
      <c r="N959" s="3">
        <v>1</v>
      </c>
      <c r="O959" s="8">
        <f>+Tabla1[[#This Row],[Conversión]]*Tabla1[[#This Row],[Cantidad]]</f>
        <v>6</v>
      </c>
      <c r="P959" s="43">
        <f>Tabla1[[#This Row],[Neto]]-Tabla1[[#This Row],[Costo Venta]]</f>
        <v>143.45263</v>
      </c>
    </row>
    <row r="960" spans="1:16" x14ac:dyDescent="0.25">
      <c r="A960" s="48">
        <v>45575</v>
      </c>
      <c r="B960" s="1" t="s">
        <v>764</v>
      </c>
      <c r="C960" s="1" t="s">
        <v>143</v>
      </c>
      <c r="D960" s="1" t="s">
        <v>337</v>
      </c>
      <c r="E960" s="1" t="s">
        <v>137</v>
      </c>
      <c r="F960" s="1" t="s">
        <v>38</v>
      </c>
      <c r="G960" s="2">
        <v>6</v>
      </c>
      <c r="H960" s="1" t="s">
        <v>968</v>
      </c>
      <c r="I960" s="44">
        <f>Tabla1[[#This Row],[Descuento]]+Tabla1[[#This Row],[Neto]]</f>
        <v>233.27799999999999</v>
      </c>
      <c r="J960" s="9">
        <v>23.327999999999999</v>
      </c>
      <c r="K960" s="9">
        <v>209.95</v>
      </c>
      <c r="L960" s="9">
        <v>36.272730000000003</v>
      </c>
      <c r="M960" s="24">
        <f>+Tabla1[[#This Row],[Costo Venta]]/Tabla1[[#This Row],[Cantidad]]</f>
        <v>6.0454550000000005</v>
      </c>
      <c r="N960" s="3">
        <v>1</v>
      </c>
      <c r="O960" s="8">
        <f>+Tabla1[[#This Row],[Conversión]]*Tabla1[[#This Row],[Cantidad]]</f>
        <v>6</v>
      </c>
      <c r="P960" s="43">
        <f>Tabla1[[#This Row],[Neto]]-Tabla1[[#This Row],[Costo Venta]]</f>
        <v>173.67726999999999</v>
      </c>
    </row>
    <row r="961" spans="1:16" x14ac:dyDescent="0.25">
      <c r="A961" s="48">
        <v>45601</v>
      </c>
      <c r="B961" s="1" t="s">
        <v>764</v>
      </c>
      <c r="C961" s="1" t="s">
        <v>65</v>
      </c>
      <c r="D961" s="1" t="s">
        <v>970</v>
      </c>
      <c r="E961" s="1" t="s">
        <v>67</v>
      </c>
      <c r="F961" s="1" t="s">
        <v>9</v>
      </c>
      <c r="G961" s="2">
        <v>14</v>
      </c>
      <c r="H961" s="51" t="s">
        <v>971</v>
      </c>
      <c r="I961" s="44">
        <f>Tabla1[[#This Row],[Descuento]]+Tabla1[[#This Row],[Neto]]</f>
        <v>544.32399999999996</v>
      </c>
      <c r="J961" s="9">
        <v>244.94399999999999</v>
      </c>
      <c r="K961" s="9">
        <v>299.38</v>
      </c>
      <c r="L961" s="9">
        <v>0</v>
      </c>
      <c r="M961" s="24">
        <f>+Tabla1[[#This Row],[Costo Venta]]/Tabla1[[#This Row],[Cantidad]]</f>
        <v>0</v>
      </c>
      <c r="N961" s="3">
        <v>1</v>
      </c>
      <c r="O961" s="8">
        <f>+Tabla1[[#This Row],[Conversión]]*Tabla1[[#This Row],[Cantidad]]</f>
        <v>14</v>
      </c>
      <c r="P961" s="43">
        <f>Tabla1[[#This Row],[Neto]]-Tabla1[[#This Row],[Costo Venta]]</f>
        <v>299.38</v>
      </c>
    </row>
    <row r="962" spans="1:16" x14ac:dyDescent="0.25">
      <c r="A962" s="48">
        <v>45033</v>
      </c>
      <c r="B962" s="1" t="s">
        <v>735</v>
      </c>
      <c r="C962" s="1" t="s">
        <v>81</v>
      </c>
      <c r="D962" s="1" t="s">
        <v>636</v>
      </c>
      <c r="E962" s="1" t="s">
        <v>71</v>
      </c>
      <c r="F962" s="1" t="s">
        <v>637</v>
      </c>
      <c r="G962" s="2">
        <v>6.5</v>
      </c>
      <c r="H962" s="51" t="s">
        <v>972</v>
      </c>
      <c r="I962" s="44">
        <f>Tabla1[[#This Row],[Descuento]]+Tabla1[[#This Row],[Neto]]</f>
        <v>273</v>
      </c>
      <c r="J962" s="9">
        <v>13.65</v>
      </c>
      <c r="K962" s="9">
        <v>259.35000000000002</v>
      </c>
      <c r="L962" s="9">
        <v>17.073335499999999</v>
      </c>
      <c r="M962" s="24">
        <f>+Tabla1[[#This Row],[Costo Venta]]/Tabla1[[#This Row],[Cantidad]]</f>
        <v>2.6266669999999999</v>
      </c>
      <c r="N962" s="3">
        <v>1</v>
      </c>
      <c r="O962" s="8">
        <f>+Tabla1[[#This Row],[Conversión]]*Tabla1[[#This Row],[Cantidad]]</f>
        <v>6.5</v>
      </c>
      <c r="P962" s="43">
        <f>Tabla1[[#This Row],[Neto]]-Tabla1[[#This Row],[Costo Venta]]</f>
        <v>242.27666450000004</v>
      </c>
    </row>
    <row r="963" spans="1:16" x14ac:dyDescent="0.25">
      <c r="A963" s="48">
        <v>45051</v>
      </c>
      <c r="B963" s="1" t="s">
        <v>735</v>
      </c>
      <c r="C963" s="1" t="s">
        <v>109</v>
      </c>
      <c r="D963" s="1" t="s">
        <v>638</v>
      </c>
      <c r="E963" s="1" t="s">
        <v>71</v>
      </c>
      <c r="F963" s="1" t="s">
        <v>639</v>
      </c>
      <c r="G963" s="2">
        <v>5.2</v>
      </c>
      <c r="H963" s="51" t="s">
        <v>972</v>
      </c>
      <c r="I963" s="44">
        <f>Tabla1[[#This Row],[Descuento]]+Tabla1[[#This Row],[Neto]]</f>
        <v>234</v>
      </c>
      <c r="J963" s="9">
        <v>70.2</v>
      </c>
      <c r="K963" s="9">
        <v>163.80000000000001</v>
      </c>
      <c r="L963" s="9">
        <v>13.6586684</v>
      </c>
      <c r="M963" s="24">
        <f>+Tabla1[[#This Row],[Costo Venta]]/Tabla1[[#This Row],[Cantidad]]</f>
        <v>2.6266669999999999</v>
      </c>
      <c r="N963" s="3">
        <v>1</v>
      </c>
      <c r="O963" s="8">
        <f>+Tabla1[[#This Row],[Conversión]]*Tabla1[[#This Row],[Cantidad]]</f>
        <v>5.2</v>
      </c>
      <c r="P963" s="43">
        <f>Tabla1[[#This Row],[Neto]]-Tabla1[[#This Row],[Costo Venta]]</f>
        <v>150.1413316</v>
      </c>
    </row>
    <row r="964" spans="1:16" x14ac:dyDescent="0.25">
      <c r="A964" s="48">
        <v>45180</v>
      </c>
      <c r="B964" s="1" t="s">
        <v>735</v>
      </c>
      <c r="C964" s="1" t="s">
        <v>81</v>
      </c>
      <c r="D964" s="1" t="s">
        <v>973</v>
      </c>
      <c r="E964" s="1" t="s">
        <v>132</v>
      </c>
      <c r="F964" s="1" t="s">
        <v>642</v>
      </c>
      <c r="G964" s="2">
        <v>3</v>
      </c>
      <c r="H964" s="51" t="s">
        <v>972</v>
      </c>
      <c r="I964" s="44">
        <f>Tabla1[[#This Row],[Descuento]]+Tabla1[[#This Row],[Neto]]</f>
        <v>127.316</v>
      </c>
      <c r="J964" s="9">
        <v>38.195999999999998</v>
      </c>
      <c r="K964" s="9">
        <v>89.12</v>
      </c>
      <c r="L964" s="9">
        <v>7.7767860000000004</v>
      </c>
      <c r="M964" s="24">
        <f>+Tabla1[[#This Row],[Costo Venta]]/Tabla1[[#This Row],[Cantidad]]</f>
        <v>2.5922620000000003</v>
      </c>
      <c r="N964" s="3">
        <v>1</v>
      </c>
      <c r="O964" s="8">
        <f>+Tabla1[[#This Row],[Conversión]]*Tabla1[[#This Row],[Cantidad]]</f>
        <v>3</v>
      </c>
      <c r="P964" s="43">
        <f>Tabla1[[#This Row],[Neto]]-Tabla1[[#This Row],[Costo Venta]]</f>
        <v>81.343214000000003</v>
      </c>
    </row>
    <row r="965" spans="1:16" x14ac:dyDescent="0.25">
      <c r="A965" s="48">
        <v>45615</v>
      </c>
      <c r="B965" s="1" t="s">
        <v>735</v>
      </c>
      <c r="C965" s="1" t="s">
        <v>65</v>
      </c>
      <c r="D965" s="1" t="s">
        <v>343</v>
      </c>
      <c r="E965" s="1" t="s">
        <v>71</v>
      </c>
      <c r="F965" s="1" t="s">
        <v>344</v>
      </c>
      <c r="G965" s="2">
        <v>8.5</v>
      </c>
      <c r="H965" s="51" t="s">
        <v>972</v>
      </c>
      <c r="I965" s="44">
        <f>Tabla1[[#This Row],[Descuento]]+Tabla1[[#This Row],[Neto]]</f>
        <v>330.48</v>
      </c>
      <c r="J965" s="9">
        <v>0</v>
      </c>
      <c r="K965" s="9">
        <v>330.48</v>
      </c>
      <c r="L965" s="9">
        <v>20.1998335</v>
      </c>
      <c r="M965" s="24">
        <f>+Tabla1[[#This Row],[Costo Venta]]/Tabla1[[#This Row],[Cantidad]]</f>
        <v>2.3764509999999999</v>
      </c>
      <c r="N965" s="3">
        <v>1</v>
      </c>
      <c r="O965" s="8">
        <f>+Tabla1[[#This Row],[Conversión]]*Tabla1[[#This Row],[Cantidad]]</f>
        <v>8.5</v>
      </c>
      <c r="P965" s="43">
        <f>Tabla1[[#This Row],[Neto]]-Tabla1[[#This Row],[Costo Venta]]</f>
        <v>310.28016650000001</v>
      </c>
    </row>
    <row r="966" spans="1:16" x14ac:dyDescent="0.25">
      <c r="A966" s="48">
        <v>45637</v>
      </c>
      <c r="B966" s="1" t="s">
        <v>735</v>
      </c>
      <c r="C966" s="1" t="s">
        <v>65</v>
      </c>
      <c r="D966" s="1" t="s">
        <v>350</v>
      </c>
      <c r="E966" s="1" t="s">
        <v>71</v>
      </c>
      <c r="F966" s="1" t="s">
        <v>344</v>
      </c>
      <c r="G966" s="2">
        <v>1.44</v>
      </c>
      <c r="H966" s="51" t="s">
        <v>972</v>
      </c>
      <c r="I966" s="44">
        <f>Tabla1[[#This Row],[Descuento]]+Tabla1[[#This Row],[Neto]]</f>
        <v>55.99</v>
      </c>
      <c r="J966" s="9">
        <v>0</v>
      </c>
      <c r="K966" s="9">
        <v>55.99</v>
      </c>
      <c r="L966" s="9">
        <v>2.8403208000000002</v>
      </c>
      <c r="M966" s="24">
        <f>+Tabla1[[#This Row],[Costo Venta]]/Tabla1[[#This Row],[Cantidad]]</f>
        <v>1.9724450000000002</v>
      </c>
      <c r="N966" s="3">
        <v>1</v>
      </c>
      <c r="O966" s="8">
        <f>+Tabla1[[#This Row],[Conversión]]*Tabla1[[#This Row],[Cantidad]]</f>
        <v>1.44</v>
      </c>
      <c r="P966" s="43">
        <f>Tabla1[[#This Row],[Neto]]-Tabla1[[#This Row],[Costo Venta]]</f>
        <v>53.149679200000001</v>
      </c>
    </row>
    <row r="967" spans="1:16" x14ac:dyDescent="0.25">
      <c r="A967" s="48">
        <v>45068</v>
      </c>
      <c r="B967" s="1" t="s">
        <v>764</v>
      </c>
      <c r="C967" s="1" t="s">
        <v>81</v>
      </c>
      <c r="D967" s="1" t="s">
        <v>186</v>
      </c>
      <c r="E967" s="1" t="s">
        <v>71</v>
      </c>
      <c r="F967" s="1" t="s">
        <v>187</v>
      </c>
      <c r="G967" s="2">
        <v>25</v>
      </c>
      <c r="H967" s="1" t="s">
        <v>974</v>
      </c>
      <c r="I967" s="44">
        <f>Tabla1[[#This Row],[Descuento]]+Tabla1[[#This Row],[Neto]]</f>
        <v>1125</v>
      </c>
      <c r="J967" s="9">
        <v>78.75</v>
      </c>
      <c r="K967" s="9">
        <v>1046.25</v>
      </c>
      <c r="L967" s="9">
        <v>183.9375</v>
      </c>
      <c r="M967" s="24">
        <f>+Tabla1[[#This Row],[Costo Venta]]/Tabla1[[#This Row],[Cantidad]]</f>
        <v>7.3574999999999999</v>
      </c>
      <c r="N967" s="3">
        <v>1</v>
      </c>
      <c r="O967" s="8">
        <f>+Tabla1[[#This Row],[Conversión]]*Tabla1[[#This Row],[Cantidad]]</f>
        <v>25</v>
      </c>
      <c r="P967" s="43">
        <f>Tabla1[[#This Row],[Neto]]-Tabla1[[#This Row],[Costo Venta]]</f>
        <v>862.3125</v>
      </c>
    </row>
    <row r="968" spans="1:16" x14ac:dyDescent="0.25">
      <c r="A968" s="48">
        <v>45075</v>
      </c>
      <c r="B968" s="1" t="s">
        <v>764</v>
      </c>
      <c r="C968" s="1" t="s">
        <v>81</v>
      </c>
      <c r="D968" s="1" t="s">
        <v>975</v>
      </c>
      <c r="E968" s="1" t="s">
        <v>71</v>
      </c>
      <c r="F968" s="1" t="s">
        <v>187</v>
      </c>
      <c r="G968" s="2">
        <v>1</v>
      </c>
      <c r="H968" s="1" t="s">
        <v>974</v>
      </c>
      <c r="I968" s="44">
        <f>Tabla1[[#This Row],[Descuento]]+Tabla1[[#This Row],[Neto]]</f>
        <v>45</v>
      </c>
      <c r="J968" s="9">
        <v>0</v>
      </c>
      <c r="K968" s="9">
        <v>45</v>
      </c>
      <c r="L968" s="9">
        <v>7.310263</v>
      </c>
      <c r="M968" s="24">
        <f>+Tabla1[[#This Row],[Costo Venta]]/Tabla1[[#This Row],[Cantidad]]</f>
        <v>7.310263</v>
      </c>
      <c r="N968" s="3">
        <v>1</v>
      </c>
      <c r="O968" s="8">
        <f>+Tabla1[[#This Row],[Conversión]]*Tabla1[[#This Row],[Cantidad]]</f>
        <v>1</v>
      </c>
      <c r="P968" s="43">
        <f>Tabla1[[#This Row],[Neto]]-Tabla1[[#This Row],[Costo Venta]]</f>
        <v>37.689737000000001</v>
      </c>
    </row>
    <row r="969" spans="1:16" x14ac:dyDescent="0.25">
      <c r="A969" s="48">
        <v>45152</v>
      </c>
      <c r="B969" s="1" t="s">
        <v>764</v>
      </c>
      <c r="C969" s="1" t="s">
        <v>214</v>
      </c>
      <c r="D969" s="1" t="s">
        <v>976</v>
      </c>
      <c r="E969" s="1" t="s">
        <v>71</v>
      </c>
      <c r="F969" s="1" t="s">
        <v>977</v>
      </c>
      <c r="G969" s="2">
        <v>8</v>
      </c>
      <c r="H969" s="1" t="s">
        <v>974</v>
      </c>
      <c r="I969" s="44">
        <f>Tabla1[[#This Row],[Descuento]]+Tabla1[[#This Row],[Neto]]</f>
        <v>360</v>
      </c>
      <c r="J969" s="9">
        <v>18</v>
      </c>
      <c r="K969" s="9">
        <v>342</v>
      </c>
      <c r="L969" s="9">
        <v>58.469360000000002</v>
      </c>
      <c r="M969" s="24">
        <f>+Tabla1[[#This Row],[Costo Venta]]/Tabla1[[#This Row],[Cantidad]]</f>
        <v>7.3086700000000002</v>
      </c>
      <c r="N969" s="3">
        <v>1</v>
      </c>
      <c r="O969" s="8">
        <f>+Tabla1[[#This Row],[Conversión]]*Tabla1[[#This Row],[Cantidad]]</f>
        <v>8</v>
      </c>
      <c r="P969" s="43">
        <f>Tabla1[[#This Row],[Neto]]-Tabla1[[#This Row],[Costo Venta]]</f>
        <v>283.53064000000001</v>
      </c>
    </row>
    <row r="970" spans="1:16" x14ac:dyDescent="0.25">
      <c r="A970" s="48">
        <v>45603</v>
      </c>
      <c r="B970" s="1" t="s">
        <v>764</v>
      </c>
      <c r="C970" s="1" t="s">
        <v>65</v>
      </c>
      <c r="D970" s="1" t="s">
        <v>978</v>
      </c>
      <c r="E970" s="1" t="s">
        <v>67</v>
      </c>
      <c r="F970" s="1" t="s">
        <v>42</v>
      </c>
      <c r="G970" s="2">
        <v>8</v>
      </c>
      <c r="H970" s="1" t="s">
        <v>974</v>
      </c>
      <c r="I970" s="44">
        <f>Tabla1[[#This Row],[Descuento]]+Tabla1[[#This Row],[Neto]]</f>
        <v>311.04399999999998</v>
      </c>
      <c r="J970" s="9">
        <v>108.864</v>
      </c>
      <c r="K970" s="9">
        <v>202.18</v>
      </c>
      <c r="L970" s="9">
        <v>57.898352000000003</v>
      </c>
      <c r="M970" s="24">
        <f>+Tabla1[[#This Row],[Costo Venta]]/Tabla1[[#This Row],[Cantidad]]</f>
        <v>7.2372940000000003</v>
      </c>
      <c r="N970" s="3">
        <v>1</v>
      </c>
      <c r="O970" s="8">
        <f>+Tabla1[[#This Row],[Conversión]]*Tabla1[[#This Row],[Cantidad]]</f>
        <v>8</v>
      </c>
      <c r="P970" s="43">
        <f>Tabla1[[#This Row],[Neto]]-Tabla1[[#This Row],[Costo Venta]]</f>
        <v>144.28164800000002</v>
      </c>
    </row>
    <row r="971" spans="1:16" x14ac:dyDescent="0.25">
      <c r="A971" s="48">
        <v>45034</v>
      </c>
      <c r="B971" s="1" t="s">
        <v>764</v>
      </c>
      <c r="C971" s="1" t="s">
        <v>109</v>
      </c>
      <c r="D971" s="1" t="s">
        <v>979</v>
      </c>
      <c r="E971" s="1" t="s">
        <v>67</v>
      </c>
      <c r="F971" s="1" t="s">
        <v>9</v>
      </c>
      <c r="G971" s="2">
        <v>6.24</v>
      </c>
      <c r="H971" s="51" t="s">
        <v>980</v>
      </c>
      <c r="I971" s="44">
        <f>Tabla1[[#This Row],[Descuento]]+Tabla1[[#This Row],[Neto]]</f>
        <v>280.8</v>
      </c>
      <c r="J971" s="9">
        <v>98.28</v>
      </c>
      <c r="K971" s="9">
        <v>182.52</v>
      </c>
      <c r="L971" s="9">
        <v>45.816469920000003</v>
      </c>
      <c r="M971" s="24">
        <f>+Tabla1[[#This Row],[Costo Venta]]/Tabla1[[#This Row],[Cantidad]]</f>
        <v>7.3423829999999999</v>
      </c>
      <c r="N971" s="3">
        <v>1</v>
      </c>
      <c r="O971" s="8">
        <f>+Tabla1[[#This Row],[Conversión]]*Tabla1[[#This Row],[Cantidad]]</f>
        <v>6.24</v>
      </c>
      <c r="P971" s="43">
        <f>Tabla1[[#This Row],[Neto]]-Tabla1[[#This Row],[Costo Venta]]</f>
        <v>136.70353008000001</v>
      </c>
    </row>
    <row r="972" spans="1:16" x14ac:dyDescent="0.25">
      <c r="A972" s="48">
        <v>45537</v>
      </c>
      <c r="B972" s="1" t="s">
        <v>764</v>
      </c>
      <c r="C972" s="1" t="s">
        <v>65</v>
      </c>
      <c r="D972" s="1" t="s">
        <v>981</v>
      </c>
      <c r="E972" s="1" t="s">
        <v>67</v>
      </c>
      <c r="F972" s="1" t="s">
        <v>20</v>
      </c>
      <c r="G972" s="2">
        <v>6</v>
      </c>
      <c r="H972" s="51" t="s">
        <v>980</v>
      </c>
      <c r="I972" s="44">
        <f>Tabla1[[#This Row],[Descuento]]+Tabla1[[#This Row],[Neto]]</f>
        <v>233.27799999999999</v>
      </c>
      <c r="J972" s="9">
        <v>81.647999999999996</v>
      </c>
      <c r="K972" s="9">
        <v>151.63</v>
      </c>
      <c r="L972" s="9">
        <v>44.054298000000003</v>
      </c>
      <c r="M972" s="24">
        <f>+Tabla1[[#This Row],[Costo Venta]]/Tabla1[[#This Row],[Cantidad]]</f>
        <v>7.3423830000000008</v>
      </c>
      <c r="N972" s="3">
        <v>1</v>
      </c>
      <c r="O972" s="8">
        <f>+Tabla1[[#This Row],[Conversión]]*Tabla1[[#This Row],[Cantidad]]</f>
        <v>6</v>
      </c>
      <c r="P972" s="43">
        <f>Tabla1[[#This Row],[Neto]]-Tabla1[[#This Row],[Costo Venta]]</f>
        <v>107.57570199999999</v>
      </c>
    </row>
    <row r="973" spans="1:16" x14ac:dyDescent="0.25">
      <c r="A973" s="48">
        <v>44935</v>
      </c>
      <c r="B973" s="1" t="s">
        <v>764</v>
      </c>
      <c r="C973" s="1" t="s">
        <v>65</v>
      </c>
      <c r="D973" s="1" t="s">
        <v>114</v>
      </c>
      <c r="E973" s="1" t="s">
        <v>67</v>
      </c>
      <c r="F973" s="1" t="s">
        <v>15</v>
      </c>
      <c r="G973" s="2">
        <v>31</v>
      </c>
      <c r="H973" s="51" t="s">
        <v>980</v>
      </c>
      <c r="I973" s="44">
        <f>Tabla1[[#This Row],[Descuento]]+Tabla1[[#This Row],[Neto]]</f>
        <v>1395</v>
      </c>
      <c r="J973" s="9">
        <v>279</v>
      </c>
      <c r="K973" s="9">
        <v>1116</v>
      </c>
      <c r="L973" s="9">
        <v>96.1</v>
      </c>
      <c r="M973" s="24">
        <f>+Tabla1[[#This Row],[Costo Venta]]/Tabla1[[#This Row],[Cantidad]]</f>
        <v>3.0999999999999996</v>
      </c>
      <c r="N973" s="3">
        <v>1</v>
      </c>
      <c r="O973" s="8">
        <f>+Tabla1[[#This Row],[Conversión]]*Tabla1[[#This Row],[Cantidad]]</f>
        <v>31</v>
      </c>
      <c r="P973" s="43">
        <f>Tabla1[[#This Row],[Neto]]-Tabla1[[#This Row],[Costo Venta]]</f>
        <v>1019.9</v>
      </c>
    </row>
    <row r="974" spans="1:16" x14ac:dyDescent="0.25">
      <c r="A974" s="48">
        <v>44994</v>
      </c>
      <c r="B974" s="1" t="s">
        <v>764</v>
      </c>
      <c r="C974" s="1" t="s">
        <v>109</v>
      </c>
      <c r="D974" s="1" t="s">
        <v>154</v>
      </c>
      <c r="E974" s="1" t="s">
        <v>71</v>
      </c>
      <c r="F974" s="1" t="s">
        <v>155</v>
      </c>
      <c r="G974" s="2">
        <v>23</v>
      </c>
      <c r="H974" s="51" t="s">
        <v>980</v>
      </c>
      <c r="I974" s="44">
        <f>Tabla1[[#This Row],[Descuento]]+Tabla1[[#This Row],[Neto]]</f>
        <v>1035</v>
      </c>
      <c r="J974" s="9">
        <v>51.75</v>
      </c>
      <c r="K974" s="9">
        <v>983.25</v>
      </c>
      <c r="L974" s="9">
        <v>73.403902000000002</v>
      </c>
      <c r="M974" s="24">
        <f>+Tabla1[[#This Row],[Costo Venta]]/Tabla1[[#This Row],[Cantidad]]</f>
        <v>3.1914739999999999</v>
      </c>
      <c r="N974" s="3">
        <v>1</v>
      </c>
      <c r="O974" s="8">
        <f>+Tabla1[[#This Row],[Conversión]]*Tabla1[[#This Row],[Cantidad]]</f>
        <v>23</v>
      </c>
      <c r="P974" s="43">
        <f>Tabla1[[#This Row],[Neto]]-Tabla1[[#This Row],[Costo Venta]]</f>
        <v>909.84609799999998</v>
      </c>
    </row>
    <row r="975" spans="1:16" x14ac:dyDescent="0.25">
      <c r="A975" s="48">
        <v>45001</v>
      </c>
      <c r="B975" s="1" t="s">
        <v>764</v>
      </c>
      <c r="C975" s="1" t="s">
        <v>109</v>
      </c>
      <c r="D975" s="1" t="s">
        <v>982</v>
      </c>
      <c r="E975" s="1" t="s">
        <v>67</v>
      </c>
      <c r="F975" s="1" t="s">
        <v>20</v>
      </c>
      <c r="G975" s="2">
        <v>100</v>
      </c>
      <c r="H975" s="51" t="s">
        <v>980</v>
      </c>
      <c r="I975" s="44">
        <f>Tabla1[[#This Row],[Descuento]]+Tabla1[[#This Row],[Neto]]</f>
        <v>4500</v>
      </c>
      <c r="J975" s="9">
        <v>2250</v>
      </c>
      <c r="K975" s="9">
        <v>2250</v>
      </c>
      <c r="L975" s="9">
        <v>326.74380000000002</v>
      </c>
      <c r="M975" s="24">
        <f>+Tabla1[[#This Row],[Costo Venta]]/Tabla1[[#This Row],[Cantidad]]</f>
        <v>3.2674380000000003</v>
      </c>
      <c r="N975" s="3">
        <v>1</v>
      </c>
      <c r="O975" s="8">
        <f>+Tabla1[[#This Row],[Conversión]]*Tabla1[[#This Row],[Cantidad]]</f>
        <v>100</v>
      </c>
      <c r="P975" s="43">
        <f>Tabla1[[#This Row],[Neto]]-Tabla1[[#This Row],[Costo Venta]]</f>
        <v>1923.2562</v>
      </c>
    </row>
    <row r="976" spans="1:16" x14ac:dyDescent="0.25">
      <c r="A976" s="48">
        <v>45019</v>
      </c>
      <c r="B976" s="1" t="s">
        <v>764</v>
      </c>
      <c r="C976" s="1" t="s">
        <v>109</v>
      </c>
      <c r="D976" s="1" t="s">
        <v>506</v>
      </c>
      <c r="E976" s="1" t="s">
        <v>137</v>
      </c>
      <c r="F976" s="1" t="s">
        <v>13</v>
      </c>
      <c r="G976" s="2">
        <v>2</v>
      </c>
      <c r="H976" s="51" t="s">
        <v>980</v>
      </c>
      <c r="I976" s="44">
        <f>Tabla1[[#This Row],[Descuento]]+Tabla1[[#This Row],[Neto]]</f>
        <v>90</v>
      </c>
      <c r="J976" s="9">
        <v>9</v>
      </c>
      <c r="K976" s="9">
        <v>81</v>
      </c>
      <c r="L976" s="9">
        <v>6.5348759999999997</v>
      </c>
      <c r="M976" s="24">
        <f>+Tabla1[[#This Row],[Costo Venta]]/Tabla1[[#This Row],[Cantidad]]</f>
        <v>3.2674379999999998</v>
      </c>
      <c r="N976" s="3">
        <v>1</v>
      </c>
      <c r="O976" s="8">
        <f>+Tabla1[[#This Row],[Conversión]]*Tabla1[[#This Row],[Cantidad]]</f>
        <v>2</v>
      </c>
      <c r="P976" s="43">
        <f>Tabla1[[#This Row],[Neto]]-Tabla1[[#This Row],[Costo Venta]]</f>
        <v>74.465124000000003</v>
      </c>
    </row>
    <row r="977" spans="1:16" x14ac:dyDescent="0.25">
      <c r="A977" s="48">
        <v>45042</v>
      </c>
      <c r="B977" s="1" t="s">
        <v>764</v>
      </c>
      <c r="C977" s="1" t="s">
        <v>65</v>
      </c>
      <c r="D977" s="1" t="s">
        <v>174</v>
      </c>
      <c r="E977" s="1" t="s">
        <v>137</v>
      </c>
      <c r="F977" s="1" t="s">
        <v>175</v>
      </c>
      <c r="G977" s="2">
        <v>2</v>
      </c>
      <c r="H977" s="51" t="s">
        <v>980</v>
      </c>
      <c r="I977" s="44">
        <f>Tabla1[[#This Row],[Descuento]]+Tabla1[[#This Row],[Neto]]</f>
        <v>90</v>
      </c>
      <c r="J977" s="9">
        <v>0</v>
      </c>
      <c r="K977" s="9">
        <v>90</v>
      </c>
      <c r="L977" s="9">
        <v>6.5348759999999997</v>
      </c>
      <c r="M977" s="24">
        <f>+Tabla1[[#This Row],[Costo Venta]]/Tabla1[[#This Row],[Cantidad]]</f>
        <v>3.2674379999999998</v>
      </c>
      <c r="N977" s="3">
        <v>1</v>
      </c>
      <c r="O977" s="8">
        <f>+Tabla1[[#This Row],[Conversión]]*Tabla1[[#This Row],[Cantidad]]</f>
        <v>2</v>
      </c>
      <c r="P977" s="43">
        <f>Tabla1[[#This Row],[Neto]]-Tabla1[[#This Row],[Costo Venta]]</f>
        <v>83.465124000000003</v>
      </c>
    </row>
    <row r="978" spans="1:16" x14ac:dyDescent="0.25">
      <c r="A978" s="48">
        <v>45050</v>
      </c>
      <c r="B978" s="1" t="s">
        <v>764</v>
      </c>
      <c r="C978" s="1" t="s">
        <v>109</v>
      </c>
      <c r="D978" s="1" t="s">
        <v>983</v>
      </c>
      <c r="E978" s="1" t="s">
        <v>67</v>
      </c>
      <c r="F978" s="1" t="s">
        <v>198</v>
      </c>
      <c r="G978" s="2">
        <v>26</v>
      </c>
      <c r="H978" s="51" t="s">
        <v>980</v>
      </c>
      <c r="I978" s="44">
        <f>Tabla1[[#This Row],[Descuento]]+Tabla1[[#This Row],[Neto]]</f>
        <v>1170</v>
      </c>
      <c r="J978" s="9">
        <v>351</v>
      </c>
      <c r="K978" s="9">
        <v>819</v>
      </c>
      <c r="L978" s="9">
        <v>83.838846000000004</v>
      </c>
      <c r="M978" s="24">
        <f>+Tabla1[[#This Row],[Costo Venta]]/Tabla1[[#This Row],[Cantidad]]</f>
        <v>3.2245710000000001</v>
      </c>
      <c r="N978" s="3">
        <v>1</v>
      </c>
      <c r="O978" s="8">
        <f>+Tabla1[[#This Row],[Conversión]]*Tabla1[[#This Row],[Cantidad]]</f>
        <v>26</v>
      </c>
      <c r="P978" s="43">
        <f>Tabla1[[#This Row],[Neto]]-Tabla1[[#This Row],[Costo Venta]]</f>
        <v>735.16115400000001</v>
      </c>
    </row>
    <row r="979" spans="1:16" x14ac:dyDescent="0.25">
      <c r="A979" s="48">
        <v>45096</v>
      </c>
      <c r="B979" s="1" t="s">
        <v>764</v>
      </c>
      <c r="C979" s="1" t="s">
        <v>109</v>
      </c>
      <c r="D979" s="1" t="s">
        <v>984</v>
      </c>
      <c r="E979" s="1" t="s">
        <v>67</v>
      </c>
      <c r="F979" s="1" t="s">
        <v>26</v>
      </c>
      <c r="G979" s="2">
        <v>200</v>
      </c>
      <c r="H979" s="51" t="s">
        <v>980</v>
      </c>
      <c r="I979" s="44">
        <f>Tabla1[[#This Row],[Descuento]]+Tabla1[[#This Row],[Neto]]</f>
        <v>9000</v>
      </c>
      <c r="J979" s="9">
        <v>4500</v>
      </c>
      <c r="K979" s="9">
        <v>4500</v>
      </c>
      <c r="L979" s="9">
        <v>638.51859999999999</v>
      </c>
      <c r="M979" s="24">
        <f>+Tabla1[[#This Row],[Costo Venta]]/Tabla1[[#This Row],[Cantidad]]</f>
        <v>3.192593</v>
      </c>
      <c r="N979" s="3">
        <v>1</v>
      </c>
      <c r="O979" s="8">
        <f>+Tabla1[[#This Row],[Conversión]]*Tabla1[[#This Row],[Cantidad]]</f>
        <v>200</v>
      </c>
      <c r="P979" s="43">
        <f>Tabla1[[#This Row],[Neto]]-Tabla1[[#This Row],[Costo Venta]]</f>
        <v>3861.4814000000001</v>
      </c>
    </row>
    <row r="980" spans="1:16" x14ac:dyDescent="0.25">
      <c r="A980" s="48">
        <v>45100</v>
      </c>
      <c r="B980" s="1" t="s">
        <v>764</v>
      </c>
      <c r="C980" s="1" t="s">
        <v>81</v>
      </c>
      <c r="D980" s="1" t="s">
        <v>199</v>
      </c>
      <c r="E980" s="1" t="s">
        <v>71</v>
      </c>
      <c r="F980" s="1" t="s">
        <v>200</v>
      </c>
      <c r="G980" s="2">
        <v>25</v>
      </c>
      <c r="H980" s="51" t="s">
        <v>980</v>
      </c>
      <c r="I980" s="44">
        <f>Tabla1[[#This Row],[Descuento]]+Tabla1[[#This Row],[Neto]]</f>
        <v>1125</v>
      </c>
      <c r="J980" s="9">
        <v>56.25</v>
      </c>
      <c r="K980" s="9">
        <v>1068.75</v>
      </c>
      <c r="L980" s="9">
        <v>79.814824999999999</v>
      </c>
      <c r="M980" s="24">
        <f>+Tabla1[[#This Row],[Costo Venta]]/Tabla1[[#This Row],[Cantidad]]</f>
        <v>3.192593</v>
      </c>
      <c r="N980" s="3">
        <v>1</v>
      </c>
      <c r="O980" s="8">
        <f>+Tabla1[[#This Row],[Conversión]]*Tabla1[[#This Row],[Cantidad]]</f>
        <v>25</v>
      </c>
      <c r="P980" s="43">
        <f>Tabla1[[#This Row],[Neto]]-Tabla1[[#This Row],[Costo Venta]]</f>
        <v>988.93517499999996</v>
      </c>
    </row>
    <row r="981" spans="1:16" x14ac:dyDescent="0.25">
      <c r="A981" s="48">
        <v>45100</v>
      </c>
      <c r="B981" s="1" t="s">
        <v>764</v>
      </c>
      <c r="C981" s="1" t="s">
        <v>109</v>
      </c>
      <c r="D981" s="1" t="s">
        <v>752</v>
      </c>
      <c r="E981" s="1" t="s">
        <v>67</v>
      </c>
      <c r="F981" s="1" t="s">
        <v>9</v>
      </c>
      <c r="G981" s="2">
        <v>354</v>
      </c>
      <c r="H981" s="51" t="s">
        <v>980</v>
      </c>
      <c r="I981" s="44">
        <f>Tabla1[[#This Row],[Descuento]]+Tabla1[[#This Row],[Neto]]</f>
        <v>15930</v>
      </c>
      <c r="J981" s="9">
        <v>6372</v>
      </c>
      <c r="K981" s="9">
        <v>9558</v>
      </c>
      <c r="L981" s="9">
        <v>1130.1779220000001</v>
      </c>
      <c r="M981" s="24">
        <f>+Tabla1[[#This Row],[Costo Venta]]/Tabla1[[#This Row],[Cantidad]]</f>
        <v>3.192593</v>
      </c>
      <c r="N981" s="3">
        <v>1</v>
      </c>
      <c r="O981" s="8">
        <f>+Tabla1[[#This Row],[Conversión]]*Tabla1[[#This Row],[Cantidad]]</f>
        <v>354</v>
      </c>
      <c r="P981" s="43">
        <f>Tabla1[[#This Row],[Neto]]-Tabla1[[#This Row],[Costo Venta]]</f>
        <v>8427.8220779999992</v>
      </c>
    </row>
    <row r="982" spans="1:16" x14ac:dyDescent="0.25">
      <c r="A982" s="48">
        <v>45121</v>
      </c>
      <c r="B982" s="1" t="s">
        <v>764</v>
      </c>
      <c r="C982" s="1" t="s">
        <v>109</v>
      </c>
      <c r="D982" s="1" t="s">
        <v>985</v>
      </c>
      <c r="E982" s="1" t="s">
        <v>67</v>
      </c>
      <c r="F982" s="1" t="s">
        <v>26</v>
      </c>
      <c r="G982" s="2">
        <v>282</v>
      </c>
      <c r="H982" s="51" t="s">
        <v>980</v>
      </c>
      <c r="I982" s="44">
        <f>Tabla1[[#This Row],[Descuento]]+Tabla1[[#This Row],[Neto]]</f>
        <v>12690</v>
      </c>
      <c r="J982" s="9">
        <v>6345</v>
      </c>
      <c r="K982" s="9">
        <v>6345</v>
      </c>
      <c r="L982" s="9">
        <v>911.10364800000002</v>
      </c>
      <c r="M982" s="24">
        <f>+Tabla1[[#This Row],[Costo Venta]]/Tabla1[[#This Row],[Cantidad]]</f>
        <v>3.230864</v>
      </c>
      <c r="N982" s="3">
        <v>1</v>
      </c>
      <c r="O982" s="8">
        <f>+Tabla1[[#This Row],[Conversión]]*Tabla1[[#This Row],[Cantidad]]</f>
        <v>282</v>
      </c>
      <c r="P982" s="43">
        <f>Tabla1[[#This Row],[Neto]]-Tabla1[[#This Row],[Costo Venta]]</f>
        <v>5433.8963519999998</v>
      </c>
    </row>
    <row r="983" spans="1:16" x14ac:dyDescent="0.25">
      <c r="A983" s="48">
        <v>45146</v>
      </c>
      <c r="B983" s="1" t="s">
        <v>764</v>
      </c>
      <c r="C983" s="1" t="s">
        <v>109</v>
      </c>
      <c r="D983" s="1" t="s">
        <v>986</v>
      </c>
      <c r="E983" s="1" t="s">
        <v>67</v>
      </c>
      <c r="F983" s="1" t="s">
        <v>20</v>
      </c>
      <c r="G983" s="2">
        <v>190</v>
      </c>
      <c r="H983" s="51" t="s">
        <v>980</v>
      </c>
      <c r="I983" s="44">
        <f>Tabla1[[#This Row],[Descuento]]+Tabla1[[#This Row],[Neto]]</f>
        <v>8550</v>
      </c>
      <c r="J983" s="9">
        <v>2992.5</v>
      </c>
      <c r="K983" s="9">
        <v>5557.5</v>
      </c>
      <c r="L983" s="9">
        <v>623.96</v>
      </c>
      <c r="M983" s="24">
        <f>+Tabla1[[#This Row],[Costo Venta]]/Tabla1[[#This Row],[Cantidad]]</f>
        <v>3.2840000000000003</v>
      </c>
      <c r="N983" s="3">
        <v>1</v>
      </c>
      <c r="O983" s="8">
        <f>+Tabla1[[#This Row],[Conversión]]*Tabla1[[#This Row],[Cantidad]]</f>
        <v>190</v>
      </c>
      <c r="P983" s="43">
        <f>Tabla1[[#This Row],[Neto]]-Tabla1[[#This Row],[Costo Venta]]</f>
        <v>4933.54</v>
      </c>
    </row>
    <row r="984" spans="1:16" x14ac:dyDescent="0.25">
      <c r="A984" s="48">
        <v>45174</v>
      </c>
      <c r="B984" s="1" t="s">
        <v>764</v>
      </c>
      <c r="C984" s="1" t="s">
        <v>214</v>
      </c>
      <c r="D984" s="1" t="s">
        <v>235</v>
      </c>
      <c r="E984" s="1" t="s">
        <v>71</v>
      </c>
      <c r="F984" s="1" t="s">
        <v>236</v>
      </c>
      <c r="G984" s="2">
        <v>4.5</v>
      </c>
      <c r="H984" s="51" t="s">
        <v>980</v>
      </c>
      <c r="I984" s="44">
        <f>Tabla1[[#This Row],[Descuento]]+Tabla1[[#This Row],[Neto]]</f>
        <v>204.48</v>
      </c>
      <c r="J984" s="9">
        <v>0</v>
      </c>
      <c r="K984" s="9">
        <v>204.48</v>
      </c>
      <c r="L984" s="9">
        <v>14.845261499999999</v>
      </c>
      <c r="M984" s="24">
        <f>+Tabla1[[#This Row],[Costo Venta]]/Tabla1[[#This Row],[Cantidad]]</f>
        <v>3.2989470000000001</v>
      </c>
      <c r="N984" s="3">
        <v>1</v>
      </c>
      <c r="O984" s="8">
        <f>+Tabla1[[#This Row],[Conversión]]*Tabla1[[#This Row],[Cantidad]]</f>
        <v>4.5</v>
      </c>
      <c r="P984" s="43">
        <f>Tabla1[[#This Row],[Neto]]-Tabla1[[#This Row],[Costo Venta]]</f>
        <v>189.6347385</v>
      </c>
    </row>
    <row r="985" spans="1:16" x14ac:dyDescent="0.25">
      <c r="A985" s="48">
        <v>45212</v>
      </c>
      <c r="B985" s="1" t="s">
        <v>764</v>
      </c>
      <c r="C985" s="1" t="s">
        <v>29</v>
      </c>
      <c r="D985" s="1" t="s">
        <v>987</v>
      </c>
      <c r="E985" s="1" t="s">
        <v>67</v>
      </c>
      <c r="F985" s="1" t="s">
        <v>9</v>
      </c>
      <c r="G985" s="2">
        <v>68</v>
      </c>
      <c r="H985" s="51" t="s">
        <v>980</v>
      </c>
      <c r="I985" s="44">
        <f>Tabla1[[#This Row],[Descuento]]+Tabla1[[#This Row],[Neto]]</f>
        <v>3089.9180000000001</v>
      </c>
      <c r="J985" s="9">
        <v>1235.9680000000001</v>
      </c>
      <c r="K985" s="9">
        <v>1853.95</v>
      </c>
      <c r="L985" s="9">
        <v>224.328396</v>
      </c>
      <c r="M985" s="24">
        <f>+Tabla1[[#This Row],[Costo Venta]]/Tabla1[[#This Row],[Cantidad]]</f>
        <v>3.2989470000000001</v>
      </c>
      <c r="N985" s="3">
        <v>1</v>
      </c>
      <c r="O985" s="8">
        <f>+Tabla1[[#This Row],[Conversión]]*Tabla1[[#This Row],[Cantidad]]</f>
        <v>68</v>
      </c>
      <c r="P985" s="43">
        <f>Tabla1[[#This Row],[Neto]]-Tabla1[[#This Row],[Costo Venta]]</f>
        <v>1629.6216039999999</v>
      </c>
    </row>
    <row r="986" spans="1:16" x14ac:dyDescent="0.25">
      <c r="A986" s="48">
        <v>45212</v>
      </c>
      <c r="B986" s="1" t="s">
        <v>764</v>
      </c>
      <c r="C986" s="1" t="s">
        <v>29</v>
      </c>
      <c r="D986" s="1" t="s">
        <v>987</v>
      </c>
      <c r="E986" s="1" t="s">
        <v>67</v>
      </c>
      <c r="F986" s="1" t="s">
        <v>9</v>
      </c>
      <c r="G986" s="2">
        <v>33.28</v>
      </c>
      <c r="H986" s="51" t="s">
        <v>980</v>
      </c>
      <c r="I986" s="44">
        <f>Tabla1[[#This Row],[Descuento]]+Tabla1[[#This Row],[Neto]]</f>
        <v>1512.2372800000001</v>
      </c>
      <c r="J986" s="9">
        <v>604.89728000000002</v>
      </c>
      <c r="K986" s="9">
        <v>907.34</v>
      </c>
      <c r="L986" s="9">
        <v>109.78895616</v>
      </c>
      <c r="M986" s="24">
        <f>+Tabla1[[#This Row],[Costo Venta]]/Tabla1[[#This Row],[Cantidad]]</f>
        <v>3.2989469999999996</v>
      </c>
      <c r="N986" s="3">
        <v>1</v>
      </c>
      <c r="O986" s="8">
        <f>+Tabla1[[#This Row],[Conversión]]*Tabla1[[#This Row],[Cantidad]]</f>
        <v>33.28</v>
      </c>
      <c r="P986" s="43">
        <f>Tabla1[[#This Row],[Neto]]-Tabla1[[#This Row],[Costo Venta]]</f>
        <v>797.55104384000003</v>
      </c>
    </row>
    <row r="987" spans="1:16" x14ac:dyDescent="0.25">
      <c r="A987" s="48">
        <v>45212</v>
      </c>
      <c r="B987" s="1" t="s">
        <v>764</v>
      </c>
      <c r="C987" s="1" t="s">
        <v>29</v>
      </c>
      <c r="D987" s="1" t="s">
        <v>987</v>
      </c>
      <c r="E987" s="1" t="s">
        <v>67</v>
      </c>
      <c r="F987" s="1" t="s">
        <v>9</v>
      </c>
      <c r="G987" s="2">
        <v>21.08</v>
      </c>
      <c r="H987" s="51" t="s">
        <v>980</v>
      </c>
      <c r="I987" s="44">
        <f>Tabla1[[#This Row],[Descuento]]+Tabla1[[#This Row],[Neto]]</f>
        <v>957.88008000000002</v>
      </c>
      <c r="J987" s="9">
        <v>383.15008</v>
      </c>
      <c r="K987" s="9">
        <v>574.73</v>
      </c>
      <c r="L987" s="9">
        <v>69.541802759999996</v>
      </c>
      <c r="M987" s="24">
        <f>+Tabla1[[#This Row],[Costo Venta]]/Tabla1[[#This Row],[Cantidad]]</f>
        <v>3.2989470000000001</v>
      </c>
      <c r="N987" s="3">
        <v>1</v>
      </c>
      <c r="O987" s="8">
        <f>+Tabla1[[#This Row],[Conversión]]*Tabla1[[#This Row],[Cantidad]]</f>
        <v>21.08</v>
      </c>
      <c r="P987" s="43">
        <f>Tabla1[[#This Row],[Neto]]-Tabla1[[#This Row],[Costo Venta]]</f>
        <v>505.18819724000002</v>
      </c>
    </row>
    <row r="988" spans="1:16" x14ac:dyDescent="0.25">
      <c r="A988" s="48">
        <v>45212</v>
      </c>
      <c r="B988" s="1" t="s">
        <v>764</v>
      </c>
      <c r="C988" s="1" t="s">
        <v>29</v>
      </c>
      <c r="D988" s="1" t="s">
        <v>987</v>
      </c>
      <c r="E988" s="1" t="s">
        <v>67</v>
      </c>
      <c r="F988" s="1" t="s">
        <v>9</v>
      </c>
      <c r="G988" s="2">
        <v>2.8</v>
      </c>
      <c r="H988" s="51" t="s">
        <v>980</v>
      </c>
      <c r="I988" s="44">
        <f>Tabla1[[#This Row],[Descuento]]+Tabla1[[#This Row],[Neto]]</f>
        <v>127.2328</v>
      </c>
      <c r="J988" s="9">
        <v>50.892800000000001</v>
      </c>
      <c r="K988" s="9">
        <v>76.34</v>
      </c>
      <c r="L988" s="9">
        <v>9.2370515999999991</v>
      </c>
      <c r="M988" s="24">
        <f>+Tabla1[[#This Row],[Costo Venta]]/Tabla1[[#This Row],[Cantidad]]</f>
        <v>3.2989470000000001</v>
      </c>
      <c r="N988" s="3">
        <v>1</v>
      </c>
      <c r="O988" s="8">
        <f>+Tabla1[[#This Row],[Conversión]]*Tabla1[[#This Row],[Cantidad]]</f>
        <v>2.8</v>
      </c>
      <c r="P988" s="43">
        <f>Tabla1[[#This Row],[Neto]]-Tabla1[[#This Row],[Costo Venta]]</f>
        <v>67.102948400000002</v>
      </c>
    </row>
    <row r="989" spans="1:16" x14ac:dyDescent="0.25">
      <c r="A989" s="48">
        <v>45253</v>
      </c>
      <c r="B989" s="1" t="s">
        <v>764</v>
      </c>
      <c r="C989" s="1" t="s">
        <v>81</v>
      </c>
      <c r="D989" s="1" t="s">
        <v>988</v>
      </c>
      <c r="E989" s="1" t="s">
        <v>67</v>
      </c>
      <c r="F989" s="1" t="s">
        <v>9</v>
      </c>
      <c r="G989" s="2">
        <v>3</v>
      </c>
      <c r="H989" s="51" t="s">
        <v>980</v>
      </c>
      <c r="I989" s="44">
        <f>Tabla1[[#This Row],[Descuento]]+Tabla1[[#This Row],[Neto]]</f>
        <v>136.322</v>
      </c>
      <c r="J989" s="9">
        <v>47.712000000000003</v>
      </c>
      <c r="K989" s="9">
        <v>88.61</v>
      </c>
      <c r="L989" s="9">
        <v>9.5201039999999999</v>
      </c>
      <c r="M989" s="24">
        <f>+Tabla1[[#This Row],[Costo Venta]]/Tabla1[[#This Row],[Cantidad]]</f>
        <v>3.173368</v>
      </c>
      <c r="N989" s="3">
        <v>1</v>
      </c>
      <c r="O989" s="8">
        <f>+Tabla1[[#This Row],[Conversión]]*Tabla1[[#This Row],[Cantidad]]</f>
        <v>3</v>
      </c>
      <c r="P989" s="43">
        <f>Tabla1[[#This Row],[Neto]]-Tabla1[[#This Row],[Costo Venta]]</f>
        <v>79.089895999999996</v>
      </c>
    </row>
    <row r="990" spans="1:16" x14ac:dyDescent="0.25">
      <c r="A990" s="48">
        <v>45299</v>
      </c>
      <c r="B990" s="1" t="s">
        <v>764</v>
      </c>
      <c r="C990" s="1" t="s">
        <v>81</v>
      </c>
      <c r="D990" s="1" t="s">
        <v>989</v>
      </c>
      <c r="E990" s="1" t="s">
        <v>67</v>
      </c>
      <c r="F990" s="1" t="s">
        <v>26</v>
      </c>
      <c r="G990" s="2">
        <v>257</v>
      </c>
      <c r="H990" s="51" t="s">
        <v>980</v>
      </c>
      <c r="I990" s="44">
        <f>Tabla1[[#This Row],[Descuento]]+Tabla1[[#This Row],[Neto]]</f>
        <v>11565</v>
      </c>
      <c r="J990" s="9">
        <v>5782.5</v>
      </c>
      <c r="K990" s="9">
        <v>5782.5</v>
      </c>
      <c r="L990" s="9">
        <v>812.44073600000002</v>
      </c>
      <c r="M990" s="24">
        <f>+Tabla1[[#This Row],[Costo Venta]]/Tabla1[[#This Row],[Cantidad]]</f>
        <v>3.1612480000000001</v>
      </c>
      <c r="N990" s="3">
        <v>1</v>
      </c>
      <c r="O990" s="8">
        <f>+Tabla1[[#This Row],[Conversión]]*Tabla1[[#This Row],[Cantidad]]</f>
        <v>257</v>
      </c>
      <c r="P990" s="43">
        <f>Tabla1[[#This Row],[Neto]]-Tabla1[[#This Row],[Costo Venta]]</f>
        <v>4970.0592639999995</v>
      </c>
    </row>
    <row r="991" spans="1:16" x14ac:dyDescent="0.25">
      <c r="A991" s="48">
        <v>45342</v>
      </c>
      <c r="B991" s="1" t="s">
        <v>764</v>
      </c>
      <c r="C991" s="1" t="s">
        <v>81</v>
      </c>
      <c r="D991" s="1" t="s">
        <v>288</v>
      </c>
      <c r="E991" s="1" t="s">
        <v>71</v>
      </c>
      <c r="F991" s="1" t="s">
        <v>289</v>
      </c>
      <c r="G991" s="2">
        <v>45</v>
      </c>
      <c r="H991" s="51" t="s">
        <v>980</v>
      </c>
      <c r="I991" s="44">
        <f>Tabla1[[#This Row],[Descuento]]+Tabla1[[#This Row],[Neto]]</f>
        <v>2044.8</v>
      </c>
      <c r="J991" s="9">
        <v>306.72000000000003</v>
      </c>
      <c r="K991" s="9">
        <v>1738.08</v>
      </c>
      <c r="L991" s="9">
        <v>125.08163999999999</v>
      </c>
      <c r="M991" s="24">
        <f>+Tabla1[[#This Row],[Costo Venta]]/Tabla1[[#This Row],[Cantidad]]</f>
        <v>2.7795920000000001</v>
      </c>
      <c r="N991" s="3">
        <v>1</v>
      </c>
      <c r="O991" s="8">
        <f>+Tabla1[[#This Row],[Conversión]]*Tabla1[[#This Row],[Cantidad]]</f>
        <v>45</v>
      </c>
      <c r="P991" s="43">
        <f>Tabla1[[#This Row],[Neto]]-Tabla1[[#This Row],[Costo Venta]]</f>
        <v>1612.99836</v>
      </c>
    </row>
    <row r="992" spans="1:16" x14ac:dyDescent="0.25">
      <c r="A992" s="48">
        <v>45342</v>
      </c>
      <c r="B992" s="1" t="s">
        <v>764</v>
      </c>
      <c r="C992" s="1" t="s">
        <v>29</v>
      </c>
      <c r="D992" s="1" t="s">
        <v>290</v>
      </c>
      <c r="E992" s="1" t="s">
        <v>132</v>
      </c>
      <c r="F992" s="1" t="s">
        <v>291</v>
      </c>
      <c r="G992" s="2">
        <v>40</v>
      </c>
      <c r="H992" s="51" t="s">
        <v>980</v>
      </c>
      <c r="I992" s="44">
        <f>Tabla1[[#This Row],[Descuento]]+Tabla1[[#This Row],[Neto]]</f>
        <v>1817.6</v>
      </c>
      <c r="J992" s="9">
        <v>272.64</v>
      </c>
      <c r="K992" s="9">
        <v>1544.96</v>
      </c>
      <c r="L992" s="9">
        <v>111.18368</v>
      </c>
      <c r="M992" s="24">
        <f>+Tabla1[[#This Row],[Costo Venta]]/Tabla1[[#This Row],[Cantidad]]</f>
        <v>2.7795920000000001</v>
      </c>
      <c r="N992" s="3">
        <v>1</v>
      </c>
      <c r="O992" s="8">
        <f>+Tabla1[[#This Row],[Conversión]]*Tabla1[[#This Row],[Cantidad]]</f>
        <v>40</v>
      </c>
      <c r="P992" s="43">
        <f>Tabla1[[#This Row],[Neto]]-Tabla1[[#This Row],[Costo Venta]]</f>
        <v>1433.7763199999999</v>
      </c>
    </row>
    <row r="993" spans="1:16" x14ac:dyDescent="0.25">
      <c r="A993" s="48">
        <v>45383</v>
      </c>
      <c r="B993" s="1" t="s">
        <v>764</v>
      </c>
      <c r="C993" s="1" t="s">
        <v>81</v>
      </c>
      <c r="D993" s="1" t="s">
        <v>990</v>
      </c>
      <c r="E993" s="1" t="s">
        <v>67</v>
      </c>
      <c r="F993" s="1" t="s">
        <v>20</v>
      </c>
      <c r="G993" s="2">
        <v>31</v>
      </c>
      <c r="H993" s="51" t="s">
        <v>980</v>
      </c>
      <c r="I993" s="44">
        <f>Tabla1[[#This Row],[Descuento]]+Tabla1[[#This Row],[Neto]]</f>
        <v>1408.644</v>
      </c>
      <c r="J993" s="9">
        <v>493.024</v>
      </c>
      <c r="K993" s="9">
        <v>915.62</v>
      </c>
      <c r="L993" s="9">
        <v>79.796914000000001</v>
      </c>
      <c r="M993" s="24">
        <f>+Tabla1[[#This Row],[Costo Venta]]/Tabla1[[#This Row],[Cantidad]]</f>
        <v>2.5740940000000001</v>
      </c>
      <c r="N993" s="3">
        <v>1</v>
      </c>
      <c r="O993" s="8">
        <f>+Tabla1[[#This Row],[Conversión]]*Tabla1[[#This Row],[Cantidad]]</f>
        <v>31</v>
      </c>
      <c r="P993" s="43">
        <f>Tabla1[[#This Row],[Neto]]-Tabla1[[#This Row],[Costo Venta]]</f>
        <v>835.82308599999999</v>
      </c>
    </row>
    <row r="994" spans="1:16" x14ac:dyDescent="0.25">
      <c r="A994" s="48">
        <v>45383</v>
      </c>
      <c r="B994" s="1" t="s">
        <v>764</v>
      </c>
      <c r="C994" s="1" t="s">
        <v>81</v>
      </c>
      <c r="D994" s="1" t="s">
        <v>990</v>
      </c>
      <c r="E994" s="1" t="s">
        <v>67</v>
      </c>
      <c r="F994" s="1" t="s">
        <v>20</v>
      </c>
      <c r="G994" s="2">
        <v>67</v>
      </c>
      <c r="H994" s="51" t="s">
        <v>980</v>
      </c>
      <c r="I994" s="44">
        <f>Tabla1[[#This Row],[Descuento]]+Tabla1[[#This Row],[Neto]]</f>
        <v>3044.4780000000001</v>
      </c>
      <c r="J994" s="9">
        <v>1065.568</v>
      </c>
      <c r="K994" s="9">
        <v>1978.91</v>
      </c>
      <c r="L994" s="9">
        <v>172.46429800000001</v>
      </c>
      <c r="M994" s="24">
        <f>+Tabla1[[#This Row],[Costo Venta]]/Tabla1[[#This Row],[Cantidad]]</f>
        <v>2.5740940000000001</v>
      </c>
      <c r="N994" s="3">
        <v>1</v>
      </c>
      <c r="O994" s="8">
        <f>+Tabla1[[#This Row],[Conversión]]*Tabla1[[#This Row],[Cantidad]]</f>
        <v>67</v>
      </c>
      <c r="P994" s="43">
        <f>Tabla1[[#This Row],[Neto]]-Tabla1[[#This Row],[Costo Venta]]</f>
        <v>1806.445702</v>
      </c>
    </row>
    <row r="995" spans="1:16" x14ac:dyDescent="0.25">
      <c r="A995" s="48">
        <v>45420</v>
      </c>
      <c r="B995" s="1" t="s">
        <v>764</v>
      </c>
      <c r="C995" s="1" t="s">
        <v>29</v>
      </c>
      <c r="D995" s="1" t="s">
        <v>311</v>
      </c>
      <c r="E995" s="1" t="s">
        <v>132</v>
      </c>
      <c r="F995" s="1" t="s">
        <v>291</v>
      </c>
      <c r="G995" s="2">
        <v>8.36</v>
      </c>
      <c r="H995" s="51" t="s">
        <v>980</v>
      </c>
      <c r="I995" s="44">
        <f>Tabla1[[#This Row],[Descuento]]+Tabla1[[#This Row],[Neto]]</f>
        <v>325.03551999999996</v>
      </c>
      <c r="J995" s="9">
        <v>48.755519999999997</v>
      </c>
      <c r="K995" s="9">
        <v>276.27999999999997</v>
      </c>
      <c r="L995" s="9">
        <v>21.153090639999999</v>
      </c>
      <c r="M995" s="24">
        <f>+Tabla1[[#This Row],[Costo Venta]]/Tabla1[[#This Row],[Cantidad]]</f>
        <v>2.5302739999999999</v>
      </c>
      <c r="N995" s="3">
        <v>1</v>
      </c>
      <c r="O995" s="8">
        <f>+Tabla1[[#This Row],[Conversión]]*Tabla1[[#This Row],[Cantidad]]</f>
        <v>8.36</v>
      </c>
      <c r="P995" s="43">
        <f>Tabla1[[#This Row],[Neto]]-Tabla1[[#This Row],[Costo Venta]]</f>
        <v>255.12690935999998</v>
      </c>
    </row>
    <row r="996" spans="1:16" x14ac:dyDescent="0.25">
      <c r="A996" s="48">
        <v>45420</v>
      </c>
      <c r="B996" s="1" t="s">
        <v>764</v>
      </c>
      <c r="C996" s="1" t="s">
        <v>29</v>
      </c>
      <c r="D996" s="1" t="s">
        <v>991</v>
      </c>
      <c r="E996" s="1" t="s">
        <v>132</v>
      </c>
      <c r="F996" s="1" t="s">
        <v>291</v>
      </c>
      <c r="G996" s="2">
        <v>13.32</v>
      </c>
      <c r="H996" s="51" t="s">
        <v>980</v>
      </c>
      <c r="I996" s="44">
        <f>Tabla1[[#This Row],[Descuento]]+Tabla1[[#This Row],[Neto]]</f>
        <v>517.88224000000002</v>
      </c>
      <c r="J996" s="9">
        <v>77.682239999999993</v>
      </c>
      <c r="K996" s="9">
        <v>440.2</v>
      </c>
      <c r="L996" s="9">
        <v>33.703249679999999</v>
      </c>
      <c r="M996" s="24">
        <f>+Tabla1[[#This Row],[Costo Venta]]/Tabla1[[#This Row],[Cantidad]]</f>
        <v>2.5302739999999999</v>
      </c>
      <c r="N996" s="3">
        <v>1</v>
      </c>
      <c r="O996" s="8">
        <f>+Tabla1[[#This Row],[Conversión]]*Tabla1[[#This Row],[Cantidad]]</f>
        <v>13.32</v>
      </c>
      <c r="P996" s="43">
        <f>Tabla1[[#This Row],[Neto]]-Tabla1[[#This Row],[Costo Venta]]</f>
        <v>406.49675031999999</v>
      </c>
    </row>
    <row r="997" spans="1:16" x14ac:dyDescent="0.25">
      <c r="A997" s="48">
        <v>45420</v>
      </c>
      <c r="B997" s="1" t="s">
        <v>764</v>
      </c>
      <c r="C997" s="1" t="s">
        <v>29</v>
      </c>
      <c r="D997" s="1" t="s">
        <v>992</v>
      </c>
      <c r="E997" s="1" t="s">
        <v>132</v>
      </c>
      <c r="F997" s="1" t="s">
        <v>291</v>
      </c>
      <c r="G997" s="2">
        <v>13.32</v>
      </c>
      <c r="H997" s="51" t="s">
        <v>980</v>
      </c>
      <c r="I997" s="44">
        <f>Tabla1[[#This Row],[Descuento]]+Tabla1[[#This Row],[Neto]]</f>
        <v>517.88224000000002</v>
      </c>
      <c r="J997" s="9">
        <v>77.682239999999993</v>
      </c>
      <c r="K997" s="9">
        <v>440.2</v>
      </c>
      <c r="L997" s="9">
        <v>33.703249679999999</v>
      </c>
      <c r="M997" s="24">
        <f>+Tabla1[[#This Row],[Costo Venta]]/Tabla1[[#This Row],[Cantidad]]</f>
        <v>2.5302739999999999</v>
      </c>
      <c r="N997" s="3">
        <v>1</v>
      </c>
      <c r="O997" s="8">
        <f>+Tabla1[[#This Row],[Conversión]]*Tabla1[[#This Row],[Cantidad]]</f>
        <v>13.32</v>
      </c>
      <c r="P997" s="43">
        <f>Tabla1[[#This Row],[Neto]]-Tabla1[[#This Row],[Costo Venta]]</f>
        <v>406.49675031999999</v>
      </c>
    </row>
    <row r="998" spans="1:16" x14ac:dyDescent="0.25">
      <c r="A998" s="48">
        <v>45422</v>
      </c>
      <c r="B998" s="1" t="s">
        <v>764</v>
      </c>
      <c r="C998" s="1" t="s">
        <v>65</v>
      </c>
      <c r="D998" s="1" t="s">
        <v>704</v>
      </c>
      <c r="E998" s="1" t="s">
        <v>71</v>
      </c>
      <c r="F998" s="1" t="s">
        <v>705</v>
      </c>
      <c r="G998" s="2">
        <v>9.9</v>
      </c>
      <c r="H998" s="51" t="s">
        <v>980</v>
      </c>
      <c r="I998" s="44">
        <f>Tabla1[[#This Row],[Descuento]]+Tabla1[[#This Row],[Neto]]</f>
        <v>449.85679999999996</v>
      </c>
      <c r="J998" s="9">
        <v>134.95679999999999</v>
      </c>
      <c r="K998" s="9">
        <v>314.89999999999998</v>
      </c>
      <c r="L998" s="9">
        <v>25.049712599999999</v>
      </c>
      <c r="M998" s="24">
        <f>+Tabla1[[#This Row],[Costo Venta]]/Tabla1[[#This Row],[Cantidad]]</f>
        <v>2.5302739999999999</v>
      </c>
      <c r="N998" s="3">
        <v>1</v>
      </c>
      <c r="O998" s="8">
        <f>+Tabla1[[#This Row],[Conversión]]*Tabla1[[#This Row],[Cantidad]]</f>
        <v>9.9</v>
      </c>
      <c r="P998" s="43">
        <f>Tabla1[[#This Row],[Neto]]-Tabla1[[#This Row],[Costo Venta]]</f>
        <v>289.85028739999996</v>
      </c>
    </row>
    <row r="999" spans="1:16" x14ac:dyDescent="0.25">
      <c r="A999" s="48">
        <v>45475</v>
      </c>
      <c r="B999" s="1" t="s">
        <v>764</v>
      </c>
      <c r="C999" s="1" t="s">
        <v>65</v>
      </c>
      <c r="D999" s="1" t="s">
        <v>923</v>
      </c>
      <c r="E999" s="1" t="s">
        <v>71</v>
      </c>
      <c r="F999" s="1" t="s">
        <v>924</v>
      </c>
      <c r="G999" s="2">
        <v>47</v>
      </c>
      <c r="H999" s="51" t="s">
        <v>980</v>
      </c>
      <c r="I999" s="44">
        <f>Tabla1[[#This Row],[Descuento]]+Tabla1[[#This Row],[Neto]]</f>
        <v>1827.3559999999998</v>
      </c>
      <c r="J999" s="9">
        <v>182.73599999999999</v>
      </c>
      <c r="K999" s="9">
        <v>1644.62</v>
      </c>
      <c r="L999" s="9">
        <v>110.689606</v>
      </c>
      <c r="M999" s="24">
        <f>+Tabla1[[#This Row],[Costo Venta]]/Tabla1[[#This Row],[Cantidad]]</f>
        <v>2.3550979999999999</v>
      </c>
      <c r="N999" s="3">
        <v>1</v>
      </c>
      <c r="O999" s="8">
        <f>+Tabla1[[#This Row],[Conversión]]*Tabla1[[#This Row],[Cantidad]]</f>
        <v>47</v>
      </c>
      <c r="P999" s="43">
        <f>Tabla1[[#This Row],[Neto]]-Tabla1[[#This Row],[Costo Venta]]</f>
        <v>1533.930394</v>
      </c>
    </row>
    <row r="1000" spans="1:16" x14ac:dyDescent="0.25">
      <c r="A1000" s="48">
        <v>45572</v>
      </c>
      <c r="B1000" s="1" t="s">
        <v>764</v>
      </c>
      <c r="C1000" s="1" t="s">
        <v>65</v>
      </c>
      <c r="D1000" s="1" t="s">
        <v>993</v>
      </c>
      <c r="E1000" s="1" t="s">
        <v>71</v>
      </c>
      <c r="F1000" s="1" t="s">
        <v>924</v>
      </c>
      <c r="G1000" s="2">
        <v>15</v>
      </c>
      <c r="H1000" s="51" t="s">
        <v>980</v>
      </c>
      <c r="I1000" s="44">
        <f>Tabla1[[#This Row],[Descuento]]+Tabla1[[#This Row],[Neto]]</f>
        <v>583.20000000000005</v>
      </c>
      <c r="J1000" s="9">
        <v>58.32</v>
      </c>
      <c r="K1000" s="9">
        <v>524.88</v>
      </c>
      <c r="L1000" s="9">
        <v>35.374245000000002</v>
      </c>
      <c r="M1000" s="24">
        <f>+Tabla1[[#This Row],[Costo Venta]]/Tabla1[[#This Row],[Cantidad]]</f>
        <v>2.3582830000000001</v>
      </c>
      <c r="N1000" s="3">
        <v>1</v>
      </c>
      <c r="O1000" s="8">
        <f>+Tabla1[[#This Row],[Conversión]]*Tabla1[[#This Row],[Cantidad]]</f>
        <v>15</v>
      </c>
      <c r="P1000" s="43">
        <f>Tabla1[[#This Row],[Neto]]-Tabla1[[#This Row],[Costo Venta]]</f>
        <v>489.50575500000002</v>
      </c>
    </row>
    <row r="1001" spans="1:16" x14ac:dyDescent="0.25">
      <c r="A1001" s="48">
        <v>45583</v>
      </c>
      <c r="B1001" s="1" t="s">
        <v>764</v>
      </c>
      <c r="C1001" s="1" t="s">
        <v>65</v>
      </c>
      <c r="D1001" s="1" t="s">
        <v>994</v>
      </c>
      <c r="E1001" s="1" t="s">
        <v>67</v>
      </c>
      <c r="F1001" s="1" t="s">
        <v>20</v>
      </c>
      <c r="G1001" s="2">
        <v>15</v>
      </c>
      <c r="H1001" s="51" t="s">
        <v>980</v>
      </c>
      <c r="I1001" s="44">
        <f>Tabla1[[#This Row],[Descuento]]+Tabla1[[#This Row],[Neto]]</f>
        <v>583.20000000000005</v>
      </c>
      <c r="J1001" s="9">
        <v>204.12</v>
      </c>
      <c r="K1001" s="9">
        <v>379.08</v>
      </c>
      <c r="L1001" s="9">
        <v>35.374245000000002</v>
      </c>
      <c r="M1001" s="24">
        <f>+Tabla1[[#This Row],[Costo Venta]]/Tabla1[[#This Row],[Cantidad]]</f>
        <v>2.3582830000000001</v>
      </c>
      <c r="N1001" s="3">
        <v>1</v>
      </c>
      <c r="O1001" s="8">
        <f>+Tabla1[[#This Row],[Conversión]]*Tabla1[[#This Row],[Cantidad]]</f>
        <v>15</v>
      </c>
      <c r="P1001" s="43">
        <f>Tabla1[[#This Row],[Neto]]-Tabla1[[#This Row],[Costo Venta]]</f>
        <v>343.70575499999995</v>
      </c>
    </row>
    <row r="1002" spans="1:16" x14ac:dyDescent="0.25">
      <c r="A1002" s="48">
        <v>45593</v>
      </c>
      <c r="B1002" s="1" t="s">
        <v>764</v>
      </c>
      <c r="C1002" s="1" t="s">
        <v>65</v>
      </c>
      <c r="D1002" s="1" t="s">
        <v>671</v>
      </c>
      <c r="E1002" s="1" t="s">
        <v>67</v>
      </c>
      <c r="F1002" s="1" t="s">
        <v>44</v>
      </c>
      <c r="G1002" s="2">
        <v>12</v>
      </c>
      <c r="H1002" s="51" t="s">
        <v>980</v>
      </c>
      <c r="I1002" s="44">
        <f>Tabla1[[#This Row],[Descuento]]+Tabla1[[#This Row],[Neto]]</f>
        <v>466.55599999999998</v>
      </c>
      <c r="J1002" s="9">
        <v>163.29599999999999</v>
      </c>
      <c r="K1002" s="9">
        <v>303.26</v>
      </c>
      <c r="L1002" s="9">
        <v>28.299396000000002</v>
      </c>
      <c r="M1002" s="24">
        <f>+Tabla1[[#This Row],[Costo Venta]]/Tabla1[[#This Row],[Cantidad]]</f>
        <v>2.3582830000000001</v>
      </c>
      <c r="N1002" s="3">
        <v>1</v>
      </c>
      <c r="O1002" s="8">
        <f>+Tabla1[[#This Row],[Conversión]]*Tabla1[[#This Row],[Cantidad]]</f>
        <v>12</v>
      </c>
      <c r="P1002" s="43">
        <f>Tabla1[[#This Row],[Neto]]-Tabla1[[#This Row],[Costo Venta]]</f>
        <v>274.96060399999999</v>
      </c>
    </row>
    <row r="1003" spans="1:16" x14ac:dyDescent="0.25">
      <c r="A1003" s="48">
        <v>45622</v>
      </c>
      <c r="B1003" s="1" t="s">
        <v>764</v>
      </c>
      <c r="C1003" s="1" t="s">
        <v>65</v>
      </c>
      <c r="D1003" s="1" t="s">
        <v>995</v>
      </c>
      <c r="E1003" s="1" t="s">
        <v>67</v>
      </c>
      <c r="F1003" s="1" t="s">
        <v>44</v>
      </c>
      <c r="G1003" s="2">
        <v>8</v>
      </c>
      <c r="H1003" s="51" t="s">
        <v>980</v>
      </c>
      <c r="I1003" s="44">
        <f>Tabla1[[#This Row],[Descuento]]+Tabla1[[#This Row],[Neto]]</f>
        <v>311.04399999999998</v>
      </c>
      <c r="J1003" s="9">
        <v>108.864</v>
      </c>
      <c r="K1003" s="9">
        <v>202.18</v>
      </c>
      <c r="L1003" s="9">
        <v>18.866264000000001</v>
      </c>
      <c r="M1003" s="24">
        <f>+Tabla1[[#This Row],[Costo Venta]]/Tabla1[[#This Row],[Cantidad]]</f>
        <v>2.3582830000000001</v>
      </c>
      <c r="N1003" s="3">
        <v>1</v>
      </c>
      <c r="O1003" s="8">
        <f>+Tabla1[[#This Row],[Conversión]]*Tabla1[[#This Row],[Cantidad]]</f>
        <v>8</v>
      </c>
      <c r="P1003" s="43">
        <f>Tabla1[[#This Row],[Neto]]-Tabla1[[#This Row],[Costo Venta]]</f>
        <v>183.31373600000001</v>
      </c>
    </row>
    <row r="1004" spans="1:16" x14ac:dyDescent="0.25">
      <c r="A1004" s="48">
        <v>45635</v>
      </c>
      <c r="B1004" s="1" t="s">
        <v>764</v>
      </c>
      <c r="C1004" s="1" t="s">
        <v>65</v>
      </c>
      <c r="D1004" s="1" t="s">
        <v>996</v>
      </c>
      <c r="E1004" s="1" t="s">
        <v>71</v>
      </c>
      <c r="F1004" s="1" t="s">
        <v>997</v>
      </c>
      <c r="G1004" s="2">
        <v>10.5</v>
      </c>
      <c r="H1004" s="51" t="s">
        <v>980</v>
      </c>
      <c r="I1004" s="44">
        <f>Tabla1[[#This Row],[Descuento]]+Tabla1[[#This Row],[Neto]]</f>
        <v>408.24</v>
      </c>
      <c r="J1004" s="9">
        <v>204.12</v>
      </c>
      <c r="K1004" s="9">
        <v>204.12</v>
      </c>
      <c r="L1004" s="9">
        <v>24.710972999999999</v>
      </c>
      <c r="M1004" s="24">
        <f>+Tabla1[[#This Row],[Costo Venta]]/Tabla1[[#This Row],[Cantidad]]</f>
        <v>2.3534259999999998</v>
      </c>
      <c r="N1004" s="3">
        <v>1</v>
      </c>
      <c r="O1004" s="8">
        <f>+Tabla1[[#This Row],[Conversión]]*Tabla1[[#This Row],[Cantidad]]</f>
        <v>10.5</v>
      </c>
      <c r="P1004" s="43">
        <f>Tabla1[[#This Row],[Neto]]-Tabla1[[#This Row],[Costo Venta]]</f>
        <v>179.40902700000001</v>
      </c>
    </row>
    <row r="1005" spans="1:16" x14ac:dyDescent="0.25">
      <c r="A1005" s="48">
        <v>45642</v>
      </c>
      <c r="B1005" s="1" t="s">
        <v>764</v>
      </c>
      <c r="C1005" s="1" t="s">
        <v>65</v>
      </c>
      <c r="D1005" s="1" t="s">
        <v>998</v>
      </c>
      <c r="E1005" s="1" t="s">
        <v>67</v>
      </c>
      <c r="F1005" s="1" t="s">
        <v>20</v>
      </c>
      <c r="G1005" s="2">
        <v>11</v>
      </c>
      <c r="H1005" s="51" t="s">
        <v>980</v>
      </c>
      <c r="I1005" s="44">
        <f>Tabla1[[#This Row],[Descuento]]+Tabla1[[#This Row],[Neto]]</f>
        <v>427.678</v>
      </c>
      <c r="J1005" s="9">
        <v>149.68799999999999</v>
      </c>
      <c r="K1005" s="9">
        <v>277.99</v>
      </c>
      <c r="L1005" s="9">
        <v>25.887685999999999</v>
      </c>
      <c r="M1005" s="24">
        <f>+Tabla1[[#This Row],[Costo Venta]]/Tabla1[[#This Row],[Cantidad]]</f>
        <v>2.3534259999999998</v>
      </c>
      <c r="N1005" s="3">
        <v>1</v>
      </c>
      <c r="O1005" s="8">
        <f>+Tabla1[[#This Row],[Conversión]]*Tabla1[[#This Row],[Cantidad]]</f>
        <v>11</v>
      </c>
      <c r="P1005" s="43">
        <f>Tabla1[[#This Row],[Neto]]-Tabla1[[#This Row],[Costo Venta]]</f>
        <v>252.10231400000001</v>
      </c>
    </row>
    <row r="1006" spans="1:16" x14ac:dyDescent="0.25">
      <c r="A1006" s="48">
        <v>45692</v>
      </c>
      <c r="B1006" s="1" t="s">
        <v>764</v>
      </c>
      <c r="C1006" s="1" t="s">
        <v>65</v>
      </c>
      <c r="D1006" s="1" t="s">
        <v>999</v>
      </c>
      <c r="E1006" s="1" t="s">
        <v>67</v>
      </c>
      <c r="F1006" s="1" t="s">
        <v>9</v>
      </c>
      <c r="G1006" s="2">
        <v>10</v>
      </c>
      <c r="H1006" s="51" t="s">
        <v>980</v>
      </c>
      <c r="I1006" s="44">
        <f>Tabla1[[#This Row],[Descuento]]+Tabla1[[#This Row],[Neto]]</f>
        <v>388.8</v>
      </c>
      <c r="J1006" s="9">
        <v>174.96</v>
      </c>
      <c r="K1006" s="9">
        <v>213.84</v>
      </c>
      <c r="L1006" s="9">
        <v>23.53426</v>
      </c>
      <c r="M1006" s="24">
        <f>+Tabla1[[#This Row],[Costo Venta]]/Tabla1[[#This Row],[Cantidad]]</f>
        <v>2.3534259999999998</v>
      </c>
      <c r="N1006" s="3">
        <v>1</v>
      </c>
      <c r="O1006" s="8">
        <f>+Tabla1[[#This Row],[Conversión]]*Tabla1[[#This Row],[Cantidad]]</f>
        <v>10</v>
      </c>
      <c r="P1006" s="43">
        <f>Tabla1[[#This Row],[Neto]]-Tabla1[[#This Row],[Costo Venta]]</f>
        <v>190.30574000000001</v>
      </c>
    </row>
    <row r="1007" spans="1:16" x14ac:dyDescent="0.25">
      <c r="A1007" s="48">
        <v>45706</v>
      </c>
      <c r="B1007" s="1" t="s">
        <v>764</v>
      </c>
      <c r="C1007" s="1" t="s">
        <v>65</v>
      </c>
      <c r="D1007" s="1" t="s">
        <v>1000</v>
      </c>
      <c r="E1007" s="1" t="s">
        <v>67</v>
      </c>
      <c r="F1007" s="1" t="s">
        <v>20</v>
      </c>
      <c r="G1007" s="2">
        <v>12</v>
      </c>
      <c r="H1007" s="51" t="s">
        <v>980</v>
      </c>
      <c r="I1007" s="44">
        <f>Tabla1[[#This Row],[Descuento]]+Tabla1[[#This Row],[Neto]]</f>
        <v>466.55799999999999</v>
      </c>
      <c r="J1007" s="9">
        <v>139.96799999999999</v>
      </c>
      <c r="K1007" s="9">
        <v>326.58999999999997</v>
      </c>
      <c r="L1007" s="9">
        <v>28.258236</v>
      </c>
      <c r="M1007" s="24">
        <f>+Tabla1[[#This Row],[Costo Venta]]/Tabla1[[#This Row],[Cantidad]]</f>
        <v>2.3548529999999999</v>
      </c>
      <c r="N1007" s="3">
        <v>1</v>
      </c>
      <c r="O1007" s="8">
        <f>+Tabla1[[#This Row],[Conversión]]*Tabla1[[#This Row],[Cantidad]]</f>
        <v>12</v>
      </c>
      <c r="P1007" s="43">
        <f>Tabla1[[#This Row],[Neto]]-Tabla1[[#This Row],[Costo Venta]]</f>
        <v>298.33176399999996</v>
      </c>
    </row>
    <row r="1008" spans="1:16" x14ac:dyDescent="0.25">
      <c r="A1008" s="48">
        <v>45706</v>
      </c>
      <c r="B1008" s="1" t="s">
        <v>764</v>
      </c>
      <c r="C1008" s="1" t="s">
        <v>65</v>
      </c>
      <c r="D1008" s="1" t="s">
        <v>1001</v>
      </c>
      <c r="E1008" s="1" t="s">
        <v>67</v>
      </c>
      <c r="F1008" s="1" t="s">
        <v>9</v>
      </c>
      <c r="G1008" s="2">
        <v>4</v>
      </c>
      <c r="H1008" s="51" t="s">
        <v>980</v>
      </c>
      <c r="I1008" s="44">
        <f>Tabla1[[#This Row],[Descuento]]+Tabla1[[#This Row],[Neto]]</f>
        <v>155.524</v>
      </c>
      <c r="J1008" s="9">
        <v>69.983999999999995</v>
      </c>
      <c r="K1008" s="9">
        <v>85.54</v>
      </c>
      <c r="L1008" s="9">
        <v>9.4194119999999995</v>
      </c>
      <c r="M1008" s="24">
        <f>+Tabla1[[#This Row],[Costo Venta]]/Tabla1[[#This Row],[Cantidad]]</f>
        <v>2.3548529999999999</v>
      </c>
      <c r="N1008" s="3">
        <v>1</v>
      </c>
      <c r="O1008" s="8">
        <f>+Tabla1[[#This Row],[Conversión]]*Tabla1[[#This Row],[Cantidad]]</f>
        <v>4</v>
      </c>
      <c r="P1008" s="43">
        <f>Tabla1[[#This Row],[Neto]]-Tabla1[[#This Row],[Costo Venta]]</f>
        <v>76.120588000000012</v>
      </c>
    </row>
    <row r="1009" spans="1:16" x14ac:dyDescent="0.25">
      <c r="A1009" s="48">
        <v>45776</v>
      </c>
      <c r="B1009" s="1" t="s">
        <v>764</v>
      </c>
      <c r="C1009" s="1" t="s">
        <v>65</v>
      </c>
      <c r="D1009" s="1" t="s">
        <v>1002</v>
      </c>
      <c r="E1009" s="1" t="s">
        <v>67</v>
      </c>
      <c r="F1009" s="1" t="s">
        <v>20</v>
      </c>
      <c r="G1009" s="2">
        <v>22</v>
      </c>
      <c r="H1009" s="51" t="s">
        <v>980</v>
      </c>
      <c r="I1009" s="44">
        <f>Tabla1[[#This Row],[Descuento]]+Tabla1[[#This Row],[Neto]]</f>
        <v>855.35799999999995</v>
      </c>
      <c r="J1009" s="9">
        <v>256.608</v>
      </c>
      <c r="K1009" s="9">
        <v>598.75</v>
      </c>
      <c r="L1009" s="9">
        <v>51.764437999999998</v>
      </c>
      <c r="M1009" s="24">
        <f>+Tabla1[[#This Row],[Costo Venta]]/Tabla1[[#This Row],[Cantidad]]</f>
        <v>2.352929</v>
      </c>
      <c r="N1009" s="3">
        <v>1</v>
      </c>
      <c r="O1009" s="8">
        <f>+Tabla1[[#This Row],[Conversión]]*Tabla1[[#This Row],[Cantidad]]</f>
        <v>22</v>
      </c>
      <c r="P1009" s="43">
        <f>Tabla1[[#This Row],[Neto]]-Tabla1[[#This Row],[Costo Venta]]</f>
        <v>546.98556199999996</v>
      </c>
    </row>
    <row r="1010" spans="1:16" x14ac:dyDescent="0.25">
      <c r="A1010" s="48">
        <v>45811</v>
      </c>
      <c r="B1010" s="1" t="s">
        <v>764</v>
      </c>
      <c r="C1010" s="1" t="s">
        <v>65</v>
      </c>
      <c r="D1010" s="1" t="s">
        <v>1003</v>
      </c>
      <c r="E1010" s="1" t="s">
        <v>67</v>
      </c>
      <c r="F1010" s="1" t="s">
        <v>20</v>
      </c>
      <c r="G1010" s="2">
        <v>4</v>
      </c>
      <c r="H1010" s="51" t="s">
        <v>980</v>
      </c>
      <c r="I1010" s="44">
        <f>Tabla1[[#This Row],[Descuento]]+Tabla1[[#This Row],[Neto]]</f>
        <v>155.51599999999999</v>
      </c>
      <c r="J1010" s="9">
        <v>46.655999999999999</v>
      </c>
      <c r="K1010" s="9">
        <v>108.86</v>
      </c>
      <c r="L1010" s="9">
        <v>9.4117160000000002</v>
      </c>
      <c r="M1010" s="24">
        <f>+Tabla1[[#This Row],[Costo Venta]]/Tabla1[[#This Row],[Cantidad]]</f>
        <v>2.352929</v>
      </c>
      <c r="N1010" s="3">
        <v>1</v>
      </c>
      <c r="O1010" s="8">
        <f>+Tabla1[[#This Row],[Conversión]]*Tabla1[[#This Row],[Cantidad]]</f>
        <v>4</v>
      </c>
      <c r="P1010" s="43">
        <f>Tabla1[[#This Row],[Neto]]-Tabla1[[#This Row],[Costo Venta]]</f>
        <v>99.448284000000001</v>
      </c>
    </row>
    <row r="1011" spans="1:16" x14ac:dyDescent="0.25">
      <c r="A1011" s="48">
        <v>45846</v>
      </c>
      <c r="B1011" s="1" t="s">
        <v>764</v>
      </c>
      <c r="C1011" s="1" t="s">
        <v>65</v>
      </c>
      <c r="D1011" s="1" t="s">
        <v>1004</v>
      </c>
      <c r="E1011" s="1" t="s">
        <v>67</v>
      </c>
      <c r="F1011" s="1" t="s">
        <v>20</v>
      </c>
      <c r="G1011" s="2">
        <v>16</v>
      </c>
      <c r="H1011" s="51" t="s">
        <v>980</v>
      </c>
      <c r="I1011" s="44">
        <f>Tabla1[[#This Row],[Descuento]]+Tabla1[[#This Row],[Neto]]</f>
        <v>622.08399999999995</v>
      </c>
      <c r="J1011" s="9">
        <v>186.624</v>
      </c>
      <c r="K1011" s="9">
        <v>435.46</v>
      </c>
      <c r="L1011" s="9">
        <v>37.661695999999999</v>
      </c>
      <c r="M1011" s="24">
        <f>+Tabla1[[#This Row],[Costo Venta]]/Tabla1[[#This Row],[Cantidad]]</f>
        <v>2.3538559999999999</v>
      </c>
      <c r="N1011" s="3">
        <v>1</v>
      </c>
      <c r="O1011" s="8">
        <f>+Tabla1[[#This Row],[Conversión]]*Tabla1[[#This Row],[Cantidad]]</f>
        <v>16</v>
      </c>
      <c r="P1011" s="43">
        <f>Tabla1[[#This Row],[Neto]]-Tabla1[[#This Row],[Costo Venta]]</f>
        <v>397.79830399999997</v>
      </c>
    </row>
    <row r="1012" spans="1:16" x14ac:dyDescent="0.25">
      <c r="A1012" s="48">
        <v>45867</v>
      </c>
      <c r="B1012" s="1" t="s">
        <v>764</v>
      </c>
      <c r="C1012" s="1" t="s">
        <v>65</v>
      </c>
      <c r="D1012" s="1" t="s">
        <v>1005</v>
      </c>
      <c r="E1012" s="1" t="s">
        <v>67</v>
      </c>
      <c r="F1012" s="1" t="s">
        <v>20</v>
      </c>
      <c r="G1012" s="2">
        <v>3</v>
      </c>
      <c r="H1012" s="51" t="s">
        <v>980</v>
      </c>
      <c r="I1012" s="44">
        <f>Tabla1[[#This Row],[Descuento]]+Tabla1[[#This Row],[Neto]]</f>
        <v>116.642</v>
      </c>
      <c r="J1012" s="9">
        <v>34.991999999999997</v>
      </c>
      <c r="K1012" s="9">
        <v>81.650000000000006</v>
      </c>
      <c r="L1012" s="9">
        <v>7.0615680000000003</v>
      </c>
      <c r="M1012" s="24">
        <f>+Tabla1[[#This Row],[Costo Venta]]/Tabla1[[#This Row],[Cantidad]]</f>
        <v>2.3538559999999999</v>
      </c>
      <c r="N1012" s="3">
        <v>1</v>
      </c>
      <c r="O1012" s="8">
        <f>+Tabla1[[#This Row],[Conversión]]*Tabla1[[#This Row],[Cantidad]]</f>
        <v>3</v>
      </c>
      <c r="P1012" s="43">
        <f>Tabla1[[#This Row],[Neto]]-Tabla1[[#This Row],[Costo Venta]]</f>
        <v>74.588432000000012</v>
      </c>
    </row>
    <row r="1013" spans="1:16" x14ac:dyDescent="0.25">
      <c r="A1013" s="48">
        <v>44942</v>
      </c>
      <c r="B1013" s="1" t="s">
        <v>1006</v>
      </c>
      <c r="C1013" s="1" t="s">
        <v>65</v>
      </c>
      <c r="D1013" s="1" t="s">
        <v>937</v>
      </c>
      <c r="E1013" s="1" t="s">
        <v>132</v>
      </c>
      <c r="F1013" s="1" t="s">
        <v>938</v>
      </c>
      <c r="G1013" s="2">
        <v>2</v>
      </c>
      <c r="H1013" s="1" t="s">
        <v>1007</v>
      </c>
      <c r="I1013" s="44">
        <f>Tabla1[[#This Row],[Descuento]]+Tabla1[[#This Row],[Neto]]</f>
        <v>80</v>
      </c>
      <c r="J1013" s="9">
        <v>4</v>
      </c>
      <c r="K1013" s="9">
        <v>76</v>
      </c>
      <c r="L1013" s="9">
        <v>0</v>
      </c>
      <c r="M1013" s="24">
        <f>+Tabla1[[#This Row],[Costo Venta]]/Tabla1[[#This Row],[Cantidad]]</f>
        <v>0</v>
      </c>
      <c r="N1013" s="3">
        <v>1</v>
      </c>
      <c r="O1013" s="8">
        <f>+Tabla1[[#This Row],[Conversión]]*Tabla1[[#This Row],[Cantidad]]</f>
        <v>2</v>
      </c>
      <c r="P1013" s="43">
        <f>Tabla1[[#This Row],[Neto]]-Tabla1[[#This Row],[Costo Venta]]</f>
        <v>76</v>
      </c>
    </row>
    <row r="1014" spans="1:16" x14ac:dyDescent="0.25">
      <c r="A1014" s="48">
        <v>44944</v>
      </c>
      <c r="B1014" s="1" t="s">
        <v>1006</v>
      </c>
      <c r="C1014" s="1" t="s">
        <v>65</v>
      </c>
      <c r="D1014" s="1" t="s">
        <v>122</v>
      </c>
      <c r="E1014" s="1" t="s">
        <v>71</v>
      </c>
      <c r="F1014" s="1" t="s">
        <v>123</v>
      </c>
      <c r="G1014" s="2">
        <v>1</v>
      </c>
      <c r="H1014" s="1" t="s">
        <v>1007</v>
      </c>
      <c r="I1014" s="44">
        <f>Tabla1[[#This Row],[Descuento]]+Tabla1[[#This Row],[Neto]]</f>
        <v>40</v>
      </c>
      <c r="J1014" s="9">
        <v>0</v>
      </c>
      <c r="K1014" s="9">
        <v>40</v>
      </c>
      <c r="L1014" s="9">
        <v>0</v>
      </c>
      <c r="M1014" s="24">
        <f>+Tabla1[[#This Row],[Costo Venta]]/Tabla1[[#This Row],[Cantidad]]</f>
        <v>0</v>
      </c>
      <c r="N1014" s="3">
        <v>1</v>
      </c>
      <c r="O1014" s="8">
        <f>+Tabla1[[#This Row],[Conversión]]*Tabla1[[#This Row],[Cantidad]]</f>
        <v>1</v>
      </c>
      <c r="P1014" s="43">
        <f>Tabla1[[#This Row],[Neto]]-Tabla1[[#This Row],[Costo Venta]]</f>
        <v>40</v>
      </c>
    </row>
    <row r="1015" spans="1:16" x14ac:dyDescent="0.25">
      <c r="A1015" s="48">
        <v>44956</v>
      </c>
      <c r="B1015" s="1" t="s">
        <v>1006</v>
      </c>
      <c r="C1015" s="1" t="s">
        <v>115</v>
      </c>
      <c r="D1015" s="1" t="s">
        <v>1008</v>
      </c>
      <c r="E1015" s="1" t="s">
        <v>71</v>
      </c>
      <c r="F1015" s="1" t="s">
        <v>1009</v>
      </c>
      <c r="G1015" s="2">
        <v>1</v>
      </c>
      <c r="H1015" s="1" t="s">
        <v>1007</v>
      </c>
      <c r="I1015" s="44">
        <f>Tabla1[[#This Row],[Descuento]]+Tabla1[[#This Row],[Neto]]</f>
        <v>40</v>
      </c>
      <c r="J1015" s="9">
        <v>0</v>
      </c>
      <c r="K1015" s="9">
        <v>40</v>
      </c>
      <c r="L1015" s="9">
        <v>0</v>
      </c>
      <c r="M1015" s="24">
        <f>+Tabla1[[#This Row],[Costo Venta]]/Tabla1[[#This Row],[Cantidad]]</f>
        <v>0</v>
      </c>
      <c r="N1015" s="3">
        <v>1</v>
      </c>
      <c r="O1015" s="8">
        <f>+Tabla1[[#This Row],[Conversión]]*Tabla1[[#This Row],[Cantidad]]</f>
        <v>1</v>
      </c>
      <c r="P1015" s="43">
        <f>Tabla1[[#This Row],[Neto]]-Tabla1[[#This Row],[Costo Venta]]</f>
        <v>40</v>
      </c>
    </row>
    <row r="1016" spans="1:16" x14ac:dyDescent="0.25">
      <c r="A1016" s="48">
        <v>44987</v>
      </c>
      <c r="B1016" s="1" t="s">
        <v>1006</v>
      </c>
      <c r="C1016" s="1" t="s">
        <v>109</v>
      </c>
      <c r="D1016" s="1" t="s">
        <v>150</v>
      </c>
      <c r="E1016" s="1" t="s">
        <v>137</v>
      </c>
      <c r="F1016" s="1" t="s">
        <v>151</v>
      </c>
      <c r="G1016" s="2">
        <v>6</v>
      </c>
      <c r="H1016" s="1" t="s">
        <v>1007</v>
      </c>
      <c r="I1016" s="44">
        <f>Tabla1[[#This Row],[Descuento]]+Tabla1[[#This Row],[Neto]]</f>
        <v>240</v>
      </c>
      <c r="J1016" s="9">
        <v>0</v>
      </c>
      <c r="K1016" s="9">
        <v>240</v>
      </c>
      <c r="L1016" s="9">
        <v>0</v>
      </c>
      <c r="M1016" s="24">
        <f>+Tabla1[[#This Row],[Costo Venta]]/Tabla1[[#This Row],[Cantidad]]</f>
        <v>0</v>
      </c>
      <c r="N1016" s="3">
        <v>1</v>
      </c>
      <c r="O1016" s="8">
        <f>+Tabla1[[#This Row],[Conversión]]*Tabla1[[#This Row],[Cantidad]]</f>
        <v>6</v>
      </c>
      <c r="P1016" s="43">
        <f>Tabla1[[#This Row],[Neto]]-Tabla1[[#This Row],[Costo Venta]]</f>
        <v>240</v>
      </c>
    </row>
    <row r="1017" spans="1:16" x14ac:dyDescent="0.25">
      <c r="A1017" s="48">
        <v>44987</v>
      </c>
      <c r="B1017" s="1" t="s">
        <v>1006</v>
      </c>
      <c r="C1017" s="1" t="s">
        <v>115</v>
      </c>
      <c r="D1017" s="1" t="s">
        <v>1010</v>
      </c>
      <c r="E1017" s="1" t="s">
        <v>71</v>
      </c>
      <c r="F1017" s="1" t="s">
        <v>1009</v>
      </c>
      <c r="G1017" s="2">
        <v>1</v>
      </c>
      <c r="H1017" s="1" t="s">
        <v>1007</v>
      </c>
      <c r="I1017" s="44">
        <f>Tabla1[[#This Row],[Descuento]]+Tabla1[[#This Row],[Neto]]</f>
        <v>40</v>
      </c>
      <c r="J1017" s="9">
        <v>0</v>
      </c>
      <c r="K1017" s="9">
        <v>40</v>
      </c>
      <c r="L1017" s="9">
        <v>0</v>
      </c>
      <c r="M1017" s="24">
        <f>+Tabla1[[#This Row],[Costo Venta]]/Tabla1[[#This Row],[Cantidad]]</f>
        <v>0</v>
      </c>
      <c r="N1017" s="3">
        <v>1</v>
      </c>
      <c r="O1017" s="8">
        <f>+Tabla1[[#This Row],[Conversión]]*Tabla1[[#This Row],[Cantidad]]</f>
        <v>1</v>
      </c>
      <c r="P1017" s="43">
        <f>Tabla1[[#This Row],[Neto]]-Tabla1[[#This Row],[Costo Venta]]</f>
        <v>40</v>
      </c>
    </row>
    <row r="1018" spans="1:16" x14ac:dyDescent="0.25">
      <c r="A1018" s="48">
        <v>44942</v>
      </c>
      <c r="B1018" s="1" t="s">
        <v>1006</v>
      </c>
      <c r="C1018" s="1" t="s">
        <v>65</v>
      </c>
      <c r="D1018" s="1" t="s">
        <v>937</v>
      </c>
      <c r="E1018" s="1" t="s">
        <v>132</v>
      </c>
      <c r="F1018" s="1" t="s">
        <v>938</v>
      </c>
      <c r="G1018" s="2">
        <v>4</v>
      </c>
      <c r="H1018" s="1" t="s">
        <v>1011</v>
      </c>
      <c r="I1018" s="44">
        <f>Tabla1[[#This Row],[Descuento]]+Tabla1[[#This Row],[Neto]]</f>
        <v>160</v>
      </c>
      <c r="J1018" s="9">
        <v>8</v>
      </c>
      <c r="K1018" s="9">
        <v>152</v>
      </c>
      <c r="L1018" s="9">
        <v>0</v>
      </c>
      <c r="M1018" s="24">
        <f>+Tabla1[[#This Row],[Costo Venta]]/Tabla1[[#This Row],[Cantidad]]</f>
        <v>0</v>
      </c>
      <c r="N1018" s="3">
        <v>1</v>
      </c>
      <c r="O1018" s="8">
        <f>+Tabla1[[#This Row],[Conversión]]*Tabla1[[#This Row],[Cantidad]]</f>
        <v>4</v>
      </c>
      <c r="P1018" s="43">
        <f>Tabla1[[#This Row],[Neto]]-Tabla1[[#This Row],[Costo Venta]]</f>
        <v>152</v>
      </c>
    </row>
    <row r="1019" spans="1:16" x14ac:dyDescent="0.25">
      <c r="A1019" s="48">
        <v>44963</v>
      </c>
      <c r="B1019" s="1" t="s">
        <v>1006</v>
      </c>
      <c r="C1019" s="1" t="s">
        <v>65</v>
      </c>
      <c r="D1019" s="1" t="s">
        <v>139</v>
      </c>
      <c r="E1019" s="1" t="s">
        <v>71</v>
      </c>
      <c r="F1019" s="1" t="s">
        <v>140</v>
      </c>
      <c r="G1019" s="2">
        <v>5</v>
      </c>
      <c r="H1019" s="1" t="s">
        <v>1011</v>
      </c>
      <c r="I1019" s="44">
        <f>Tabla1[[#This Row],[Descuento]]+Tabla1[[#This Row],[Neto]]</f>
        <v>200</v>
      </c>
      <c r="J1019" s="9">
        <v>20</v>
      </c>
      <c r="K1019" s="9">
        <v>180</v>
      </c>
      <c r="L1019" s="9">
        <v>0</v>
      </c>
      <c r="M1019" s="24">
        <f>+Tabla1[[#This Row],[Costo Venta]]/Tabla1[[#This Row],[Cantidad]]</f>
        <v>0</v>
      </c>
      <c r="N1019" s="3">
        <v>1</v>
      </c>
      <c r="O1019" s="8">
        <f>+Tabla1[[#This Row],[Conversión]]*Tabla1[[#This Row],[Cantidad]]</f>
        <v>5</v>
      </c>
      <c r="P1019" s="43">
        <f>Tabla1[[#This Row],[Neto]]-Tabla1[[#This Row],[Costo Venta]]</f>
        <v>180</v>
      </c>
    </row>
    <row r="1020" spans="1:16" x14ac:dyDescent="0.25">
      <c r="A1020" s="48">
        <v>45015</v>
      </c>
      <c r="B1020" s="1" t="s">
        <v>1006</v>
      </c>
      <c r="C1020" s="1" t="s">
        <v>81</v>
      </c>
      <c r="D1020" s="1" t="s">
        <v>1012</v>
      </c>
      <c r="E1020" s="1" t="s">
        <v>71</v>
      </c>
      <c r="F1020" s="1" t="s">
        <v>1013</v>
      </c>
      <c r="G1020" s="2">
        <v>6</v>
      </c>
      <c r="H1020" s="1" t="s">
        <v>1011</v>
      </c>
      <c r="I1020" s="44">
        <f>Tabla1[[#This Row],[Descuento]]+Tabla1[[#This Row],[Neto]]</f>
        <v>240</v>
      </c>
      <c r="J1020" s="9">
        <v>48</v>
      </c>
      <c r="K1020" s="9">
        <v>192</v>
      </c>
      <c r="L1020" s="9">
        <v>0</v>
      </c>
      <c r="M1020" s="24">
        <f>+Tabla1[[#This Row],[Costo Venta]]/Tabla1[[#This Row],[Cantidad]]</f>
        <v>0</v>
      </c>
      <c r="N1020" s="3">
        <v>1</v>
      </c>
      <c r="O1020" s="8">
        <f>+Tabla1[[#This Row],[Conversión]]*Tabla1[[#This Row],[Cantidad]]</f>
        <v>6</v>
      </c>
      <c r="P1020" s="43">
        <f>Tabla1[[#This Row],[Neto]]-Tabla1[[#This Row],[Costo Venta]]</f>
        <v>192</v>
      </c>
    </row>
    <row r="1021" spans="1:16" x14ac:dyDescent="0.25">
      <c r="A1021" s="48">
        <v>45195</v>
      </c>
      <c r="B1021" s="1" t="s">
        <v>1006</v>
      </c>
      <c r="C1021" s="1" t="s">
        <v>81</v>
      </c>
      <c r="D1021" s="1" t="s">
        <v>969</v>
      </c>
      <c r="E1021" s="1" t="s">
        <v>67</v>
      </c>
      <c r="F1021" s="1" t="s">
        <v>9</v>
      </c>
      <c r="G1021" s="2">
        <v>2</v>
      </c>
      <c r="H1021" s="1" t="s">
        <v>1011</v>
      </c>
      <c r="I1021" s="44">
        <f>Tabla1[[#This Row],[Descuento]]+Tabla1[[#This Row],[Neto]]</f>
        <v>80</v>
      </c>
      <c r="J1021" s="9">
        <v>28</v>
      </c>
      <c r="K1021" s="9">
        <v>52</v>
      </c>
      <c r="L1021" s="9">
        <v>0</v>
      </c>
      <c r="M1021" s="24">
        <f>+Tabla1[[#This Row],[Costo Venta]]/Tabla1[[#This Row],[Cantidad]]</f>
        <v>0</v>
      </c>
      <c r="N1021" s="3">
        <v>1</v>
      </c>
      <c r="O1021" s="8">
        <f>+Tabla1[[#This Row],[Conversión]]*Tabla1[[#This Row],[Cantidad]]</f>
        <v>2</v>
      </c>
      <c r="P1021" s="43">
        <f>Tabla1[[#This Row],[Neto]]-Tabla1[[#This Row],[Costo Venta]]</f>
        <v>52</v>
      </c>
    </row>
    <row r="1022" spans="1:16" x14ac:dyDescent="0.25">
      <c r="A1022" s="48">
        <v>45210</v>
      </c>
      <c r="B1022" s="1" t="s">
        <v>1006</v>
      </c>
      <c r="C1022" s="1" t="s">
        <v>214</v>
      </c>
      <c r="D1022" s="1" t="s">
        <v>250</v>
      </c>
      <c r="E1022" s="1" t="s">
        <v>71</v>
      </c>
      <c r="F1022" s="1" t="s">
        <v>251</v>
      </c>
      <c r="G1022" s="2">
        <v>1</v>
      </c>
      <c r="H1022" s="1" t="s">
        <v>1011</v>
      </c>
      <c r="I1022" s="44">
        <f>Tabla1[[#This Row],[Descuento]]+Tabla1[[#This Row],[Neto]]</f>
        <v>40</v>
      </c>
      <c r="J1022" s="9">
        <v>4</v>
      </c>
      <c r="K1022" s="9">
        <v>36</v>
      </c>
      <c r="L1022" s="9">
        <v>0</v>
      </c>
      <c r="M1022" s="24">
        <f>+Tabla1[[#This Row],[Costo Venta]]/Tabla1[[#This Row],[Cantidad]]</f>
        <v>0</v>
      </c>
      <c r="N1022" s="3">
        <v>1</v>
      </c>
      <c r="O1022" s="8">
        <f>+Tabla1[[#This Row],[Conversión]]*Tabla1[[#This Row],[Cantidad]]</f>
        <v>1</v>
      </c>
      <c r="P1022" s="43">
        <f>Tabla1[[#This Row],[Neto]]-Tabla1[[#This Row],[Costo Venta]]</f>
        <v>36</v>
      </c>
    </row>
    <row r="1023" spans="1:16" x14ac:dyDescent="0.25">
      <c r="A1023" s="48">
        <v>45336</v>
      </c>
      <c r="B1023" s="1" t="s">
        <v>686</v>
      </c>
      <c r="C1023" s="1" t="s">
        <v>29</v>
      </c>
      <c r="D1023" s="1" t="s">
        <v>1014</v>
      </c>
      <c r="E1023" s="1" t="s">
        <v>67</v>
      </c>
      <c r="F1023" s="1" t="s">
        <v>20</v>
      </c>
      <c r="G1023" s="2">
        <v>42</v>
      </c>
      <c r="H1023" s="51" t="s">
        <v>1015</v>
      </c>
      <c r="I1023" s="44">
        <f>Tabla1[[#This Row],[Descuento]]+Tabla1[[#This Row],[Neto]]</f>
        <v>2078.1559999999999</v>
      </c>
      <c r="J1023" s="9">
        <v>727.35599999999999</v>
      </c>
      <c r="K1023" s="9">
        <v>1350.8</v>
      </c>
      <c r="L1023" s="9">
        <v>532.16162999999995</v>
      </c>
      <c r="M1023" s="24">
        <f>+Tabla1[[#This Row],[Costo Venta]]/Tabla1[[#This Row],[Cantidad]]</f>
        <v>12.670514999999998</v>
      </c>
      <c r="N1023" s="3">
        <v>1</v>
      </c>
      <c r="O1023" s="8">
        <f>+Tabla1[[#This Row],[Conversión]]*Tabla1[[#This Row],[Cantidad]]</f>
        <v>42</v>
      </c>
      <c r="P1023" s="43">
        <f>Tabla1[[#This Row],[Neto]]-Tabla1[[#This Row],[Costo Venta]]</f>
        <v>818.63837000000001</v>
      </c>
    </row>
    <row r="1024" spans="1:16" x14ac:dyDescent="0.25">
      <c r="A1024" s="48">
        <v>44970</v>
      </c>
      <c r="B1024" s="1" t="s">
        <v>686</v>
      </c>
      <c r="C1024" s="1" t="s">
        <v>109</v>
      </c>
      <c r="D1024" s="1" t="s">
        <v>146</v>
      </c>
      <c r="E1024" s="1" t="s">
        <v>132</v>
      </c>
      <c r="F1024" s="1" t="s">
        <v>147</v>
      </c>
      <c r="G1024" s="2">
        <v>13.12</v>
      </c>
      <c r="H1024" s="51" t="s">
        <v>1016</v>
      </c>
      <c r="I1024" s="44">
        <f>Tabla1[[#This Row],[Descuento]]+Tabla1[[#This Row],[Neto]]</f>
        <v>642.88400000000001</v>
      </c>
      <c r="J1024" s="9">
        <v>32.143999999999998</v>
      </c>
      <c r="K1024" s="9">
        <v>610.74</v>
      </c>
      <c r="L1024" s="9">
        <v>102.11732895999999</v>
      </c>
      <c r="M1024" s="24">
        <f>+Tabla1[[#This Row],[Costo Venta]]/Tabla1[[#This Row],[Cantidad]]</f>
        <v>7.7833329999999998</v>
      </c>
      <c r="N1024" s="3">
        <v>1</v>
      </c>
      <c r="O1024" s="8">
        <f>+Tabla1[[#This Row],[Conversión]]*Tabla1[[#This Row],[Cantidad]]</f>
        <v>13.12</v>
      </c>
      <c r="P1024" s="43">
        <f>Tabla1[[#This Row],[Neto]]-Tabla1[[#This Row],[Costo Venta]]</f>
        <v>508.62267104</v>
      </c>
    </row>
    <row r="1025" spans="1:16" x14ac:dyDescent="0.25">
      <c r="A1025" s="48">
        <v>45724</v>
      </c>
      <c r="B1025" s="1" t="s">
        <v>686</v>
      </c>
      <c r="C1025" s="1" t="s">
        <v>65</v>
      </c>
      <c r="D1025" s="1" t="s">
        <v>658</v>
      </c>
      <c r="E1025" s="1" t="s">
        <v>71</v>
      </c>
      <c r="F1025" s="1" t="s">
        <v>376</v>
      </c>
      <c r="G1025" s="2">
        <v>32.11</v>
      </c>
      <c r="H1025" s="51" t="s">
        <v>1016</v>
      </c>
      <c r="I1025" s="44">
        <f>Tabla1[[#This Row],[Descuento]]+Tabla1[[#This Row],[Neto]]</f>
        <v>1588.8006999999998</v>
      </c>
      <c r="J1025" s="9">
        <v>397.20069999999998</v>
      </c>
      <c r="K1025" s="9">
        <v>1191.5999999999999</v>
      </c>
      <c r="L1025" s="9">
        <v>264.42642798000003</v>
      </c>
      <c r="M1025" s="24">
        <f>+Tabla1[[#This Row],[Costo Venta]]/Tabla1[[#This Row],[Cantidad]]</f>
        <v>8.2350180000000002</v>
      </c>
      <c r="N1025" s="3">
        <v>1</v>
      </c>
      <c r="O1025" s="8">
        <f>+Tabla1[[#This Row],[Conversión]]*Tabla1[[#This Row],[Cantidad]]</f>
        <v>32.11</v>
      </c>
      <c r="P1025" s="43">
        <f>Tabla1[[#This Row],[Neto]]-Tabla1[[#This Row],[Costo Venta]]</f>
        <v>927.17357201999994</v>
      </c>
    </row>
    <row r="1026" spans="1:16" x14ac:dyDescent="0.25">
      <c r="A1026" s="48">
        <v>45869</v>
      </c>
      <c r="B1026" s="1" t="s">
        <v>686</v>
      </c>
      <c r="C1026" s="1" t="s">
        <v>65</v>
      </c>
      <c r="D1026" s="1" t="s">
        <v>1017</v>
      </c>
      <c r="E1026" s="1" t="s">
        <v>67</v>
      </c>
      <c r="F1026" s="1" t="s">
        <v>9</v>
      </c>
      <c r="G1026" s="2">
        <v>18.07</v>
      </c>
      <c r="H1026" s="51" t="s">
        <v>1016</v>
      </c>
      <c r="I1026" s="44">
        <f>Tabla1[[#This Row],[Descuento]]+Tabla1[[#This Row],[Neto]]</f>
        <v>894.09662000000003</v>
      </c>
      <c r="J1026" s="9">
        <v>402.34661999999997</v>
      </c>
      <c r="K1026" s="9">
        <v>491.75</v>
      </c>
      <c r="L1026" s="9">
        <v>167.29617995999999</v>
      </c>
      <c r="M1026" s="24">
        <f>+Tabla1[[#This Row],[Costo Venta]]/Tabla1[[#This Row],[Cantidad]]</f>
        <v>9.258227999999999</v>
      </c>
      <c r="N1026" s="3">
        <v>1</v>
      </c>
      <c r="O1026" s="8">
        <f>+Tabla1[[#This Row],[Conversión]]*Tabla1[[#This Row],[Cantidad]]</f>
        <v>18.07</v>
      </c>
      <c r="P1026" s="43">
        <f>Tabla1[[#This Row],[Neto]]-Tabla1[[#This Row],[Costo Venta]]</f>
        <v>324.45382003999998</v>
      </c>
    </row>
    <row r="1027" spans="1:16" x14ac:dyDescent="0.25">
      <c r="A1027" s="48">
        <v>45911</v>
      </c>
      <c r="B1027" s="1" t="s">
        <v>686</v>
      </c>
      <c r="C1027" s="1" t="s">
        <v>65</v>
      </c>
      <c r="D1027" s="1" t="s">
        <v>1018</v>
      </c>
      <c r="E1027" s="1" t="s">
        <v>67</v>
      </c>
      <c r="F1027" s="1" t="s">
        <v>44</v>
      </c>
      <c r="G1027" s="2">
        <v>3</v>
      </c>
      <c r="H1027" s="51" t="s">
        <v>1016</v>
      </c>
      <c r="I1027" s="44">
        <f>Tabla1[[#This Row],[Descuento]]+Tabla1[[#This Row],[Neto]]</f>
        <v>148.44399999999999</v>
      </c>
      <c r="J1027" s="9">
        <v>51.954000000000001</v>
      </c>
      <c r="K1027" s="9">
        <v>96.49</v>
      </c>
      <c r="L1027" s="9">
        <v>29.18901</v>
      </c>
      <c r="M1027" s="24">
        <f>+Tabla1[[#This Row],[Costo Venta]]/Tabla1[[#This Row],[Cantidad]]</f>
        <v>9.7296700000000005</v>
      </c>
      <c r="N1027" s="3">
        <v>1</v>
      </c>
      <c r="O1027" s="8">
        <f>+Tabla1[[#This Row],[Conversión]]*Tabla1[[#This Row],[Cantidad]]</f>
        <v>3</v>
      </c>
      <c r="P1027" s="43">
        <f>Tabla1[[#This Row],[Neto]]-Tabla1[[#This Row],[Costo Venta]]</f>
        <v>67.300989999999999</v>
      </c>
    </row>
    <row r="1028" spans="1:16" x14ac:dyDescent="0.25">
      <c r="A1028" s="48">
        <v>45107</v>
      </c>
      <c r="B1028" s="1" t="s">
        <v>481</v>
      </c>
      <c r="C1028" s="1" t="s">
        <v>109</v>
      </c>
      <c r="D1028" s="1" t="s">
        <v>485</v>
      </c>
      <c r="E1028" s="1" t="s">
        <v>71</v>
      </c>
      <c r="F1028" s="1" t="s">
        <v>486</v>
      </c>
      <c r="G1028" s="2">
        <v>3.64</v>
      </c>
      <c r="H1028" s="1" t="s">
        <v>1019</v>
      </c>
      <c r="I1028" s="44">
        <f>Tabla1[[#This Row],[Descuento]]+Tabla1[[#This Row],[Neto]]</f>
        <v>22.9111616</v>
      </c>
      <c r="J1028" s="9">
        <v>2.2911616000000001</v>
      </c>
      <c r="K1028" s="9">
        <v>20.62</v>
      </c>
      <c r="L1028" s="9">
        <v>16.962399999999999</v>
      </c>
      <c r="M1028" s="24">
        <f>+Tabla1[[#This Row],[Costo Venta]]/Tabla1[[#This Row],[Cantidad]]</f>
        <v>4.6599999999999993</v>
      </c>
      <c r="N1028" s="3">
        <v>1</v>
      </c>
      <c r="O1028" s="8">
        <f>+Tabla1[[#This Row],[Conversión]]*Tabla1[[#This Row],[Cantidad]]</f>
        <v>3.64</v>
      </c>
      <c r="P1028" s="43">
        <f>Tabla1[[#This Row],[Neto]]-Tabla1[[#This Row],[Costo Venta]]</f>
        <v>3.6576000000000022</v>
      </c>
    </row>
    <row r="1029" spans="1:16" x14ac:dyDescent="0.25">
      <c r="A1029" s="48">
        <v>45492</v>
      </c>
      <c r="B1029" s="1" t="s">
        <v>481</v>
      </c>
      <c r="C1029" s="1" t="s">
        <v>65</v>
      </c>
      <c r="D1029" s="1" t="s">
        <v>482</v>
      </c>
      <c r="E1029" s="1" t="s">
        <v>71</v>
      </c>
      <c r="F1029" s="1" t="s">
        <v>483</v>
      </c>
      <c r="G1029" s="2">
        <v>3.26</v>
      </c>
      <c r="H1029" s="1" t="s">
        <v>1020</v>
      </c>
      <c r="I1029" s="44">
        <f>Tabla1[[#This Row],[Descuento]]+Tabla1[[#This Row],[Neto]]</f>
        <v>13.53</v>
      </c>
      <c r="J1029" s="9">
        <v>0</v>
      </c>
      <c r="K1029" s="9">
        <v>13.53</v>
      </c>
      <c r="L1029" s="9">
        <v>0</v>
      </c>
      <c r="M1029" s="24">
        <f>+Tabla1[[#This Row],[Costo Venta]]/Tabla1[[#This Row],[Cantidad]]</f>
        <v>0</v>
      </c>
      <c r="N1029" s="3">
        <v>1</v>
      </c>
      <c r="O1029" s="8">
        <f>+Tabla1[[#This Row],[Conversión]]*Tabla1[[#This Row],[Cantidad]]</f>
        <v>3.26</v>
      </c>
      <c r="P1029" s="43">
        <f>Tabla1[[#This Row],[Neto]]-Tabla1[[#This Row],[Costo Venta]]</f>
        <v>13.53</v>
      </c>
    </row>
    <row r="1030" spans="1:16" x14ac:dyDescent="0.25">
      <c r="A1030" s="48">
        <v>45107</v>
      </c>
      <c r="B1030" s="1" t="s">
        <v>481</v>
      </c>
      <c r="C1030" s="1" t="s">
        <v>109</v>
      </c>
      <c r="D1030" s="1" t="s">
        <v>485</v>
      </c>
      <c r="E1030" s="1" t="s">
        <v>71</v>
      </c>
      <c r="F1030" s="1" t="s">
        <v>486</v>
      </c>
      <c r="G1030" s="2">
        <v>30.58</v>
      </c>
      <c r="H1030" s="1" t="s">
        <v>1021</v>
      </c>
      <c r="I1030" s="44">
        <f>Tabla1[[#This Row],[Descuento]]+Tabla1[[#This Row],[Neto]]</f>
        <v>150.69982400000001</v>
      </c>
      <c r="J1030" s="9">
        <v>15.069824000000001</v>
      </c>
      <c r="K1030" s="9">
        <v>135.63</v>
      </c>
      <c r="L1030" s="9">
        <v>111.617</v>
      </c>
      <c r="M1030" s="24">
        <f>+Tabla1[[#This Row],[Costo Venta]]/Tabla1[[#This Row],[Cantidad]]</f>
        <v>3.6500000000000004</v>
      </c>
      <c r="N1030" s="3">
        <v>1</v>
      </c>
      <c r="O1030" s="8">
        <f>+Tabla1[[#This Row],[Conversión]]*Tabla1[[#This Row],[Cantidad]]</f>
        <v>30.58</v>
      </c>
      <c r="P1030" s="43">
        <f>Tabla1[[#This Row],[Neto]]-Tabla1[[#This Row],[Costo Venta]]</f>
        <v>24.012999999999991</v>
      </c>
    </row>
    <row r="1031" spans="1:16" x14ac:dyDescent="0.25">
      <c r="A1031" s="48">
        <v>45107</v>
      </c>
      <c r="B1031" s="1" t="s">
        <v>481</v>
      </c>
      <c r="C1031" s="1" t="s">
        <v>109</v>
      </c>
      <c r="D1031" s="1" t="s">
        <v>488</v>
      </c>
      <c r="E1031" s="1" t="s">
        <v>71</v>
      </c>
      <c r="F1031" s="1" t="s">
        <v>489</v>
      </c>
      <c r="G1031" s="2">
        <v>6.87</v>
      </c>
      <c r="H1031" s="1" t="s">
        <v>1022</v>
      </c>
      <c r="I1031" s="44">
        <f>Tabla1[[#This Row],[Descuento]]+Tabla1[[#This Row],[Neto]]</f>
        <v>33.872982999999998</v>
      </c>
      <c r="J1031" s="9">
        <v>4.4029829999999999</v>
      </c>
      <c r="K1031" s="9">
        <v>29.47</v>
      </c>
      <c r="L1031" s="9">
        <v>25.075500000000002</v>
      </c>
      <c r="M1031" s="24">
        <f>+Tabla1[[#This Row],[Costo Venta]]/Tabla1[[#This Row],[Cantidad]]</f>
        <v>3.6500000000000004</v>
      </c>
      <c r="N1031" s="3">
        <v>1</v>
      </c>
      <c r="O1031" s="8">
        <f>+Tabla1[[#This Row],[Conversión]]*Tabla1[[#This Row],[Cantidad]]</f>
        <v>6.87</v>
      </c>
      <c r="P1031" s="43">
        <f>Tabla1[[#This Row],[Neto]]-Tabla1[[#This Row],[Costo Venta]]</f>
        <v>4.3944999999999972</v>
      </c>
    </row>
    <row r="1032" spans="1:16" x14ac:dyDescent="0.25">
      <c r="A1032" s="48">
        <v>44950</v>
      </c>
      <c r="B1032" s="1" t="s">
        <v>481</v>
      </c>
      <c r="C1032" s="1" t="s">
        <v>109</v>
      </c>
      <c r="D1032" s="1" t="s">
        <v>494</v>
      </c>
      <c r="E1032" s="1" t="s">
        <v>71</v>
      </c>
      <c r="F1032" s="1" t="s">
        <v>128</v>
      </c>
      <c r="G1032" s="2">
        <v>1.28</v>
      </c>
      <c r="H1032" s="1" t="s">
        <v>1023</v>
      </c>
      <c r="I1032" s="44">
        <f>Tabla1[[#This Row],[Descuento]]+Tabla1[[#This Row],[Neto]]</f>
        <v>5.15</v>
      </c>
      <c r="J1032" s="9">
        <v>0</v>
      </c>
      <c r="K1032" s="9">
        <v>5.15</v>
      </c>
      <c r="L1032" s="9">
        <v>4.6719999999999997</v>
      </c>
      <c r="M1032" s="24">
        <f>+Tabla1[[#This Row],[Costo Venta]]/Tabla1[[#This Row],[Cantidad]]</f>
        <v>3.65</v>
      </c>
      <c r="N1032" s="3">
        <v>1</v>
      </c>
      <c r="O1032" s="8">
        <f>+Tabla1[[#This Row],[Conversión]]*Tabla1[[#This Row],[Cantidad]]</f>
        <v>1.28</v>
      </c>
      <c r="P1032" s="43">
        <f>Tabla1[[#This Row],[Neto]]-Tabla1[[#This Row],[Costo Venta]]</f>
        <v>0.47800000000000065</v>
      </c>
    </row>
    <row r="1033" spans="1:16" x14ac:dyDescent="0.25">
      <c r="A1033" s="48">
        <v>45071</v>
      </c>
      <c r="B1033" s="1" t="s">
        <v>481</v>
      </c>
      <c r="C1033" s="1" t="s">
        <v>109</v>
      </c>
      <c r="D1033" s="1" t="s">
        <v>493</v>
      </c>
      <c r="E1033" s="1" t="s">
        <v>132</v>
      </c>
      <c r="F1033" s="1" t="s">
        <v>185</v>
      </c>
      <c r="G1033" s="2">
        <v>0.97</v>
      </c>
      <c r="H1033" s="1" t="s">
        <v>1024</v>
      </c>
      <c r="I1033" s="44">
        <f>Tabla1[[#This Row],[Descuento]]+Tabla1[[#This Row],[Neto]]</f>
        <v>4.2343799999999998</v>
      </c>
      <c r="J1033" s="9">
        <v>0.63438000000000005</v>
      </c>
      <c r="K1033" s="9">
        <v>3.6</v>
      </c>
      <c r="L1033" s="9">
        <v>3.5405000000000002</v>
      </c>
      <c r="M1033" s="24">
        <f>+Tabla1[[#This Row],[Costo Venta]]/Tabla1[[#This Row],[Cantidad]]</f>
        <v>3.6500000000000004</v>
      </c>
      <c r="N1033" s="3">
        <v>1</v>
      </c>
      <c r="O1033" s="8">
        <f>+Tabla1[[#This Row],[Conversión]]*Tabla1[[#This Row],[Cantidad]]</f>
        <v>0.97</v>
      </c>
      <c r="P1033" s="43">
        <f>Tabla1[[#This Row],[Neto]]-Tabla1[[#This Row],[Costo Venta]]</f>
        <v>5.9499999999999886E-2</v>
      </c>
    </row>
    <row r="1034" spans="1:16" x14ac:dyDescent="0.25">
      <c r="A1034" s="48">
        <v>45187</v>
      </c>
      <c r="B1034" s="1" t="s">
        <v>481</v>
      </c>
      <c r="C1034" s="1" t="s">
        <v>65</v>
      </c>
      <c r="D1034" s="1" t="s">
        <v>1025</v>
      </c>
      <c r="E1034" s="1" t="s">
        <v>132</v>
      </c>
      <c r="F1034" s="1" t="s">
        <v>185</v>
      </c>
      <c r="G1034" s="2">
        <v>12.6</v>
      </c>
      <c r="H1034" s="1" t="s">
        <v>1024</v>
      </c>
      <c r="I1034" s="44">
        <f>Tabla1[[#This Row],[Descuento]]+Tabla1[[#This Row],[Neto]]</f>
        <v>54.940400000000004</v>
      </c>
      <c r="J1034" s="9">
        <v>8.2403999999999993</v>
      </c>
      <c r="K1034" s="9">
        <v>46.7</v>
      </c>
      <c r="L1034" s="9">
        <v>45.99</v>
      </c>
      <c r="M1034" s="24">
        <f>+Tabla1[[#This Row],[Costo Venta]]/Tabla1[[#This Row],[Cantidad]]</f>
        <v>3.6500000000000004</v>
      </c>
      <c r="N1034" s="3">
        <v>1</v>
      </c>
      <c r="O1034" s="8">
        <f>+Tabla1[[#This Row],[Conversión]]*Tabla1[[#This Row],[Cantidad]]</f>
        <v>12.6</v>
      </c>
      <c r="P1034" s="43">
        <f>Tabla1[[#This Row],[Neto]]-Tabla1[[#This Row],[Costo Venta]]</f>
        <v>0.71000000000000085</v>
      </c>
    </row>
    <row r="1035" spans="1:16" x14ac:dyDescent="0.25">
      <c r="A1035" s="48">
        <v>45492</v>
      </c>
      <c r="B1035" s="1" t="s">
        <v>481</v>
      </c>
      <c r="C1035" s="1" t="s">
        <v>65</v>
      </c>
      <c r="D1035" s="1" t="s">
        <v>482</v>
      </c>
      <c r="E1035" s="1" t="s">
        <v>71</v>
      </c>
      <c r="F1035" s="1" t="s">
        <v>483</v>
      </c>
      <c r="G1035" s="2">
        <v>1.67</v>
      </c>
      <c r="H1035" s="1" t="s">
        <v>1026</v>
      </c>
      <c r="I1035" s="44">
        <f>Tabla1[[#This Row],[Descuento]]+Tabla1[[#This Row],[Neto]]</f>
        <v>6.93</v>
      </c>
      <c r="J1035" s="9">
        <v>0</v>
      </c>
      <c r="K1035" s="9">
        <v>6.93</v>
      </c>
      <c r="L1035" s="9">
        <v>0</v>
      </c>
      <c r="M1035" s="24">
        <f>+Tabla1[[#This Row],[Costo Venta]]/Tabla1[[#This Row],[Cantidad]]</f>
        <v>0</v>
      </c>
      <c r="N1035" s="3">
        <v>1</v>
      </c>
      <c r="O1035" s="8">
        <f>+Tabla1[[#This Row],[Conversión]]*Tabla1[[#This Row],[Cantidad]]</f>
        <v>1.67</v>
      </c>
      <c r="P1035" s="43">
        <f>Tabla1[[#This Row],[Neto]]-Tabla1[[#This Row],[Costo Venta]]</f>
        <v>6.93</v>
      </c>
    </row>
    <row r="1036" spans="1:16" x14ac:dyDescent="0.25">
      <c r="A1036" s="48">
        <v>44950</v>
      </c>
      <c r="B1036" s="1" t="s">
        <v>481</v>
      </c>
      <c r="C1036" s="1" t="s">
        <v>109</v>
      </c>
      <c r="D1036" s="1" t="s">
        <v>494</v>
      </c>
      <c r="E1036" s="1" t="s">
        <v>71</v>
      </c>
      <c r="F1036" s="1" t="s">
        <v>128</v>
      </c>
      <c r="G1036" s="2">
        <v>2.5</v>
      </c>
      <c r="H1036" s="1" t="s">
        <v>1027</v>
      </c>
      <c r="I1036" s="44">
        <f>Tabla1[[#This Row],[Descuento]]+Tabla1[[#This Row],[Neto]]</f>
        <v>10.050000000000001</v>
      </c>
      <c r="J1036" s="9">
        <v>0</v>
      </c>
      <c r="K1036" s="9">
        <v>10.050000000000001</v>
      </c>
      <c r="L1036" s="9">
        <v>9.1250025000000008</v>
      </c>
      <c r="M1036" s="24">
        <f>+Tabla1[[#This Row],[Costo Venta]]/Tabla1[[#This Row],[Cantidad]]</f>
        <v>3.6500010000000005</v>
      </c>
      <c r="N1036" s="3">
        <v>1</v>
      </c>
      <c r="O1036" s="8">
        <f>+Tabla1[[#This Row],[Conversión]]*Tabla1[[#This Row],[Cantidad]]</f>
        <v>2.5</v>
      </c>
      <c r="P1036" s="43">
        <f>Tabla1[[#This Row],[Neto]]-Tabla1[[#This Row],[Costo Venta]]</f>
        <v>0.92499749999999992</v>
      </c>
    </row>
    <row r="1037" spans="1:16" x14ac:dyDescent="0.25">
      <c r="A1037" s="48">
        <v>45006</v>
      </c>
      <c r="B1037" s="1" t="s">
        <v>481</v>
      </c>
      <c r="C1037" s="1" t="s">
        <v>109</v>
      </c>
      <c r="D1037" s="1" t="s">
        <v>491</v>
      </c>
      <c r="E1037" s="1" t="s">
        <v>132</v>
      </c>
      <c r="F1037" s="1" t="s">
        <v>185</v>
      </c>
      <c r="G1037" s="2">
        <v>1.77</v>
      </c>
      <c r="H1037" s="1" t="s">
        <v>1028</v>
      </c>
      <c r="I1037" s="44">
        <f>Tabla1[[#This Row],[Descuento]]+Tabla1[[#This Row],[Neto]]</f>
        <v>7.7175799999999999</v>
      </c>
      <c r="J1037" s="9">
        <v>1.1575800000000001</v>
      </c>
      <c r="K1037" s="9">
        <v>6.56</v>
      </c>
      <c r="L1037" s="9">
        <v>6.4604999999999997</v>
      </c>
      <c r="M1037" s="24">
        <f>+Tabla1[[#This Row],[Costo Venta]]/Tabla1[[#This Row],[Cantidad]]</f>
        <v>3.65</v>
      </c>
      <c r="N1037" s="3">
        <v>1</v>
      </c>
      <c r="O1037" s="8">
        <f>+Tabla1[[#This Row],[Conversión]]*Tabla1[[#This Row],[Cantidad]]</f>
        <v>1.77</v>
      </c>
      <c r="P1037" s="43">
        <f>Tabla1[[#This Row],[Neto]]-Tabla1[[#This Row],[Costo Venta]]</f>
        <v>9.9499999999999922E-2</v>
      </c>
    </row>
    <row r="1038" spans="1:16" x14ac:dyDescent="0.25">
      <c r="A1038" s="48">
        <v>45071</v>
      </c>
      <c r="B1038" s="1" t="s">
        <v>481</v>
      </c>
      <c r="C1038" s="1" t="s">
        <v>109</v>
      </c>
      <c r="D1038" s="1" t="s">
        <v>493</v>
      </c>
      <c r="E1038" s="1" t="s">
        <v>132</v>
      </c>
      <c r="F1038" s="1" t="s">
        <v>185</v>
      </c>
      <c r="G1038" s="2">
        <v>11.24</v>
      </c>
      <c r="H1038" s="1" t="s">
        <v>1028</v>
      </c>
      <c r="I1038" s="44">
        <f>Tabla1[[#This Row],[Descuento]]+Tabla1[[#This Row],[Neto]]</f>
        <v>49.010959999999997</v>
      </c>
      <c r="J1038" s="9">
        <v>7.3509599999999997</v>
      </c>
      <c r="K1038" s="9">
        <v>41.66</v>
      </c>
      <c r="L1038" s="9">
        <v>41.026000000000003</v>
      </c>
      <c r="M1038" s="24">
        <f>+Tabla1[[#This Row],[Costo Venta]]/Tabla1[[#This Row],[Cantidad]]</f>
        <v>3.6500000000000004</v>
      </c>
      <c r="N1038" s="3">
        <v>1</v>
      </c>
      <c r="O1038" s="8">
        <f>+Tabla1[[#This Row],[Conversión]]*Tabla1[[#This Row],[Cantidad]]</f>
        <v>11.24</v>
      </c>
      <c r="P1038" s="43">
        <f>Tabla1[[#This Row],[Neto]]-Tabla1[[#This Row],[Costo Venta]]</f>
        <v>0.63399999999999324</v>
      </c>
    </row>
    <row r="1039" spans="1:16" x14ac:dyDescent="0.25">
      <c r="A1039" s="48">
        <v>45187</v>
      </c>
      <c r="B1039" s="1" t="s">
        <v>481</v>
      </c>
      <c r="C1039" s="1" t="s">
        <v>65</v>
      </c>
      <c r="D1039" s="1" t="s">
        <v>1025</v>
      </c>
      <c r="E1039" s="1" t="s">
        <v>132</v>
      </c>
      <c r="F1039" s="1" t="s">
        <v>185</v>
      </c>
      <c r="G1039" s="2">
        <v>86.4</v>
      </c>
      <c r="H1039" s="1" t="s">
        <v>1028</v>
      </c>
      <c r="I1039" s="44">
        <f>Tabla1[[#This Row],[Descuento]]+Tabla1[[#This Row],[Neto]]</f>
        <v>376.69560000000001</v>
      </c>
      <c r="J1039" s="9">
        <v>56.505600000000001</v>
      </c>
      <c r="K1039" s="9">
        <v>320.19</v>
      </c>
      <c r="L1039" s="9">
        <v>250.95329280000001</v>
      </c>
      <c r="M1039" s="24">
        <f>+Tabla1[[#This Row],[Costo Venta]]/Tabla1[[#This Row],[Cantidad]]</f>
        <v>2.9045519999999998</v>
      </c>
      <c r="N1039" s="3">
        <v>1</v>
      </c>
      <c r="O1039" s="8">
        <f>+Tabla1[[#This Row],[Conversión]]*Tabla1[[#This Row],[Cantidad]]</f>
        <v>86.4</v>
      </c>
      <c r="P1039" s="43">
        <f>Tabla1[[#This Row],[Neto]]-Tabla1[[#This Row],[Costo Venta]]</f>
        <v>69.236707199999984</v>
      </c>
    </row>
    <row r="1040" spans="1:16" x14ac:dyDescent="0.25">
      <c r="A1040" s="48">
        <v>45492</v>
      </c>
      <c r="B1040" s="1" t="s">
        <v>481</v>
      </c>
      <c r="C1040" s="1" t="s">
        <v>65</v>
      </c>
      <c r="D1040" s="1" t="s">
        <v>482</v>
      </c>
      <c r="E1040" s="1" t="s">
        <v>71</v>
      </c>
      <c r="F1040" s="1" t="s">
        <v>483</v>
      </c>
      <c r="G1040" s="2">
        <v>6.59</v>
      </c>
      <c r="H1040" s="1" t="s">
        <v>1029</v>
      </c>
      <c r="I1040" s="44">
        <f>Tabla1[[#This Row],[Descuento]]+Tabla1[[#This Row],[Neto]]</f>
        <v>27.35</v>
      </c>
      <c r="J1040" s="9">
        <v>0</v>
      </c>
      <c r="K1040" s="9">
        <v>27.35</v>
      </c>
      <c r="L1040" s="9">
        <v>0</v>
      </c>
      <c r="M1040" s="24">
        <f>+Tabla1[[#This Row],[Costo Venta]]/Tabla1[[#This Row],[Cantidad]]</f>
        <v>0</v>
      </c>
      <c r="N1040" s="3">
        <v>1</v>
      </c>
      <c r="O1040" s="8">
        <f>+Tabla1[[#This Row],[Conversión]]*Tabla1[[#This Row],[Cantidad]]</f>
        <v>6.59</v>
      </c>
      <c r="P1040" s="43">
        <f>Tabla1[[#This Row],[Neto]]-Tabla1[[#This Row],[Costo Venta]]</f>
        <v>27.35</v>
      </c>
    </row>
    <row r="1041" spans="1:16" x14ac:dyDescent="0.25">
      <c r="A1041" s="48">
        <v>45107</v>
      </c>
      <c r="B1041" s="1" t="s">
        <v>481</v>
      </c>
      <c r="C1041" s="1" t="s">
        <v>109</v>
      </c>
      <c r="D1041" s="1" t="s">
        <v>485</v>
      </c>
      <c r="E1041" s="1" t="s">
        <v>71</v>
      </c>
      <c r="F1041" s="1" t="s">
        <v>486</v>
      </c>
      <c r="G1041" s="2">
        <v>1.1599999999999999</v>
      </c>
      <c r="H1041" s="1" t="s">
        <v>1030</v>
      </c>
      <c r="I1041" s="44">
        <f>Tabla1[[#This Row],[Descuento]]+Tabla1[[#This Row],[Neto]]</f>
        <v>5.7216480000000001</v>
      </c>
      <c r="J1041" s="9">
        <v>0.57164800000000004</v>
      </c>
      <c r="K1041" s="9">
        <v>5.15</v>
      </c>
      <c r="L1041" s="9">
        <v>4.234</v>
      </c>
      <c r="M1041" s="24">
        <f>+Tabla1[[#This Row],[Costo Venta]]/Tabla1[[#This Row],[Cantidad]]</f>
        <v>3.6500000000000004</v>
      </c>
      <c r="N1041" s="3">
        <v>1</v>
      </c>
      <c r="O1041" s="8">
        <f>+Tabla1[[#This Row],[Conversión]]*Tabla1[[#This Row],[Cantidad]]</f>
        <v>1.1599999999999999</v>
      </c>
      <c r="P1041" s="43">
        <f>Tabla1[[#This Row],[Neto]]-Tabla1[[#This Row],[Costo Venta]]</f>
        <v>0.91600000000000037</v>
      </c>
    </row>
    <row r="1042" spans="1:16" x14ac:dyDescent="0.25">
      <c r="A1042" s="48">
        <v>45071</v>
      </c>
      <c r="B1042" s="1" t="s">
        <v>481</v>
      </c>
      <c r="C1042" s="1" t="s">
        <v>109</v>
      </c>
      <c r="D1042" s="1" t="s">
        <v>493</v>
      </c>
      <c r="E1042" s="1" t="s">
        <v>132</v>
      </c>
      <c r="F1042" s="1" t="s">
        <v>185</v>
      </c>
      <c r="G1042" s="2">
        <v>1.02</v>
      </c>
      <c r="H1042" s="1" t="s">
        <v>1031</v>
      </c>
      <c r="I1042" s="44">
        <f>Tabla1[[#This Row],[Descuento]]+Tabla1[[#This Row],[Neto]]</f>
        <v>4.4470799999999997</v>
      </c>
      <c r="J1042" s="9">
        <v>0.66708000000000001</v>
      </c>
      <c r="K1042" s="9">
        <v>3.78</v>
      </c>
      <c r="L1042" s="9">
        <v>3.7229999999999999</v>
      </c>
      <c r="M1042" s="24">
        <f>+Tabla1[[#This Row],[Costo Venta]]/Tabla1[[#This Row],[Cantidad]]</f>
        <v>3.65</v>
      </c>
      <c r="N1042" s="3">
        <v>1</v>
      </c>
      <c r="O1042" s="8">
        <f>+Tabla1[[#This Row],[Conversión]]*Tabla1[[#This Row],[Cantidad]]</f>
        <v>1.02</v>
      </c>
      <c r="P1042" s="43">
        <f>Tabla1[[#This Row],[Neto]]-Tabla1[[#This Row],[Costo Venta]]</f>
        <v>5.699999999999994E-2</v>
      </c>
    </row>
    <row r="1043" spans="1:16" x14ac:dyDescent="0.25">
      <c r="A1043" s="48">
        <v>45058</v>
      </c>
      <c r="B1043" s="1" t="s">
        <v>1</v>
      </c>
      <c r="C1043" s="1" t="s">
        <v>81</v>
      </c>
      <c r="D1043" s="1" t="s">
        <v>499</v>
      </c>
      <c r="E1043" s="1" t="s">
        <v>137</v>
      </c>
      <c r="F1043" s="1" t="s">
        <v>19</v>
      </c>
      <c r="G1043" s="2">
        <v>71.5</v>
      </c>
      <c r="H1043" s="1" t="s">
        <v>1032</v>
      </c>
      <c r="I1043" s="44">
        <f>Tabla1[[#This Row],[Descuento]]+Tabla1[[#This Row],[Neto]]</f>
        <v>2717</v>
      </c>
      <c r="J1043" s="9">
        <v>0</v>
      </c>
      <c r="K1043" s="9">
        <v>2717</v>
      </c>
      <c r="L1043" s="9">
        <v>456.01949250000001</v>
      </c>
      <c r="M1043" s="24">
        <f>+Tabla1[[#This Row],[Costo Venta]]/Tabla1[[#This Row],[Cantidad]]</f>
        <v>6.3778950000000005</v>
      </c>
      <c r="N1043" s="3">
        <v>1</v>
      </c>
      <c r="O1043" s="8">
        <f>+Tabla1[[#This Row],[Conversión]]*Tabla1[[#This Row],[Cantidad]]</f>
        <v>71.5</v>
      </c>
      <c r="P1043" s="43">
        <f>Tabla1[[#This Row],[Neto]]-Tabla1[[#This Row],[Costo Venta]]</f>
        <v>2260.9805074999999</v>
      </c>
    </row>
    <row r="1044" spans="1:16" x14ac:dyDescent="0.25">
      <c r="A1044" s="48">
        <v>45625</v>
      </c>
      <c r="B1044" s="1" t="s">
        <v>1</v>
      </c>
      <c r="C1044" s="1" t="s">
        <v>29</v>
      </c>
      <c r="D1044" s="1" t="s">
        <v>347</v>
      </c>
      <c r="E1044" s="1" t="s">
        <v>132</v>
      </c>
      <c r="F1044" s="1" t="s">
        <v>29</v>
      </c>
      <c r="G1044" s="2">
        <v>198</v>
      </c>
      <c r="H1044" s="1" t="s">
        <v>1032</v>
      </c>
      <c r="I1044" s="44">
        <f>Tabla1[[#This Row],[Descuento]]+Tabla1[[#This Row],[Neto]]</f>
        <v>7698.2420000000002</v>
      </c>
      <c r="J1044" s="9">
        <v>2309.4720000000002</v>
      </c>
      <c r="K1044" s="9">
        <v>5388.77</v>
      </c>
      <c r="L1044" s="9">
        <v>1297.5668639999999</v>
      </c>
      <c r="M1044" s="24">
        <f>+Tabla1[[#This Row],[Costo Venta]]/Tabla1[[#This Row],[Cantidad]]</f>
        <v>6.5533679999999999</v>
      </c>
      <c r="N1044" s="3">
        <v>1</v>
      </c>
      <c r="O1044" s="8">
        <f>+Tabla1[[#This Row],[Conversión]]*Tabla1[[#This Row],[Cantidad]]</f>
        <v>198</v>
      </c>
      <c r="P1044" s="43">
        <f>Tabla1[[#This Row],[Neto]]-Tabla1[[#This Row],[Costo Venta]]</f>
        <v>4091.2031360000005</v>
      </c>
    </row>
    <row r="1045" spans="1:16" x14ac:dyDescent="0.25">
      <c r="A1045" s="48">
        <v>45649</v>
      </c>
      <c r="B1045" s="1" t="s">
        <v>1</v>
      </c>
      <c r="C1045" s="1" t="s">
        <v>29</v>
      </c>
      <c r="D1045" s="1" t="s">
        <v>1033</v>
      </c>
      <c r="E1045" s="1" t="s">
        <v>132</v>
      </c>
      <c r="F1045" s="1" t="s">
        <v>29</v>
      </c>
      <c r="G1045" s="2">
        <v>10</v>
      </c>
      <c r="H1045" s="1" t="s">
        <v>1032</v>
      </c>
      <c r="I1045" s="44">
        <f>Tabla1[[#This Row],[Descuento]]+Tabla1[[#This Row],[Neto]]</f>
        <v>388.8</v>
      </c>
      <c r="J1045" s="9">
        <v>116.64</v>
      </c>
      <c r="K1045" s="9">
        <v>272.16000000000003</v>
      </c>
      <c r="L1045" s="9">
        <v>60.018360000000001</v>
      </c>
      <c r="M1045" s="24">
        <f>+Tabla1[[#This Row],[Costo Venta]]/Tabla1[[#This Row],[Cantidad]]</f>
        <v>6.0018359999999999</v>
      </c>
      <c r="N1045" s="3">
        <v>1</v>
      </c>
      <c r="O1045" s="8">
        <f>+Tabla1[[#This Row],[Conversión]]*Tabla1[[#This Row],[Cantidad]]</f>
        <v>10</v>
      </c>
      <c r="P1045" s="43">
        <f>Tabla1[[#This Row],[Neto]]-Tabla1[[#This Row],[Costo Venta]]</f>
        <v>212.14164000000002</v>
      </c>
    </row>
    <row r="1046" spans="1:16" x14ac:dyDescent="0.25">
      <c r="A1046" s="48">
        <v>45695</v>
      </c>
      <c r="B1046" s="1" t="s">
        <v>1</v>
      </c>
      <c r="C1046" s="1" t="s">
        <v>29</v>
      </c>
      <c r="D1046" s="1" t="s">
        <v>1034</v>
      </c>
      <c r="E1046" s="1" t="s">
        <v>132</v>
      </c>
      <c r="F1046" s="1" t="s">
        <v>29</v>
      </c>
      <c r="G1046" s="2">
        <v>4</v>
      </c>
      <c r="H1046" s="1" t="s">
        <v>1032</v>
      </c>
      <c r="I1046" s="44">
        <f>Tabla1[[#This Row],[Descuento]]+Tabla1[[#This Row],[Neto]]</f>
        <v>155.51599999999999</v>
      </c>
      <c r="J1046" s="9">
        <v>46.655999999999999</v>
      </c>
      <c r="K1046" s="9">
        <v>108.86</v>
      </c>
      <c r="L1046" s="9">
        <v>20.604468000000001</v>
      </c>
      <c r="M1046" s="24">
        <f>+Tabla1[[#This Row],[Costo Venta]]/Tabla1[[#This Row],[Cantidad]]</f>
        <v>5.1511170000000002</v>
      </c>
      <c r="N1046" s="3">
        <v>1</v>
      </c>
      <c r="O1046" s="8">
        <f>+Tabla1[[#This Row],[Conversión]]*Tabla1[[#This Row],[Cantidad]]</f>
        <v>4</v>
      </c>
      <c r="P1046" s="43">
        <f>Tabla1[[#This Row],[Neto]]-Tabla1[[#This Row],[Costo Venta]]</f>
        <v>88.255532000000002</v>
      </c>
    </row>
    <row r="1047" spans="1:16" x14ac:dyDescent="0.25">
      <c r="A1047" s="48">
        <v>45748</v>
      </c>
      <c r="B1047" s="1" t="s">
        <v>1</v>
      </c>
      <c r="C1047" s="1" t="s">
        <v>65</v>
      </c>
      <c r="D1047" s="1" t="s">
        <v>1035</v>
      </c>
      <c r="E1047" s="1" t="s">
        <v>132</v>
      </c>
      <c r="F1047" s="1" t="s">
        <v>29</v>
      </c>
      <c r="G1047" s="2">
        <v>1.5</v>
      </c>
      <c r="H1047" s="1" t="s">
        <v>1032</v>
      </c>
      <c r="I1047" s="44">
        <f>Tabla1[[#This Row],[Descuento]]+Tabla1[[#This Row],[Neto]]</f>
        <v>58.316000000000003</v>
      </c>
      <c r="J1047" s="9">
        <v>17.495999999999999</v>
      </c>
      <c r="K1047" s="9">
        <v>40.82</v>
      </c>
      <c r="L1047" s="9">
        <v>7.4004345000000002</v>
      </c>
      <c r="M1047" s="24">
        <f>+Tabla1[[#This Row],[Costo Venta]]/Tabla1[[#This Row],[Cantidad]]</f>
        <v>4.9336229999999999</v>
      </c>
      <c r="N1047" s="3">
        <v>1</v>
      </c>
      <c r="O1047" s="8">
        <f>+Tabla1[[#This Row],[Conversión]]*Tabla1[[#This Row],[Cantidad]]</f>
        <v>1.5</v>
      </c>
      <c r="P1047" s="43">
        <f>Tabla1[[#This Row],[Neto]]-Tabla1[[#This Row],[Costo Venta]]</f>
        <v>33.419565499999997</v>
      </c>
    </row>
    <row r="1048" spans="1:16" x14ac:dyDescent="0.25">
      <c r="A1048" s="48">
        <v>45205</v>
      </c>
      <c r="B1048" s="1" t="s">
        <v>496</v>
      </c>
      <c r="C1048" s="1" t="s">
        <v>214</v>
      </c>
      <c r="D1048" s="1" t="s">
        <v>249</v>
      </c>
      <c r="E1048" s="1" t="s">
        <v>132</v>
      </c>
      <c r="F1048" s="1" t="s">
        <v>185</v>
      </c>
      <c r="G1048" s="2">
        <v>4</v>
      </c>
      <c r="H1048" s="1" t="s">
        <v>1036</v>
      </c>
      <c r="I1048" s="44">
        <f>Tabla1[[#This Row],[Descuento]]+Tabla1[[#This Row],[Neto]]</f>
        <v>169.756</v>
      </c>
      <c r="J1048" s="9">
        <v>16.975999999999999</v>
      </c>
      <c r="K1048" s="9">
        <v>152.78</v>
      </c>
      <c r="L1048" s="9">
        <v>0</v>
      </c>
      <c r="M1048" s="24">
        <f>+Tabla1[[#This Row],[Costo Venta]]/Tabla1[[#This Row],[Cantidad]]</f>
        <v>0</v>
      </c>
      <c r="N1048" s="3">
        <v>1</v>
      </c>
      <c r="O1048" s="8">
        <f>+Tabla1[[#This Row],[Conversión]]*Tabla1[[#This Row],[Cantidad]]</f>
        <v>4</v>
      </c>
      <c r="P1048" s="43">
        <f>Tabla1[[#This Row],[Neto]]-Tabla1[[#This Row],[Costo Venta]]</f>
        <v>152.78</v>
      </c>
    </row>
    <row r="1049" spans="1:16" x14ac:dyDescent="0.25">
      <c r="A1049" s="48">
        <v>45698</v>
      </c>
      <c r="B1049" s="1" t="s">
        <v>1</v>
      </c>
      <c r="C1049" s="1" t="s">
        <v>65</v>
      </c>
      <c r="D1049" s="1" t="s">
        <v>547</v>
      </c>
      <c r="E1049" s="1" t="s">
        <v>67</v>
      </c>
      <c r="F1049" s="1" t="s">
        <v>9</v>
      </c>
      <c r="G1049" s="2">
        <v>20</v>
      </c>
      <c r="H1049" s="1" t="s">
        <v>1037</v>
      </c>
      <c r="I1049" s="44">
        <f>Tabla1[[#This Row],[Descuento]]+Tabla1[[#This Row],[Neto]]</f>
        <v>777.6</v>
      </c>
      <c r="J1049" s="9">
        <v>349.92</v>
      </c>
      <c r="K1049" s="9">
        <v>427.68</v>
      </c>
      <c r="L1049" s="9">
        <v>172.48334</v>
      </c>
      <c r="M1049" s="24">
        <f>+Tabla1[[#This Row],[Costo Venta]]/Tabla1[[#This Row],[Cantidad]]</f>
        <v>8.6241669999999999</v>
      </c>
      <c r="N1049" s="3">
        <v>1</v>
      </c>
      <c r="O1049" s="8">
        <f>+Tabla1[[#This Row],[Conversión]]*Tabla1[[#This Row],[Cantidad]]</f>
        <v>20</v>
      </c>
      <c r="P1049" s="43">
        <f>Tabla1[[#This Row],[Neto]]-Tabla1[[#This Row],[Costo Venta]]</f>
        <v>255.19666000000001</v>
      </c>
    </row>
    <row r="1050" spans="1:16" x14ac:dyDescent="0.25">
      <c r="A1050" s="48">
        <v>45098</v>
      </c>
      <c r="B1050" s="1" t="s">
        <v>1</v>
      </c>
      <c r="C1050" s="1" t="s">
        <v>109</v>
      </c>
      <c r="D1050" s="1" t="s">
        <v>1038</v>
      </c>
      <c r="E1050" s="1" t="s">
        <v>67</v>
      </c>
      <c r="F1050" s="1" t="s">
        <v>9</v>
      </c>
      <c r="G1050" s="2">
        <v>20.5</v>
      </c>
      <c r="H1050" s="1" t="s">
        <v>1039</v>
      </c>
      <c r="I1050" s="44">
        <f>Tabla1[[#This Row],[Descuento]]+Tabla1[[#This Row],[Neto]]</f>
        <v>779</v>
      </c>
      <c r="J1050" s="9">
        <v>272.64999999999998</v>
      </c>
      <c r="K1050" s="9">
        <v>506.35</v>
      </c>
      <c r="L1050" s="9">
        <v>139.19499999999999</v>
      </c>
      <c r="M1050" s="24">
        <f>+Tabla1[[#This Row],[Costo Venta]]/Tabla1[[#This Row],[Cantidad]]</f>
        <v>6.79</v>
      </c>
      <c r="N1050" s="3">
        <v>1</v>
      </c>
      <c r="O1050" s="8">
        <f>+Tabla1[[#This Row],[Conversión]]*Tabla1[[#This Row],[Cantidad]]</f>
        <v>20.5</v>
      </c>
      <c r="P1050" s="43">
        <f>Tabla1[[#This Row],[Neto]]-Tabla1[[#This Row],[Costo Venta]]</f>
        <v>367.15500000000003</v>
      </c>
    </row>
    <row r="1051" spans="1:16" x14ac:dyDescent="0.25">
      <c r="A1051" s="48">
        <v>45110</v>
      </c>
      <c r="B1051" s="1" t="s">
        <v>1</v>
      </c>
      <c r="C1051" s="1" t="s">
        <v>65</v>
      </c>
      <c r="D1051" s="1" t="s">
        <v>511</v>
      </c>
      <c r="E1051" s="1" t="s">
        <v>67</v>
      </c>
      <c r="F1051" s="1" t="s">
        <v>9</v>
      </c>
      <c r="G1051" s="2">
        <v>9</v>
      </c>
      <c r="H1051" s="1" t="s">
        <v>1039</v>
      </c>
      <c r="I1051" s="44">
        <f>Tabla1[[#This Row],[Descuento]]+Tabla1[[#This Row],[Neto]]</f>
        <v>342</v>
      </c>
      <c r="J1051" s="9">
        <v>119.7</v>
      </c>
      <c r="K1051" s="9">
        <v>222.3</v>
      </c>
      <c r="L1051" s="9">
        <v>59.616</v>
      </c>
      <c r="M1051" s="24">
        <f>+Tabla1[[#This Row],[Costo Venta]]/Tabla1[[#This Row],[Cantidad]]</f>
        <v>6.6239999999999997</v>
      </c>
      <c r="N1051" s="3">
        <v>1</v>
      </c>
      <c r="O1051" s="8">
        <f>+Tabla1[[#This Row],[Conversión]]*Tabla1[[#This Row],[Cantidad]]</f>
        <v>9</v>
      </c>
      <c r="P1051" s="43">
        <f>Tabla1[[#This Row],[Neto]]-Tabla1[[#This Row],[Costo Venta]]</f>
        <v>162.68400000000003</v>
      </c>
    </row>
    <row r="1052" spans="1:16" x14ac:dyDescent="0.25">
      <c r="A1052" s="48">
        <v>45203</v>
      </c>
      <c r="B1052" s="1" t="s">
        <v>1</v>
      </c>
      <c r="C1052" s="1" t="s">
        <v>29</v>
      </c>
      <c r="D1052" s="1" t="s">
        <v>514</v>
      </c>
      <c r="E1052" s="1" t="s">
        <v>67</v>
      </c>
      <c r="F1052" s="1" t="s">
        <v>9</v>
      </c>
      <c r="G1052" s="2">
        <v>14.5</v>
      </c>
      <c r="H1052" s="1" t="s">
        <v>1039</v>
      </c>
      <c r="I1052" s="44">
        <f>Tabla1[[#This Row],[Descuento]]+Tabla1[[#This Row],[Neto]]</f>
        <v>615.38300000000004</v>
      </c>
      <c r="J1052" s="9">
        <v>215.38300000000001</v>
      </c>
      <c r="K1052" s="9">
        <v>400</v>
      </c>
      <c r="L1052" s="9">
        <v>98.454999999999998</v>
      </c>
      <c r="M1052" s="24">
        <f>+Tabla1[[#This Row],[Costo Venta]]/Tabla1[[#This Row],[Cantidad]]</f>
        <v>6.79</v>
      </c>
      <c r="N1052" s="3">
        <v>1</v>
      </c>
      <c r="O1052" s="8">
        <f>+Tabla1[[#This Row],[Conversión]]*Tabla1[[#This Row],[Cantidad]]</f>
        <v>14.5</v>
      </c>
      <c r="P1052" s="43">
        <f>Tabla1[[#This Row],[Neto]]-Tabla1[[#This Row],[Costo Venta]]</f>
        <v>301.54500000000002</v>
      </c>
    </row>
    <row r="1053" spans="1:16" x14ac:dyDescent="0.25">
      <c r="A1053" s="48">
        <v>45530</v>
      </c>
      <c r="B1053" s="1" t="s">
        <v>1</v>
      </c>
      <c r="C1053" s="1" t="s">
        <v>65</v>
      </c>
      <c r="D1053" s="1" t="s">
        <v>325</v>
      </c>
      <c r="E1053" s="1" t="s">
        <v>67</v>
      </c>
      <c r="F1053" s="1" t="s">
        <v>34</v>
      </c>
      <c r="G1053" s="2">
        <v>25</v>
      </c>
      <c r="H1053" s="1" t="s">
        <v>1039</v>
      </c>
      <c r="I1053" s="44">
        <f>Tabla1[[#This Row],[Descuento]]+Tabla1[[#This Row],[Neto]]</f>
        <v>972</v>
      </c>
      <c r="J1053" s="9">
        <v>291.60000000000002</v>
      </c>
      <c r="K1053" s="9">
        <v>680.4</v>
      </c>
      <c r="L1053" s="9">
        <v>148.48147499999999</v>
      </c>
      <c r="M1053" s="24">
        <f>+Tabla1[[#This Row],[Costo Venta]]/Tabla1[[#This Row],[Cantidad]]</f>
        <v>5.9392589999999998</v>
      </c>
      <c r="N1053" s="3">
        <v>1</v>
      </c>
      <c r="O1053" s="8">
        <f>+Tabla1[[#This Row],[Conversión]]*Tabla1[[#This Row],[Cantidad]]</f>
        <v>25</v>
      </c>
      <c r="P1053" s="43">
        <f>Tabla1[[#This Row],[Neto]]-Tabla1[[#This Row],[Costo Venta]]</f>
        <v>531.91852500000005</v>
      </c>
    </row>
    <row r="1054" spans="1:16" x14ac:dyDescent="0.25">
      <c r="A1054" s="48">
        <v>44935</v>
      </c>
      <c r="B1054" s="1" t="s">
        <v>1</v>
      </c>
      <c r="C1054" s="1" t="s">
        <v>65</v>
      </c>
      <c r="D1054" s="1" t="s">
        <v>114</v>
      </c>
      <c r="E1054" s="1" t="s">
        <v>67</v>
      </c>
      <c r="F1054" s="1" t="s">
        <v>15</v>
      </c>
      <c r="G1054" s="2">
        <v>13</v>
      </c>
      <c r="H1054" s="51" t="s">
        <v>1040</v>
      </c>
      <c r="I1054" s="44">
        <f>Tabla1[[#This Row],[Descuento]]+Tabla1[[#This Row],[Neto]]</f>
        <v>494</v>
      </c>
      <c r="J1054" s="9">
        <v>98.8</v>
      </c>
      <c r="K1054" s="9">
        <v>395.2</v>
      </c>
      <c r="L1054" s="9">
        <v>81.033328999999995</v>
      </c>
      <c r="M1054" s="24">
        <f>+Tabla1[[#This Row],[Costo Venta]]/Tabla1[[#This Row],[Cantidad]]</f>
        <v>6.233333</v>
      </c>
      <c r="N1054" s="3">
        <v>1</v>
      </c>
      <c r="O1054" s="8">
        <f>+Tabla1[[#This Row],[Conversión]]*Tabla1[[#This Row],[Cantidad]]</f>
        <v>13</v>
      </c>
      <c r="P1054" s="43">
        <f>Tabla1[[#This Row],[Neto]]-Tabla1[[#This Row],[Costo Venta]]</f>
        <v>314.16667100000001</v>
      </c>
    </row>
    <row r="1055" spans="1:16" x14ac:dyDescent="0.25">
      <c r="A1055" s="48">
        <v>44942</v>
      </c>
      <c r="B1055" s="1" t="s">
        <v>1</v>
      </c>
      <c r="C1055" s="1" t="s">
        <v>109</v>
      </c>
      <c r="D1055" s="1" t="s">
        <v>420</v>
      </c>
      <c r="E1055" s="1" t="s">
        <v>67</v>
      </c>
      <c r="F1055" s="1" t="s">
        <v>9</v>
      </c>
      <c r="G1055" s="2">
        <v>39</v>
      </c>
      <c r="H1055" s="51" t="s">
        <v>1040</v>
      </c>
      <c r="I1055" s="44">
        <f>Tabla1[[#This Row],[Descuento]]+Tabla1[[#This Row],[Neto]]</f>
        <v>1482</v>
      </c>
      <c r="J1055" s="9">
        <v>518.70000000000005</v>
      </c>
      <c r="K1055" s="9">
        <v>963.3</v>
      </c>
      <c r="L1055" s="9">
        <v>161.72001299999999</v>
      </c>
      <c r="M1055" s="24">
        <f>+Tabla1[[#This Row],[Costo Venta]]/Tabla1[[#This Row],[Cantidad]]</f>
        <v>4.1466669999999999</v>
      </c>
      <c r="N1055" s="3">
        <v>1</v>
      </c>
      <c r="O1055" s="8">
        <f>+Tabla1[[#This Row],[Conversión]]*Tabla1[[#This Row],[Cantidad]]</f>
        <v>39</v>
      </c>
      <c r="P1055" s="43">
        <f>Tabla1[[#This Row],[Neto]]-Tabla1[[#This Row],[Costo Venta]]</f>
        <v>801.57998699999996</v>
      </c>
    </row>
    <row r="1056" spans="1:16" x14ac:dyDescent="0.25">
      <c r="A1056" s="48">
        <v>44967</v>
      </c>
      <c r="B1056" s="1" t="s">
        <v>1</v>
      </c>
      <c r="C1056" s="1" t="s">
        <v>109</v>
      </c>
      <c r="D1056" s="1" t="s">
        <v>1041</v>
      </c>
      <c r="E1056" s="1" t="s">
        <v>67</v>
      </c>
      <c r="F1056" s="1" t="s">
        <v>24</v>
      </c>
      <c r="G1056" s="2">
        <v>10</v>
      </c>
      <c r="H1056" s="51" t="s">
        <v>1040</v>
      </c>
      <c r="I1056" s="44">
        <f>Tabla1[[#This Row],[Descuento]]+Tabla1[[#This Row],[Neto]]</f>
        <v>380</v>
      </c>
      <c r="J1056" s="9">
        <v>114</v>
      </c>
      <c r="K1056" s="9">
        <v>266</v>
      </c>
      <c r="L1056" s="9">
        <v>41.466670000000001</v>
      </c>
      <c r="M1056" s="24">
        <f>+Tabla1[[#This Row],[Costo Venta]]/Tabla1[[#This Row],[Cantidad]]</f>
        <v>4.1466669999999999</v>
      </c>
      <c r="N1056" s="3">
        <v>1</v>
      </c>
      <c r="O1056" s="8">
        <f>+Tabla1[[#This Row],[Conversión]]*Tabla1[[#This Row],[Cantidad]]</f>
        <v>10</v>
      </c>
      <c r="P1056" s="43">
        <f>Tabla1[[#This Row],[Neto]]-Tabla1[[#This Row],[Costo Venta]]</f>
        <v>224.53333000000001</v>
      </c>
    </row>
    <row r="1057" spans="1:16" x14ac:dyDescent="0.25">
      <c r="A1057" s="48">
        <v>45012</v>
      </c>
      <c r="B1057" s="1" t="s">
        <v>1</v>
      </c>
      <c r="C1057" s="1" t="s">
        <v>109</v>
      </c>
      <c r="D1057" s="1" t="s">
        <v>1042</v>
      </c>
      <c r="E1057" s="1" t="s">
        <v>67</v>
      </c>
      <c r="F1057" s="1" t="s">
        <v>20</v>
      </c>
      <c r="G1057" s="2">
        <v>15</v>
      </c>
      <c r="H1057" s="51" t="s">
        <v>1040</v>
      </c>
      <c r="I1057" s="44">
        <f>Tabla1[[#This Row],[Descuento]]+Tabla1[[#This Row],[Neto]]</f>
        <v>570</v>
      </c>
      <c r="J1057" s="9">
        <v>199.5</v>
      </c>
      <c r="K1057" s="9">
        <v>370.5</v>
      </c>
      <c r="L1057" s="9">
        <v>96.525000000000006</v>
      </c>
      <c r="M1057" s="24">
        <f>+Tabla1[[#This Row],[Costo Venta]]/Tabla1[[#This Row],[Cantidad]]</f>
        <v>6.4350000000000005</v>
      </c>
      <c r="N1057" s="3">
        <v>1</v>
      </c>
      <c r="O1057" s="8">
        <f>+Tabla1[[#This Row],[Conversión]]*Tabla1[[#This Row],[Cantidad]]</f>
        <v>15</v>
      </c>
      <c r="P1057" s="43">
        <f>Tabla1[[#This Row],[Neto]]-Tabla1[[#This Row],[Costo Venta]]</f>
        <v>273.97500000000002</v>
      </c>
    </row>
    <row r="1058" spans="1:16" x14ac:dyDescent="0.25">
      <c r="A1058" s="48">
        <v>45019</v>
      </c>
      <c r="B1058" s="1" t="s">
        <v>1</v>
      </c>
      <c r="C1058" s="1" t="s">
        <v>109</v>
      </c>
      <c r="D1058" s="1" t="s">
        <v>506</v>
      </c>
      <c r="E1058" s="1" t="s">
        <v>137</v>
      </c>
      <c r="F1058" s="1" t="s">
        <v>13</v>
      </c>
      <c r="G1058" s="2">
        <v>6</v>
      </c>
      <c r="H1058" s="51" t="s">
        <v>1040</v>
      </c>
      <c r="I1058" s="44">
        <f>Tabla1[[#This Row],[Descuento]]+Tabla1[[#This Row],[Neto]]</f>
        <v>228</v>
      </c>
      <c r="J1058" s="9">
        <v>22.8</v>
      </c>
      <c r="K1058" s="9">
        <v>205.2</v>
      </c>
      <c r="L1058" s="9">
        <v>43.32</v>
      </c>
      <c r="M1058" s="24">
        <f>+Tabla1[[#This Row],[Costo Venta]]/Tabla1[[#This Row],[Cantidad]]</f>
        <v>7.22</v>
      </c>
      <c r="N1058" s="3">
        <v>1</v>
      </c>
      <c r="O1058" s="8">
        <f>+Tabla1[[#This Row],[Conversión]]*Tabla1[[#This Row],[Cantidad]]</f>
        <v>6</v>
      </c>
      <c r="P1058" s="43">
        <f>Tabla1[[#This Row],[Neto]]-Tabla1[[#This Row],[Costo Venta]]</f>
        <v>161.88</v>
      </c>
    </row>
    <row r="1059" spans="1:16" x14ac:dyDescent="0.25">
      <c r="A1059" s="48">
        <v>45021</v>
      </c>
      <c r="B1059" s="1" t="s">
        <v>1</v>
      </c>
      <c r="C1059" s="1" t="s">
        <v>109</v>
      </c>
      <c r="D1059" s="1" t="s">
        <v>1043</v>
      </c>
      <c r="E1059" s="1" t="s">
        <v>67</v>
      </c>
      <c r="F1059" s="1" t="s">
        <v>20</v>
      </c>
      <c r="G1059" s="2">
        <v>2.5</v>
      </c>
      <c r="H1059" s="51" t="s">
        <v>1040</v>
      </c>
      <c r="I1059" s="44">
        <f>Tabla1[[#This Row],[Descuento]]+Tabla1[[#This Row],[Neto]]</f>
        <v>95</v>
      </c>
      <c r="J1059" s="9">
        <v>33.25</v>
      </c>
      <c r="K1059" s="9">
        <v>61.75</v>
      </c>
      <c r="L1059" s="9">
        <v>14.44</v>
      </c>
      <c r="M1059" s="24">
        <f>+Tabla1[[#This Row],[Costo Venta]]/Tabla1[[#This Row],[Cantidad]]</f>
        <v>5.7759999999999998</v>
      </c>
      <c r="N1059" s="3">
        <v>1</v>
      </c>
      <c r="O1059" s="8">
        <f>+Tabla1[[#This Row],[Conversión]]*Tabla1[[#This Row],[Cantidad]]</f>
        <v>2.5</v>
      </c>
      <c r="P1059" s="43">
        <f>Tabla1[[#This Row],[Neto]]-Tabla1[[#This Row],[Costo Venta]]</f>
        <v>47.31</v>
      </c>
    </row>
    <row r="1060" spans="1:16" x14ac:dyDescent="0.25">
      <c r="A1060" s="48">
        <v>45036</v>
      </c>
      <c r="B1060" s="1" t="s">
        <v>1</v>
      </c>
      <c r="C1060" s="1" t="s">
        <v>109</v>
      </c>
      <c r="D1060" s="1" t="s">
        <v>1044</v>
      </c>
      <c r="E1060" s="1" t="s">
        <v>67</v>
      </c>
      <c r="F1060" s="1" t="s">
        <v>24</v>
      </c>
      <c r="G1060" s="2">
        <v>10</v>
      </c>
      <c r="H1060" s="51" t="s">
        <v>1040</v>
      </c>
      <c r="I1060" s="44">
        <f>Tabla1[[#This Row],[Descuento]]+Tabla1[[#This Row],[Neto]]</f>
        <v>380</v>
      </c>
      <c r="J1060" s="9">
        <v>133</v>
      </c>
      <c r="K1060" s="9">
        <v>247</v>
      </c>
      <c r="L1060" s="9">
        <v>65.447620000000001</v>
      </c>
      <c r="M1060" s="24">
        <f>+Tabla1[[#This Row],[Costo Venta]]/Tabla1[[#This Row],[Cantidad]]</f>
        <v>6.5447620000000004</v>
      </c>
      <c r="N1060" s="3">
        <v>1</v>
      </c>
      <c r="O1060" s="8">
        <f>+Tabla1[[#This Row],[Conversión]]*Tabla1[[#This Row],[Cantidad]]</f>
        <v>10</v>
      </c>
      <c r="P1060" s="43">
        <f>Tabla1[[#This Row],[Neto]]-Tabla1[[#This Row],[Costo Venta]]</f>
        <v>181.55238</v>
      </c>
    </row>
    <row r="1061" spans="1:16" x14ac:dyDescent="0.25">
      <c r="A1061" s="48">
        <v>45068</v>
      </c>
      <c r="B1061" s="1" t="s">
        <v>1</v>
      </c>
      <c r="C1061" s="1" t="s">
        <v>81</v>
      </c>
      <c r="D1061" s="1" t="s">
        <v>188</v>
      </c>
      <c r="E1061" s="1" t="s">
        <v>71</v>
      </c>
      <c r="F1061" s="1" t="s">
        <v>11</v>
      </c>
      <c r="G1061" s="2">
        <v>72</v>
      </c>
      <c r="H1061" s="51" t="s">
        <v>1040</v>
      </c>
      <c r="I1061" s="44">
        <f>Tabla1[[#This Row],[Descuento]]+Tabla1[[#This Row],[Neto]]</f>
        <v>2736</v>
      </c>
      <c r="J1061" s="9">
        <v>273.60000000000002</v>
      </c>
      <c r="K1061" s="9">
        <v>2462.4</v>
      </c>
      <c r="L1061" s="9">
        <v>459.18</v>
      </c>
      <c r="M1061" s="24">
        <f>+Tabla1[[#This Row],[Costo Venta]]/Tabla1[[#This Row],[Cantidad]]</f>
        <v>6.3775000000000004</v>
      </c>
      <c r="N1061" s="3">
        <v>1</v>
      </c>
      <c r="O1061" s="8">
        <f>+Tabla1[[#This Row],[Conversión]]*Tabla1[[#This Row],[Cantidad]]</f>
        <v>72</v>
      </c>
      <c r="P1061" s="43">
        <f>Tabla1[[#This Row],[Neto]]-Tabla1[[#This Row],[Costo Venta]]</f>
        <v>2003.22</v>
      </c>
    </row>
    <row r="1062" spans="1:16" x14ac:dyDescent="0.25">
      <c r="A1062" s="48">
        <v>45078</v>
      </c>
      <c r="B1062" s="1" t="s">
        <v>1</v>
      </c>
      <c r="C1062" s="1" t="s">
        <v>109</v>
      </c>
      <c r="D1062" s="1" t="s">
        <v>1045</v>
      </c>
      <c r="E1062" s="1" t="s">
        <v>67</v>
      </c>
      <c r="F1062" s="1" t="s">
        <v>20</v>
      </c>
      <c r="G1062" s="2">
        <v>6.25</v>
      </c>
      <c r="H1062" s="51" t="s">
        <v>1040</v>
      </c>
      <c r="I1062" s="44">
        <f>Tabla1[[#This Row],[Descuento]]+Tabla1[[#This Row],[Neto]]</f>
        <v>237.505</v>
      </c>
      <c r="J1062" s="9">
        <v>83.125</v>
      </c>
      <c r="K1062" s="9">
        <v>154.38</v>
      </c>
      <c r="L1062" s="9">
        <v>37.083331250000001</v>
      </c>
      <c r="M1062" s="24">
        <f>+Tabla1[[#This Row],[Costo Venta]]/Tabla1[[#This Row],[Cantidad]]</f>
        <v>5.9333330000000002</v>
      </c>
      <c r="N1062" s="3">
        <v>1</v>
      </c>
      <c r="O1062" s="8">
        <f>+Tabla1[[#This Row],[Conversión]]*Tabla1[[#This Row],[Cantidad]]</f>
        <v>6.25</v>
      </c>
      <c r="P1062" s="43">
        <f>Tabla1[[#This Row],[Neto]]-Tabla1[[#This Row],[Costo Venta]]</f>
        <v>117.29666874999999</v>
      </c>
    </row>
    <row r="1063" spans="1:16" x14ac:dyDescent="0.25">
      <c r="A1063" s="48">
        <v>45096</v>
      </c>
      <c r="B1063" s="1" t="s">
        <v>1</v>
      </c>
      <c r="C1063" s="1" t="s">
        <v>65</v>
      </c>
      <c r="D1063" s="1" t="s">
        <v>509</v>
      </c>
      <c r="E1063" s="1" t="s">
        <v>71</v>
      </c>
      <c r="F1063" s="1" t="s">
        <v>10</v>
      </c>
      <c r="G1063" s="2">
        <v>25</v>
      </c>
      <c r="H1063" s="51" t="s">
        <v>1040</v>
      </c>
      <c r="I1063" s="44">
        <f>Tabla1[[#This Row],[Descuento]]+Tabla1[[#This Row],[Neto]]</f>
        <v>950</v>
      </c>
      <c r="J1063" s="9">
        <v>332.5</v>
      </c>
      <c r="K1063" s="9">
        <v>617.5</v>
      </c>
      <c r="L1063" s="9">
        <v>153.42105000000001</v>
      </c>
      <c r="M1063" s="24">
        <f>+Tabla1[[#This Row],[Costo Venta]]/Tabla1[[#This Row],[Cantidad]]</f>
        <v>6.1368420000000006</v>
      </c>
      <c r="N1063" s="3">
        <v>1</v>
      </c>
      <c r="O1063" s="8">
        <f>+Tabla1[[#This Row],[Conversión]]*Tabla1[[#This Row],[Cantidad]]</f>
        <v>25</v>
      </c>
      <c r="P1063" s="43">
        <f>Tabla1[[#This Row],[Neto]]-Tabla1[[#This Row],[Costo Venta]]</f>
        <v>464.07894999999996</v>
      </c>
    </row>
    <row r="1064" spans="1:16" x14ac:dyDescent="0.25">
      <c r="A1064" s="48">
        <v>45110</v>
      </c>
      <c r="B1064" s="1" t="s">
        <v>1</v>
      </c>
      <c r="C1064" s="1" t="s">
        <v>81</v>
      </c>
      <c r="D1064" s="1" t="s">
        <v>510</v>
      </c>
      <c r="E1064" s="1" t="s">
        <v>137</v>
      </c>
      <c r="F1064" s="1" t="s">
        <v>18</v>
      </c>
      <c r="G1064" s="2">
        <v>47</v>
      </c>
      <c r="H1064" s="51" t="s">
        <v>1040</v>
      </c>
      <c r="I1064" s="44">
        <f>Tabla1[[#This Row],[Descuento]]+Tabla1[[#This Row],[Neto]]</f>
        <v>1786</v>
      </c>
      <c r="J1064" s="9">
        <v>0</v>
      </c>
      <c r="K1064" s="9">
        <v>1786</v>
      </c>
      <c r="L1064" s="9">
        <v>288.46249999999998</v>
      </c>
      <c r="M1064" s="24">
        <f>+Tabla1[[#This Row],[Costo Venta]]/Tabla1[[#This Row],[Cantidad]]</f>
        <v>6.1374999999999993</v>
      </c>
      <c r="N1064" s="3">
        <v>1</v>
      </c>
      <c r="O1064" s="8">
        <f>+Tabla1[[#This Row],[Conversión]]*Tabla1[[#This Row],[Cantidad]]</f>
        <v>47</v>
      </c>
      <c r="P1064" s="43">
        <f>Tabla1[[#This Row],[Neto]]-Tabla1[[#This Row],[Costo Venta]]</f>
        <v>1497.5374999999999</v>
      </c>
    </row>
    <row r="1065" spans="1:16" x14ac:dyDescent="0.25">
      <c r="A1065" s="48">
        <v>45111</v>
      </c>
      <c r="B1065" s="1" t="s">
        <v>1</v>
      </c>
      <c r="C1065" s="1" t="s">
        <v>81</v>
      </c>
      <c r="D1065" s="1" t="s">
        <v>204</v>
      </c>
      <c r="E1065" s="1" t="s">
        <v>71</v>
      </c>
      <c r="F1065" s="1" t="s">
        <v>14</v>
      </c>
      <c r="G1065" s="2">
        <v>27</v>
      </c>
      <c r="H1065" s="51" t="s">
        <v>1040</v>
      </c>
      <c r="I1065" s="44">
        <f>Tabla1[[#This Row],[Descuento]]+Tabla1[[#This Row],[Neto]]</f>
        <v>1026</v>
      </c>
      <c r="J1065" s="9">
        <v>123.12</v>
      </c>
      <c r="K1065" s="9">
        <v>902.88</v>
      </c>
      <c r="L1065" s="9">
        <v>165.71250000000001</v>
      </c>
      <c r="M1065" s="24">
        <f>+Tabla1[[#This Row],[Costo Venta]]/Tabla1[[#This Row],[Cantidad]]</f>
        <v>6.1375000000000002</v>
      </c>
      <c r="N1065" s="3">
        <v>1</v>
      </c>
      <c r="O1065" s="8">
        <f>+Tabla1[[#This Row],[Conversión]]*Tabla1[[#This Row],[Cantidad]]</f>
        <v>27</v>
      </c>
      <c r="P1065" s="43">
        <f>Tabla1[[#This Row],[Neto]]-Tabla1[[#This Row],[Costo Venta]]</f>
        <v>737.16750000000002</v>
      </c>
    </row>
    <row r="1066" spans="1:16" x14ac:dyDescent="0.25">
      <c r="A1066" s="48">
        <v>45118</v>
      </c>
      <c r="B1066" s="1" t="s">
        <v>1</v>
      </c>
      <c r="C1066" s="1" t="s">
        <v>81</v>
      </c>
      <c r="D1066" s="1" t="s">
        <v>585</v>
      </c>
      <c r="E1066" s="1" t="s">
        <v>137</v>
      </c>
      <c r="F1066" s="1" t="s">
        <v>18</v>
      </c>
      <c r="G1066" s="2">
        <v>49.45</v>
      </c>
      <c r="H1066" s="51" t="s">
        <v>1040</v>
      </c>
      <c r="I1066" s="44">
        <f>Tabla1[[#This Row],[Descuento]]+Tabla1[[#This Row],[Neto]]</f>
        <v>1879.1</v>
      </c>
      <c r="J1066" s="9">
        <v>0</v>
      </c>
      <c r="K1066" s="9">
        <v>1879.1</v>
      </c>
      <c r="L1066" s="9">
        <v>303.50451779999997</v>
      </c>
      <c r="M1066" s="24">
        <f>+Tabla1[[#This Row],[Costo Venta]]/Tabla1[[#This Row],[Cantidad]]</f>
        <v>6.1376039999999987</v>
      </c>
      <c r="N1066" s="3">
        <v>1</v>
      </c>
      <c r="O1066" s="8">
        <f>+Tabla1[[#This Row],[Conversión]]*Tabla1[[#This Row],[Cantidad]]</f>
        <v>49.45</v>
      </c>
      <c r="P1066" s="43">
        <f>Tabla1[[#This Row],[Neto]]-Tabla1[[#This Row],[Costo Venta]]</f>
        <v>1575.5954821999999</v>
      </c>
    </row>
    <row r="1067" spans="1:16" x14ac:dyDescent="0.25">
      <c r="A1067" s="48">
        <v>45139</v>
      </c>
      <c r="B1067" s="1" t="s">
        <v>1</v>
      </c>
      <c r="C1067" s="1" t="s">
        <v>81</v>
      </c>
      <c r="D1067" s="1" t="s">
        <v>513</v>
      </c>
      <c r="E1067" s="1" t="s">
        <v>67</v>
      </c>
      <c r="F1067" s="1" t="s">
        <v>9</v>
      </c>
      <c r="G1067" s="2">
        <v>34</v>
      </c>
      <c r="H1067" s="51" t="s">
        <v>1040</v>
      </c>
      <c r="I1067" s="44">
        <f>Tabla1[[#This Row],[Descuento]]+Tabla1[[#This Row],[Neto]]</f>
        <v>1292</v>
      </c>
      <c r="J1067" s="9">
        <v>452.2</v>
      </c>
      <c r="K1067" s="9">
        <v>839.8</v>
      </c>
      <c r="L1067" s="9">
        <v>204.19886600000001</v>
      </c>
      <c r="M1067" s="24">
        <f>+Tabla1[[#This Row],[Costo Venta]]/Tabla1[[#This Row],[Cantidad]]</f>
        <v>6.0058490000000004</v>
      </c>
      <c r="N1067" s="3">
        <v>1</v>
      </c>
      <c r="O1067" s="8">
        <f>+Tabla1[[#This Row],[Conversión]]*Tabla1[[#This Row],[Cantidad]]</f>
        <v>34</v>
      </c>
      <c r="P1067" s="43">
        <f>Tabla1[[#This Row],[Neto]]-Tabla1[[#This Row],[Costo Venta]]</f>
        <v>635.601134</v>
      </c>
    </row>
    <row r="1068" spans="1:16" x14ac:dyDescent="0.25">
      <c r="A1068" s="48">
        <v>45152</v>
      </c>
      <c r="B1068" s="1" t="s">
        <v>1</v>
      </c>
      <c r="C1068" s="1" t="s">
        <v>81</v>
      </c>
      <c r="D1068" s="1" t="s">
        <v>1046</v>
      </c>
      <c r="E1068" s="1" t="s">
        <v>137</v>
      </c>
      <c r="F1068" s="1" t="s">
        <v>18</v>
      </c>
      <c r="G1068" s="2">
        <v>11</v>
      </c>
      <c r="H1068" s="51" t="s">
        <v>1040</v>
      </c>
      <c r="I1068" s="44">
        <f>Tabla1[[#This Row],[Descuento]]+Tabla1[[#This Row],[Neto]]</f>
        <v>466.83880000000005</v>
      </c>
      <c r="J1068" s="9">
        <v>32.678800000000003</v>
      </c>
      <c r="K1068" s="9">
        <v>434.16</v>
      </c>
      <c r="L1068" s="9">
        <v>66.064339000000004</v>
      </c>
      <c r="M1068" s="24">
        <f>+Tabla1[[#This Row],[Costo Venta]]/Tabla1[[#This Row],[Cantidad]]</f>
        <v>6.0058490000000004</v>
      </c>
      <c r="N1068" s="3">
        <v>1</v>
      </c>
      <c r="O1068" s="8">
        <f>+Tabla1[[#This Row],[Conversión]]*Tabla1[[#This Row],[Cantidad]]</f>
        <v>11</v>
      </c>
      <c r="P1068" s="43">
        <f>Tabla1[[#This Row],[Neto]]-Tabla1[[#This Row],[Costo Venta]]</f>
        <v>368.09566100000001</v>
      </c>
    </row>
    <row r="1069" spans="1:16" x14ac:dyDescent="0.25">
      <c r="A1069" s="48">
        <v>45194</v>
      </c>
      <c r="B1069" s="1" t="s">
        <v>1</v>
      </c>
      <c r="C1069" s="1" t="s">
        <v>81</v>
      </c>
      <c r="D1069" s="1" t="s">
        <v>1047</v>
      </c>
      <c r="E1069" s="1" t="s">
        <v>67</v>
      </c>
      <c r="F1069" s="1" t="s">
        <v>24</v>
      </c>
      <c r="G1069" s="2">
        <v>7</v>
      </c>
      <c r="H1069" s="51" t="s">
        <v>1040</v>
      </c>
      <c r="I1069" s="44">
        <f>Tabla1[[#This Row],[Descuento]]+Tabla1[[#This Row],[Neto]]</f>
        <v>272.15960000000001</v>
      </c>
      <c r="J1069" s="9">
        <v>84.369600000000005</v>
      </c>
      <c r="K1069" s="9">
        <v>187.79</v>
      </c>
      <c r="L1069" s="9">
        <v>42.310043999999998</v>
      </c>
      <c r="M1069" s="24">
        <f>+Tabla1[[#This Row],[Costo Venta]]/Tabla1[[#This Row],[Cantidad]]</f>
        <v>6.0442919999999996</v>
      </c>
      <c r="N1069" s="3">
        <v>1</v>
      </c>
      <c r="O1069" s="8">
        <f>+Tabla1[[#This Row],[Conversión]]*Tabla1[[#This Row],[Cantidad]]</f>
        <v>7</v>
      </c>
      <c r="P1069" s="43">
        <f>Tabla1[[#This Row],[Neto]]-Tabla1[[#This Row],[Costo Venta]]</f>
        <v>145.47995599999999</v>
      </c>
    </row>
    <row r="1070" spans="1:16" x14ac:dyDescent="0.25">
      <c r="A1070" s="48">
        <v>45203</v>
      </c>
      <c r="B1070" s="1" t="s">
        <v>1</v>
      </c>
      <c r="C1070" s="1" t="s">
        <v>29</v>
      </c>
      <c r="D1070" s="1" t="s">
        <v>514</v>
      </c>
      <c r="E1070" s="1" t="s">
        <v>67</v>
      </c>
      <c r="F1070" s="1" t="s">
        <v>9</v>
      </c>
      <c r="G1070" s="2">
        <v>2.25</v>
      </c>
      <c r="H1070" s="51" t="s">
        <v>1040</v>
      </c>
      <c r="I1070" s="44">
        <f>Tabla1[[#This Row],[Descuento]]+Tabla1[[#This Row],[Neto]]</f>
        <v>95.491500000000002</v>
      </c>
      <c r="J1070" s="9">
        <v>33.421500000000002</v>
      </c>
      <c r="K1070" s="9">
        <v>62.07</v>
      </c>
      <c r="L1070" s="9">
        <v>13.599657000000001</v>
      </c>
      <c r="M1070" s="24">
        <f>+Tabla1[[#This Row],[Costo Venta]]/Tabla1[[#This Row],[Cantidad]]</f>
        <v>6.0442920000000004</v>
      </c>
      <c r="N1070" s="3">
        <v>1</v>
      </c>
      <c r="O1070" s="8">
        <f>+Tabla1[[#This Row],[Conversión]]*Tabla1[[#This Row],[Cantidad]]</f>
        <v>2.25</v>
      </c>
      <c r="P1070" s="43">
        <f>Tabla1[[#This Row],[Neto]]-Tabla1[[#This Row],[Costo Venta]]</f>
        <v>48.470343</v>
      </c>
    </row>
    <row r="1071" spans="1:16" x14ac:dyDescent="0.25">
      <c r="A1071" s="48">
        <v>45203</v>
      </c>
      <c r="B1071" s="1" t="s">
        <v>1</v>
      </c>
      <c r="C1071" s="1" t="s">
        <v>29</v>
      </c>
      <c r="D1071" s="1" t="s">
        <v>1048</v>
      </c>
      <c r="E1071" s="1" t="s">
        <v>67</v>
      </c>
      <c r="F1071" s="1" t="s">
        <v>9</v>
      </c>
      <c r="G1071" s="2">
        <v>1.5</v>
      </c>
      <c r="H1071" s="51" t="s">
        <v>1040</v>
      </c>
      <c r="I1071" s="44">
        <f>Tabla1[[#This Row],[Descuento]]+Tabla1[[#This Row],[Neto]]</f>
        <v>58.321999999999996</v>
      </c>
      <c r="J1071" s="9">
        <v>20.411999999999999</v>
      </c>
      <c r="K1071" s="9">
        <v>37.909999999999997</v>
      </c>
      <c r="L1071" s="9">
        <v>9.0664379999999998</v>
      </c>
      <c r="M1071" s="24">
        <f>+Tabla1[[#This Row],[Costo Venta]]/Tabla1[[#This Row],[Cantidad]]</f>
        <v>6.0442919999999996</v>
      </c>
      <c r="N1071" s="3">
        <v>1</v>
      </c>
      <c r="O1071" s="8">
        <f>+Tabla1[[#This Row],[Conversión]]*Tabla1[[#This Row],[Cantidad]]</f>
        <v>1.5</v>
      </c>
      <c r="P1071" s="43">
        <f>Tabla1[[#This Row],[Neto]]-Tabla1[[#This Row],[Costo Venta]]</f>
        <v>28.843561999999999</v>
      </c>
    </row>
    <row r="1072" spans="1:16" x14ac:dyDescent="0.25">
      <c r="A1072" s="48">
        <v>45363</v>
      </c>
      <c r="B1072" s="1" t="s">
        <v>1</v>
      </c>
      <c r="C1072" s="1" t="s">
        <v>81</v>
      </c>
      <c r="D1072" s="1" t="s">
        <v>518</v>
      </c>
      <c r="E1072" s="1" t="s">
        <v>71</v>
      </c>
      <c r="F1072" s="1" t="s">
        <v>35</v>
      </c>
      <c r="G1072" s="2">
        <v>9</v>
      </c>
      <c r="H1072" s="51" t="s">
        <v>1040</v>
      </c>
      <c r="I1072" s="44">
        <f>Tabla1[[#This Row],[Descuento]]+Tabla1[[#This Row],[Neto]]</f>
        <v>349.92424</v>
      </c>
      <c r="J1072" s="9">
        <v>112.67424</v>
      </c>
      <c r="K1072" s="9">
        <v>237.25</v>
      </c>
      <c r="L1072" s="9">
        <v>51.956747999999997</v>
      </c>
      <c r="M1072" s="24">
        <f>+Tabla1[[#This Row],[Costo Venta]]/Tabla1[[#This Row],[Cantidad]]</f>
        <v>5.7729719999999993</v>
      </c>
      <c r="N1072" s="3">
        <v>1</v>
      </c>
      <c r="O1072" s="8">
        <f>+Tabla1[[#This Row],[Conversión]]*Tabla1[[#This Row],[Cantidad]]</f>
        <v>9</v>
      </c>
      <c r="P1072" s="43">
        <f>Tabla1[[#This Row],[Neto]]-Tabla1[[#This Row],[Costo Venta]]</f>
        <v>185.293252</v>
      </c>
    </row>
    <row r="1073" spans="1:16" x14ac:dyDescent="0.25">
      <c r="A1073" s="48">
        <v>45447</v>
      </c>
      <c r="B1073" s="1" t="s">
        <v>1</v>
      </c>
      <c r="C1073" s="1" t="s">
        <v>81</v>
      </c>
      <c r="D1073" s="1" t="s">
        <v>1049</v>
      </c>
      <c r="E1073" s="1" t="s">
        <v>67</v>
      </c>
      <c r="F1073" s="1" t="s">
        <v>20</v>
      </c>
      <c r="G1073" s="2">
        <v>4</v>
      </c>
      <c r="H1073" s="51" t="s">
        <v>1040</v>
      </c>
      <c r="I1073" s="44">
        <f>Tabla1[[#This Row],[Descuento]]+Tabla1[[#This Row],[Neto]]</f>
        <v>155.52199999999999</v>
      </c>
      <c r="J1073" s="9">
        <v>54.432000000000002</v>
      </c>
      <c r="K1073" s="9">
        <v>101.09</v>
      </c>
      <c r="L1073" s="9">
        <v>22.337456</v>
      </c>
      <c r="M1073" s="24">
        <f>+Tabla1[[#This Row],[Costo Venta]]/Tabla1[[#This Row],[Cantidad]]</f>
        <v>5.5843639999999999</v>
      </c>
      <c r="N1073" s="3">
        <v>1</v>
      </c>
      <c r="O1073" s="8">
        <f>+Tabla1[[#This Row],[Conversión]]*Tabla1[[#This Row],[Cantidad]]</f>
        <v>4</v>
      </c>
      <c r="P1073" s="43">
        <f>Tabla1[[#This Row],[Neto]]-Tabla1[[#This Row],[Costo Venta]]</f>
        <v>78.752544</v>
      </c>
    </row>
    <row r="1074" spans="1:16" x14ac:dyDescent="0.25">
      <c r="A1074" s="48">
        <v>45491</v>
      </c>
      <c r="B1074" s="1" t="s">
        <v>1</v>
      </c>
      <c r="C1074" s="1" t="s">
        <v>65</v>
      </c>
      <c r="D1074" s="1" t="s">
        <v>520</v>
      </c>
      <c r="E1074" s="1" t="s">
        <v>71</v>
      </c>
      <c r="F1074" s="1" t="s">
        <v>36</v>
      </c>
      <c r="G1074" s="2">
        <v>3.5</v>
      </c>
      <c r="H1074" s="51" t="s">
        <v>1040</v>
      </c>
      <c r="I1074" s="44">
        <f>Tabla1[[#This Row],[Descuento]]+Tabla1[[#This Row],[Neto]]</f>
        <v>136.08000000000001</v>
      </c>
      <c r="J1074" s="9">
        <v>34.020000000000003</v>
      </c>
      <c r="K1074" s="9">
        <v>102.06</v>
      </c>
      <c r="L1074" s="9">
        <v>19.545273999999999</v>
      </c>
      <c r="M1074" s="24">
        <f>+Tabla1[[#This Row],[Costo Venta]]/Tabla1[[#This Row],[Cantidad]]</f>
        <v>5.5843639999999999</v>
      </c>
      <c r="N1074" s="3">
        <v>1</v>
      </c>
      <c r="O1074" s="8">
        <f>+Tabla1[[#This Row],[Conversión]]*Tabla1[[#This Row],[Cantidad]]</f>
        <v>3.5</v>
      </c>
      <c r="P1074" s="43">
        <f>Tabla1[[#This Row],[Neto]]-Tabla1[[#This Row],[Costo Venta]]</f>
        <v>82.514725999999996</v>
      </c>
    </row>
    <row r="1075" spans="1:16" x14ac:dyDescent="0.25">
      <c r="A1075" s="48">
        <v>45594</v>
      </c>
      <c r="B1075" s="1" t="s">
        <v>1</v>
      </c>
      <c r="C1075" s="1" t="s">
        <v>65</v>
      </c>
      <c r="D1075" s="1" t="s">
        <v>544</v>
      </c>
      <c r="E1075" s="1" t="s">
        <v>67</v>
      </c>
      <c r="F1075" s="1" t="s">
        <v>9</v>
      </c>
      <c r="G1075" s="2">
        <v>26</v>
      </c>
      <c r="H1075" s="51" t="s">
        <v>1040</v>
      </c>
      <c r="I1075" s="44">
        <f>Tabla1[[#This Row],[Descuento]]+Tabla1[[#This Row],[Neto]]</f>
        <v>1010.876</v>
      </c>
      <c r="J1075" s="9">
        <v>454.89600000000002</v>
      </c>
      <c r="K1075" s="9">
        <v>555.98</v>
      </c>
      <c r="L1075" s="9">
        <v>143.854828</v>
      </c>
      <c r="M1075" s="24">
        <f>+Tabla1[[#This Row],[Costo Venta]]/Tabla1[[#This Row],[Cantidad]]</f>
        <v>5.5328780000000002</v>
      </c>
      <c r="N1075" s="3">
        <v>1</v>
      </c>
      <c r="O1075" s="8">
        <f>+Tabla1[[#This Row],[Conversión]]*Tabla1[[#This Row],[Cantidad]]</f>
        <v>26</v>
      </c>
      <c r="P1075" s="43">
        <f>Tabla1[[#This Row],[Neto]]-Tabla1[[#This Row],[Costo Venta]]</f>
        <v>412.12517200000002</v>
      </c>
    </row>
    <row r="1076" spans="1:16" x14ac:dyDescent="0.25">
      <c r="A1076" s="48">
        <v>45887</v>
      </c>
      <c r="B1076" s="1" t="s">
        <v>1</v>
      </c>
      <c r="C1076" s="1" t="s">
        <v>65</v>
      </c>
      <c r="D1076" s="1" t="s">
        <v>394</v>
      </c>
      <c r="E1076" s="1" t="s">
        <v>67</v>
      </c>
      <c r="F1076" s="1" t="s">
        <v>40</v>
      </c>
      <c r="G1076" s="2">
        <v>35</v>
      </c>
      <c r="H1076" s="51" t="s">
        <v>1040</v>
      </c>
      <c r="I1076" s="44">
        <f>Tabla1[[#This Row],[Descuento]]+Tabla1[[#This Row],[Neto]]</f>
        <v>1360.8</v>
      </c>
      <c r="J1076" s="9">
        <v>340.2</v>
      </c>
      <c r="K1076" s="9">
        <v>1020.6</v>
      </c>
      <c r="L1076" s="9">
        <v>180.097365</v>
      </c>
      <c r="M1076" s="24">
        <f>+Tabla1[[#This Row],[Costo Venta]]/Tabla1[[#This Row],[Cantidad]]</f>
        <v>5.1456390000000001</v>
      </c>
      <c r="N1076" s="3">
        <v>1</v>
      </c>
      <c r="O1076" s="8">
        <f>+Tabla1[[#This Row],[Conversión]]*Tabla1[[#This Row],[Cantidad]]</f>
        <v>35</v>
      </c>
      <c r="P1076" s="43">
        <f>Tabla1[[#This Row],[Neto]]-Tabla1[[#This Row],[Costo Venta]]</f>
        <v>840.50263500000005</v>
      </c>
    </row>
    <row r="1077" spans="1:16" x14ac:dyDescent="0.25">
      <c r="A1077" s="48">
        <v>45064</v>
      </c>
      <c r="B1077" s="1" t="s">
        <v>496</v>
      </c>
      <c r="C1077" s="1" t="s">
        <v>109</v>
      </c>
      <c r="D1077" s="1" t="s">
        <v>184</v>
      </c>
      <c r="E1077" s="1" t="s">
        <v>132</v>
      </c>
      <c r="F1077" s="1" t="s">
        <v>185</v>
      </c>
      <c r="G1077" s="2">
        <v>7.5</v>
      </c>
      <c r="H1077" s="1" t="s">
        <v>1050</v>
      </c>
      <c r="I1077" s="44">
        <f>Tabla1[[#This Row],[Descuento]]+Tabla1[[#This Row],[Neto]]</f>
        <v>315</v>
      </c>
      <c r="J1077" s="9">
        <v>15.75</v>
      </c>
      <c r="K1077" s="9">
        <v>299.25</v>
      </c>
      <c r="L1077" s="9">
        <v>65.924999999999997</v>
      </c>
      <c r="M1077" s="24">
        <f>+Tabla1[[#This Row],[Costo Venta]]/Tabla1[[#This Row],[Cantidad]]</f>
        <v>8.7899999999999991</v>
      </c>
      <c r="N1077" s="3">
        <v>1</v>
      </c>
      <c r="O1077" s="8">
        <f>+Tabla1[[#This Row],[Conversión]]*Tabla1[[#This Row],[Cantidad]]</f>
        <v>7.5</v>
      </c>
      <c r="P1077" s="43">
        <f>Tabla1[[#This Row],[Neto]]-Tabla1[[#This Row],[Costo Venta]]</f>
        <v>233.32499999999999</v>
      </c>
    </row>
    <row r="1078" spans="1:16" x14ac:dyDescent="0.25">
      <c r="A1078" s="48">
        <v>45120</v>
      </c>
      <c r="B1078" s="1" t="s">
        <v>496</v>
      </c>
      <c r="C1078" s="1" t="s">
        <v>81</v>
      </c>
      <c r="D1078" s="1" t="s">
        <v>209</v>
      </c>
      <c r="E1078" s="1" t="s">
        <v>71</v>
      </c>
      <c r="F1078" s="1" t="s">
        <v>210</v>
      </c>
      <c r="G1078" s="2">
        <v>25</v>
      </c>
      <c r="H1078" s="1" t="s">
        <v>1050</v>
      </c>
      <c r="I1078" s="44">
        <f>Tabla1[[#This Row],[Descuento]]+Tabla1[[#This Row],[Neto]]</f>
        <v>1050</v>
      </c>
      <c r="J1078" s="9">
        <v>0</v>
      </c>
      <c r="K1078" s="9">
        <v>1050</v>
      </c>
      <c r="L1078" s="9">
        <v>220.46875</v>
      </c>
      <c r="M1078" s="24">
        <f>+Tabla1[[#This Row],[Costo Venta]]/Tabla1[[#This Row],[Cantidad]]</f>
        <v>8.8187499999999996</v>
      </c>
      <c r="N1078" s="3">
        <v>1</v>
      </c>
      <c r="O1078" s="8">
        <f>+Tabla1[[#This Row],[Conversión]]*Tabla1[[#This Row],[Cantidad]]</f>
        <v>25</v>
      </c>
      <c r="P1078" s="43">
        <f>Tabla1[[#This Row],[Neto]]-Tabla1[[#This Row],[Costo Venta]]</f>
        <v>829.53125</v>
      </c>
    </row>
    <row r="1079" spans="1:16" x14ac:dyDescent="0.25">
      <c r="A1079" s="48">
        <v>45040</v>
      </c>
      <c r="B1079" s="1" t="s">
        <v>496</v>
      </c>
      <c r="C1079" s="1" t="s">
        <v>81</v>
      </c>
      <c r="D1079" s="1" t="s">
        <v>1051</v>
      </c>
      <c r="E1079" s="1" t="s">
        <v>71</v>
      </c>
      <c r="F1079" s="1" t="s">
        <v>1052</v>
      </c>
      <c r="G1079" s="2">
        <v>7.88</v>
      </c>
      <c r="H1079" s="1" t="s">
        <v>1053</v>
      </c>
      <c r="I1079" s="44">
        <f>Tabla1[[#This Row],[Descuento]]+Tabla1[[#This Row],[Neto]]</f>
        <v>330.96</v>
      </c>
      <c r="J1079" s="9">
        <v>0</v>
      </c>
      <c r="K1079" s="9">
        <v>330.96</v>
      </c>
      <c r="L1079" s="9">
        <v>34.935530839999998</v>
      </c>
      <c r="M1079" s="24">
        <f>+Tabla1[[#This Row],[Costo Venta]]/Tabla1[[#This Row],[Cantidad]]</f>
        <v>4.4334429999999996</v>
      </c>
      <c r="N1079" s="3">
        <v>1</v>
      </c>
      <c r="O1079" s="8">
        <f>+Tabla1[[#This Row],[Conversión]]*Tabla1[[#This Row],[Cantidad]]</f>
        <v>7.88</v>
      </c>
      <c r="P1079" s="43">
        <f>Tabla1[[#This Row],[Neto]]-Tabla1[[#This Row],[Costo Venta]]</f>
        <v>296.02446915999997</v>
      </c>
    </row>
    <row r="1080" spans="1:16" x14ac:dyDescent="0.25">
      <c r="A1080" s="48">
        <v>45378</v>
      </c>
      <c r="B1080" s="1" t="s">
        <v>496</v>
      </c>
      <c r="C1080" s="1" t="s">
        <v>81</v>
      </c>
      <c r="D1080" s="1" t="s">
        <v>1054</v>
      </c>
      <c r="E1080" s="1" t="s">
        <v>71</v>
      </c>
      <c r="F1080" s="1" t="s">
        <v>1052</v>
      </c>
      <c r="G1080" s="2">
        <v>6</v>
      </c>
      <c r="H1080" s="1" t="s">
        <v>1053</v>
      </c>
      <c r="I1080" s="44">
        <f>Tabla1[[#This Row],[Descuento]]+Tabla1[[#This Row],[Neto]]</f>
        <v>254.64400000000001</v>
      </c>
      <c r="J1080" s="9">
        <v>25.463999999999999</v>
      </c>
      <c r="K1080" s="9">
        <v>229.18</v>
      </c>
      <c r="L1080" s="9">
        <v>26.600657999999999</v>
      </c>
      <c r="M1080" s="24">
        <f>+Tabla1[[#This Row],[Costo Venta]]/Tabla1[[#This Row],[Cantidad]]</f>
        <v>4.4334429999999996</v>
      </c>
      <c r="N1080" s="3">
        <v>1</v>
      </c>
      <c r="O1080" s="8">
        <f>+Tabla1[[#This Row],[Conversión]]*Tabla1[[#This Row],[Cantidad]]</f>
        <v>6</v>
      </c>
      <c r="P1080" s="43">
        <f>Tabla1[[#This Row],[Neto]]-Tabla1[[#This Row],[Costo Venta]]</f>
        <v>202.579342</v>
      </c>
    </row>
    <row r="1081" spans="1:16" x14ac:dyDescent="0.25">
      <c r="A1081" s="48">
        <v>45642</v>
      </c>
      <c r="B1081" s="1" t="s">
        <v>496</v>
      </c>
      <c r="C1081" s="1" t="s">
        <v>65</v>
      </c>
      <c r="D1081" s="1" t="s">
        <v>356</v>
      </c>
      <c r="E1081" s="1" t="s">
        <v>71</v>
      </c>
      <c r="F1081" s="1" t="s">
        <v>357</v>
      </c>
      <c r="G1081" s="2">
        <v>6.75</v>
      </c>
      <c r="H1081" s="1" t="s">
        <v>1053</v>
      </c>
      <c r="I1081" s="44">
        <f>Tabla1[[#This Row],[Descuento]]+Tabla1[[#This Row],[Neto]]</f>
        <v>262.44</v>
      </c>
      <c r="J1081" s="9">
        <v>0</v>
      </c>
      <c r="K1081" s="9">
        <v>262.44</v>
      </c>
      <c r="L1081" s="9">
        <v>20.701197000000001</v>
      </c>
      <c r="M1081" s="24">
        <f>+Tabla1[[#This Row],[Costo Venta]]/Tabla1[[#This Row],[Cantidad]]</f>
        <v>3.0668440000000001</v>
      </c>
      <c r="N1081" s="3">
        <v>1</v>
      </c>
      <c r="O1081" s="8">
        <f>+Tabla1[[#This Row],[Conversión]]*Tabla1[[#This Row],[Cantidad]]</f>
        <v>6.75</v>
      </c>
      <c r="P1081" s="43">
        <f>Tabla1[[#This Row],[Neto]]-Tabla1[[#This Row],[Costo Venta]]</f>
        <v>241.73880299999999</v>
      </c>
    </row>
    <row r="1082" spans="1:16" x14ac:dyDescent="0.25">
      <c r="A1082" s="48">
        <v>45201</v>
      </c>
      <c r="B1082" s="1" t="s">
        <v>1</v>
      </c>
      <c r="C1082" s="1" t="s">
        <v>214</v>
      </c>
      <c r="D1082" s="1" t="s">
        <v>244</v>
      </c>
      <c r="E1082" s="1" t="s">
        <v>71</v>
      </c>
      <c r="F1082" s="1" t="s">
        <v>22</v>
      </c>
      <c r="G1082" s="2">
        <v>15</v>
      </c>
      <c r="H1082" s="1" t="s">
        <v>1055</v>
      </c>
      <c r="I1082" s="44">
        <f>Tabla1[[#This Row],[Descuento]]+Tabla1[[#This Row],[Neto]]</f>
        <v>636.6</v>
      </c>
      <c r="J1082" s="9">
        <v>95.49</v>
      </c>
      <c r="K1082" s="9">
        <v>541.11</v>
      </c>
      <c r="L1082" s="9">
        <v>137.85</v>
      </c>
      <c r="M1082" s="24">
        <f>+Tabla1[[#This Row],[Costo Venta]]/Tabla1[[#This Row],[Cantidad]]</f>
        <v>9.19</v>
      </c>
      <c r="N1082" s="3">
        <v>1</v>
      </c>
      <c r="O1082" s="8">
        <f>+Tabla1[[#This Row],[Conversión]]*Tabla1[[#This Row],[Cantidad]]</f>
        <v>15</v>
      </c>
      <c r="P1082" s="43">
        <f>Tabla1[[#This Row],[Neto]]-Tabla1[[#This Row],[Costo Venta]]</f>
        <v>403.26</v>
      </c>
    </row>
    <row r="1083" spans="1:16" x14ac:dyDescent="0.25">
      <c r="A1083" s="48">
        <v>45089</v>
      </c>
      <c r="B1083" s="1" t="s">
        <v>1</v>
      </c>
      <c r="C1083" s="1" t="s">
        <v>109</v>
      </c>
      <c r="D1083" s="1" t="s">
        <v>1056</v>
      </c>
      <c r="E1083" s="1" t="s">
        <v>67</v>
      </c>
      <c r="F1083" s="1" t="s">
        <v>15</v>
      </c>
      <c r="G1083" s="2">
        <v>32.04</v>
      </c>
      <c r="H1083" s="1" t="s">
        <v>1057</v>
      </c>
      <c r="I1083" s="44">
        <f>Tabla1[[#This Row],[Descuento]]+Tabla1[[#This Row],[Neto]]</f>
        <v>1345.6780000000001</v>
      </c>
      <c r="J1083" s="9">
        <v>470.988</v>
      </c>
      <c r="K1083" s="9">
        <v>874.69</v>
      </c>
      <c r="L1083" s="9">
        <v>190.63800000000001</v>
      </c>
      <c r="M1083" s="24">
        <f>+Tabla1[[#This Row],[Costo Venta]]/Tabla1[[#This Row],[Cantidad]]</f>
        <v>5.95</v>
      </c>
      <c r="N1083" s="3">
        <v>1</v>
      </c>
      <c r="O1083" s="8">
        <f>+Tabla1[[#This Row],[Conversión]]*Tabla1[[#This Row],[Cantidad]]</f>
        <v>32.04</v>
      </c>
      <c r="P1083" s="43">
        <f>Tabla1[[#This Row],[Neto]]-Tabla1[[#This Row],[Costo Venta]]</f>
        <v>684.05200000000002</v>
      </c>
    </row>
    <row r="1084" spans="1:16" x14ac:dyDescent="0.25">
      <c r="A1084" s="48">
        <v>45230</v>
      </c>
      <c r="B1084" s="1" t="s">
        <v>1</v>
      </c>
      <c r="C1084" s="1" t="s">
        <v>214</v>
      </c>
      <c r="D1084" s="1" t="s">
        <v>1058</v>
      </c>
      <c r="E1084" s="1" t="s">
        <v>132</v>
      </c>
      <c r="F1084" s="1" t="s">
        <v>16</v>
      </c>
      <c r="G1084" s="2">
        <v>16.559999999999999</v>
      </c>
      <c r="H1084" s="1" t="s">
        <v>1057</v>
      </c>
      <c r="I1084" s="44">
        <f>Tabla1[[#This Row],[Descuento]]+Tabla1[[#This Row],[Neto]]</f>
        <v>702.81223999999997</v>
      </c>
      <c r="J1084" s="9">
        <v>245.98223999999999</v>
      </c>
      <c r="K1084" s="9">
        <v>456.83</v>
      </c>
      <c r="L1084" s="9">
        <v>98.531999999999996</v>
      </c>
      <c r="M1084" s="24">
        <f>+Tabla1[[#This Row],[Costo Venta]]/Tabla1[[#This Row],[Cantidad]]</f>
        <v>5.95</v>
      </c>
      <c r="N1084" s="3">
        <v>1</v>
      </c>
      <c r="O1084" s="8">
        <f>+Tabla1[[#This Row],[Conversión]]*Tabla1[[#This Row],[Cantidad]]</f>
        <v>16.559999999999999</v>
      </c>
      <c r="P1084" s="43">
        <f>Tabla1[[#This Row],[Neto]]-Tabla1[[#This Row],[Costo Venta]]</f>
        <v>358.298</v>
      </c>
    </row>
    <row r="1085" spans="1:16" x14ac:dyDescent="0.25">
      <c r="A1085" s="48">
        <v>45275</v>
      </c>
      <c r="B1085" s="1" t="s">
        <v>1</v>
      </c>
      <c r="C1085" s="1" t="s">
        <v>214</v>
      </c>
      <c r="D1085" s="1" t="s">
        <v>584</v>
      </c>
      <c r="E1085" s="1" t="s">
        <v>132</v>
      </c>
      <c r="F1085" s="1" t="s">
        <v>16</v>
      </c>
      <c r="G1085" s="2">
        <v>2.88</v>
      </c>
      <c r="H1085" s="1" t="s">
        <v>1057</v>
      </c>
      <c r="I1085" s="44">
        <f>Tabla1[[#This Row],[Descuento]]+Tabla1[[#This Row],[Neto]]</f>
        <v>122.22952000000001</v>
      </c>
      <c r="J1085" s="9">
        <v>42.779519999999998</v>
      </c>
      <c r="K1085" s="9">
        <v>79.45</v>
      </c>
      <c r="L1085" s="9">
        <v>17.135999999999999</v>
      </c>
      <c r="M1085" s="24">
        <f>+Tabla1[[#This Row],[Costo Venta]]/Tabla1[[#This Row],[Cantidad]]</f>
        <v>5.95</v>
      </c>
      <c r="N1085" s="3">
        <v>1</v>
      </c>
      <c r="O1085" s="8">
        <f>+Tabla1[[#This Row],[Conversión]]*Tabla1[[#This Row],[Cantidad]]</f>
        <v>2.88</v>
      </c>
      <c r="P1085" s="43">
        <f>Tabla1[[#This Row],[Neto]]-Tabla1[[#This Row],[Costo Venta]]</f>
        <v>62.314000000000007</v>
      </c>
    </row>
    <row r="1086" spans="1:16" x14ac:dyDescent="0.25">
      <c r="A1086" s="48">
        <v>44994</v>
      </c>
      <c r="B1086" s="1" t="s">
        <v>1</v>
      </c>
      <c r="C1086" s="1" t="s">
        <v>109</v>
      </c>
      <c r="D1086" s="1" t="s">
        <v>153</v>
      </c>
      <c r="E1086" s="1" t="s">
        <v>132</v>
      </c>
      <c r="F1086" s="1" t="s">
        <v>21</v>
      </c>
      <c r="G1086" s="2">
        <v>2.5</v>
      </c>
      <c r="H1086" s="1" t="s">
        <v>1059</v>
      </c>
      <c r="I1086" s="44">
        <f>Tabla1[[#This Row],[Descuento]]+Tabla1[[#This Row],[Neto]]</f>
        <v>95</v>
      </c>
      <c r="J1086" s="9">
        <v>28.5</v>
      </c>
      <c r="K1086" s="9">
        <v>66.5</v>
      </c>
      <c r="L1086" s="9">
        <v>12.292652500000001</v>
      </c>
      <c r="M1086" s="24">
        <f>+Tabla1[[#This Row],[Costo Venta]]/Tabla1[[#This Row],[Cantidad]]</f>
        <v>4.9170610000000003</v>
      </c>
      <c r="N1086" s="3">
        <v>1</v>
      </c>
      <c r="O1086" s="8">
        <f>+Tabla1[[#This Row],[Conversión]]*Tabla1[[#This Row],[Cantidad]]</f>
        <v>2.5</v>
      </c>
      <c r="P1086" s="43">
        <f>Tabla1[[#This Row],[Neto]]-Tabla1[[#This Row],[Costo Venta]]</f>
        <v>54.207347499999997</v>
      </c>
    </row>
    <row r="1087" spans="1:16" x14ac:dyDescent="0.25">
      <c r="A1087" s="48">
        <v>45012</v>
      </c>
      <c r="B1087" s="1" t="s">
        <v>1</v>
      </c>
      <c r="C1087" s="1" t="s">
        <v>109</v>
      </c>
      <c r="D1087" s="1" t="s">
        <v>1042</v>
      </c>
      <c r="E1087" s="1" t="s">
        <v>67</v>
      </c>
      <c r="F1087" s="1" t="s">
        <v>20</v>
      </c>
      <c r="G1087" s="2">
        <v>17</v>
      </c>
      <c r="H1087" s="1" t="s">
        <v>1059</v>
      </c>
      <c r="I1087" s="44">
        <f>Tabla1[[#This Row],[Descuento]]+Tabla1[[#This Row],[Neto]]</f>
        <v>646</v>
      </c>
      <c r="J1087" s="9">
        <v>226.1</v>
      </c>
      <c r="K1087" s="9">
        <v>419.9</v>
      </c>
      <c r="L1087" s="9">
        <v>83.243831999999998</v>
      </c>
      <c r="M1087" s="24">
        <f>+Tabla1[[#This Row],[Costo Venta]]/Tabla1[[#This Row],[Cantidad]]</f>
        <v>4.8966959999999995</v>
      </c>
      <c r="N1087" s="3">
        <v>1</v>
      </c>
      <c r="O1087" s="8">
        <f>+Tabla1[[#This Row],[Conversión]]*Tabla1[[#This Row],[Cantidad]]</f>
        <v>17</v>
      </c>
      <c r="P1087" s="43">
        <f>Tabla1[[#This Row],[Neto]]-Tabla1[[#This Row],[Costo Venta]]</f>
        <v>336.65616799999998</v>
      </c>
    </row>
    <row r="1088" spans="1:16" x14ac:dyDescent="0.25">
      <c r="A1088" s="48">
        <v>45026</v>
      </c>
      <c r="B1088" s="1" t="s">
        <v>1</v>
      </c>
      <c r="C1088" s="1" t="s">
        <v>109</v>
      </c>
      <c r="D1088" s="1" t="s">
        <v>1060</v>
      </c>
      <c r="E1088" s="1" t="s">
        <v>67</v>
      </c>
      <c r="F1088" s="1" t="s">
        <v>20</v>
      </c>
      <c r="G1088" s="2">
        <v>24.5</v>
      </c>
      <c r="H1088" s="1" t="s">
        <v>1059</v>
      </c>
      <c r="I1088" s="44">
        <f>Tabla1[[#This Row],[Descuento]]+Tabla1[[#This Row],[Neto]]</f>
        <v>931</v>
      </c>
      <c r="J1088" s="9">
        <v>325.85000000000002</v>
      </c>
      <c r="K1088" s="9">
        <v>605.15</v>
      </c>
      <c r="L1088" s="9">
        <v>119.331709</v>
      </c>
      <c r="M1088" s="24">
        <f>+Tabla1[[#This Row],[Costo Venta]]/Tabla1[[#This Row],[Cantidad]]</f>
        <v>4.8706820000000004</v>
      </c>
      <c r="N1088" s="3">
        <v>1</v>
      </c>
      <c r="O1088" s="8">
        <f>+Tabla1[[#This Row],[Conversión]]*Tabla1[[#This Row],[Cantidad]]</f>
        <v>24.5</v>
      </c>
      <c r="P1088" s="43">
        <f>Tabla1[[#This Row],[Neto]]-Tabla1[[#This Row],[Costo Venta]]</f>
        <v>485.81829099999999</v>
      </c>
    </row>
    <row r="1089" spans="1:16" x14ac:dyDescent="0.25">
      <c r="A1089" s="48">
        <v>45090</v>
      </c>
      <c r="B1089" s="1" t="s">
        <v>1</v>
      </c>
      <c r="C1089" s="1" t="s">
        <v>109</v>
      </c>
      <c r="D1089" s="1" t="s">
        <v>1061</v>
      </c>
      <c r="E1089" s="1" t="s">
        <v>67</v>
      </c>
      <c r="F1089" s="1" t="s">
        <v>20</v>
      </c>
      <c r="G1089" s="2">
        <v>3.75</v>
      </c>
      <c r="H1089" s="1" t="s">
        <v>1059</v>
      </c>
      <c r="I1089" s="44">
        <f>Tabla1[[#This Row],[Descuento]]+Tabla1[[#This Row],[Neto]]</f>
        <v>142.495</v>
      </c>
      <c r="J1089" s="9">
        <v>49.875</v>
      </c>
      <c r="K1089" s="9">
        <v>92.62</v>
      </c>
      <c r="L1089" s="9">
        <v>18.25429875</v>
      </c>
      <c r="M1089" s="24">
        <f>+Tabla1[[#This Row],[Costo Venta]]/Tabla1[[#This Row],[Cantidad]]</f>
        <v>4.8678129999999999</v>
      </c>
      <c r="N1089" s="3">
        <v>1</v>
      </c>
      <c r="O1089" s="8">
        <f>+Tabla1[[#This Row],[Conversión]]*Tabla1[[#This Row],[Cantidad]]</f>
        <v>3.75</v>
      </c>
      <c r="P1089" s="43">
        <f>Tabla1[[#This Row],[Neto]]-Tabla1[[#This Row],[Costo Venta]]</f>
        <v>74.365701250000001</v>
      </c>
    </row>
    <row r="1090" spans="1:16" x14ac:dyDescent="0.25">
      <c r="A1090" s="48">
        <v>45175</v>
      </c>
      <c r="B1090" s="1" t="s">
        <v>1</v>
      </c>
      <c r="C1090" s="1" t="s">
        <v>214</v>
      </c>
      <c r="D1090" s="1" t="s">
        <v>237</v>
      </c>
      <c r="E1090" s="1" t="s">
        <v>71</v>
      </c>
      <c r="F1090" s="1" t="s">
        <v>17</v>
      </c>
      <c r="G1090" s="2">
        <v>3</v>
      </c>
      <c r="H1090" s="1" t="s">
        <v>1059</v>
      </c>
      <c r="I1090" s="44">
        <f>Tabla1[[#This Row],[Descuento]]+Tabla1[[#This Row],[Neto]]</f>
        <v>127.32</v>
      </c>
      <c r="J1090" s="9">
        <v>0</v>
      </c>
      <c r="K1090" s="9">
        <v>127.32</v>
      </c>
      <c r="L1090" s="9">
        <v>14.603514000000001</v>
      </c>
      <c r="M1090" s="24">
        <f>+Tabla1[[#This Row],[Costo Venta]]/Tabla1[[#This Row],[Cantidad]]</f>
        <v>4.8678379999999999</v>
      </c>
      <c r="N1090" s="3">
        <v>1</v>
      </c>
      <c r="O1090" s="8">
        <f>+Tabla1[[#This Row],[Conversión]]*Tabla1[[#This Row],[Cantidad]]</f>
        <v>3</v>
      </c>
      <c r="P1090" s="43">
        <f>Tabla1[[#This Row],[Neto]]-Tabla1[[#This Row],[Costo Venta]]</f>
        <v>112.71648599999999</v>
      </c>
    </row>
    <row r="1091" spans="1:16" x14ac:dyDescent="0.25">
      <c r="A1091" s="48">
        <v>45293</v>
      </c>
      <c r="B1091" s="1" t="s">
        <v>1</v>
      </c>
      <c r="C1091" s="1" t="s">
        <v>214</v>
      </c>
      <c r="D1091" s="1" t="s">
        <v>1062</v>
      </c>
      <c r="E1091" s="1" t="s">
        <v>132</v>
      </c>
      <c r="F1091" s="1" t="s">
        <v>16</v>
      </c>
      <c r="G1091" s="2">
        <v>5.5</v>
      </c>
      <c r="H1091" s="1" t="s">
        <v>1059</v>
      </c>
      <c r="I1091" s="44">
        <f>Tabla1[[#This Row],[Descuento]]+Tabla1[[#This Row],[Neto]]</f>
        <v>233.417</v>
      </c>
      <c r="J1091" s="9">
        <v>81.697000000000003</v>
      </c>
      <c r="K1091" s="9">
        <v>151.72</v>
      </c>
      <c r="L1091" s="9">
        <v>26.746400999999999</v>
      </c>
      <c r="M1091" s="24">
        <f>+Tabla1[[#This Row],[Costo Venta]]/Tabla1[[#This Row],[Cantidad]]</f>
        <v>4.8629819999999997</v>
      </c>
      <c r="N1091" s="3">
        <v>1</v>
      </c>
      <c r="O1091" s="8">
        <f>+Tabla1[[#This Row],[Conversión]]*Tabla1[[#This Row],[Cantidad]]</f>
        <v>5.5</v>
      </c>
      <c r="P1091" s="43">
        <f>Tabla1[[#This Row],[Neto]]-Tabla1[[#This Row],[Costo Venta]]</f>
        <v>124.97359900000001</v>
      </c>
    </row>
    <row r="1092" spans="1:16" x14ac:dyDescent="0.25">
      <c r="A1092" s="48">
        <v>45538</v>
      </c>
      <c r="B1092" s="1" t="s">
        <v>1</v>
      </c>
      <c r="C1092" s="1" t="s">
        <v>65</v>
      </c>
      <c r="D1092" s="1" t="s">
        <v>1063</v>
      </c>
      <c r="E1092" s="1" t="s">
        <v>71</v>
      </c>
      <c r="F1092" s="1" t="s">
        <v>28</v>
      </c>
      <c r="G1092" s="2">
        <v>8.2799999999999994</v>
      </c>
      <c r="H1092" s="1" t="s">
        <v>1059</v>
      </c>
      <c r="I1092" s="44">
        <f>Tabla1[[#This Row],[Descuento]]+Tabla1[[#This Row],[Neto]]</f>
        <v>321.93260864000001</v>
      </c>
      <c r="J1092" s="9">
        <v>282.52260863999999</v>
      </c>
      <c r="K1092" s="9">
        <v>39.409999999999997</v>
      </c>
      <c r="L1092" s="9">
        <v>41.004861839999997</v>
      </c>
      <c r="M1092" s="24">
        <f>+Tabla1[[#This Row],[Costo Venta]]/Tabla1[[#This Row],[Cantidad]]</f>
        <v>4.9522779999999997</v>
      </c>
      <c r="N1092" s="3">
        <v>1</v>
      </c>
      <c r="O1092" s="8">
        <f>+Tabla1[[#This Row],[Conversión]]*Tabla1[[#This Row],[Cantidad]]</f>
        <v>8.2799999999999994</v>
      </c>
      <c r="P1092" s="43">
        <f>Tabla1[[#This Row],[Neto]]-Tabla1[[#This Row],[Costo Venta]]</f>
        <v>-1.5948618400000001</v>
      </c>
    </row>
    <row r="1093" spans="1:16" x14ac:dyDescent="0.25">
      <c r="A1093" s="48">
        <v>45090</v>
      </c>
      <c r="B1093" s="1" t="s">
        <v>496</v>
      </c>
      <c r="C1093" s="1" t="s">
        <v>81</v>
      </c>
      <c r="D1093" s="1" t="s">
        <v>1064</v>
      </c>
      <c r="E1093" s="1" t="s">
        <v>71</v>
      </c>
      <c r="F1093" s="1" t="s">
        <v>1065</v>
      </c>
      <c r="G1093" s="2">
        <v>4</v>
      </c>
      <c r="H1093" s="1" t="s">
        <v>1066</v>
      </c>
      <c r="I1093" s="44">
        <f>Tabla1[[#This Row],[Descuento]]+Tabla1[[#This Row],[Neto]]</f>
        <v>168</v>
      </c>
      <c r="J1093" s="9">
        <v>0</v>
      </c>
      <c r="K1093" s="9">
        <v>168</v>
      </c>
      <c r="L1093" s="9">
        <v>19.55</v>
      </c>
      <c r="M1093" s="24">
        <f>+Tabla1[[#This Row],[Costo Venta]]/Tabla1[[#This Row],[Cantidad]]</f>
        <v>4.8875000000000002</v>
      </c>
      <c r="N1093" s="3">
        <v>1</v>
      </c>
      <c r="O1093" s="8">
        <f>+Tabla1[[#This Row],[Conversión]]*Tabla1[[#This Row],[Cantidad]]</f>
        <v>4</v>
      </c>
      <c r="P1093" s="43">
        <f>Tabla1[[#This Row],[Neto]]-Tabla1[[#This Row],[Costo Venta]]</f>
        <v>148.44999999999999</v>
      </c>
    </row>
    <row r="1094" spans="1:16" x14ac:dyDescent="0.25">
      <c r="A1094" s="48">
        <v>45126</v>
      </c>
      <c r="B1094" s="1" t="s">
        <v>496</v>
      </c>
      <c r="C1094" s="1" t="s">
        <v>214</v>
      </c>
      <c r="D1094" s="1" t="s">
        <v>215</v>
      </c>
      <c r="E1094" s="1" t="s">
        <v>71</v>
      </c>
      <c r="F1094" s="1" t="s">
        <v>216</v>
      </c>
      <c r="G1094" s="2">
        <v>23</v>
      </c>
      <c r="H1094" s="1" t="s">
        <v>1066</v>
      </c>
      <c r="I1094" s="44">
        <f>Tabla1[[#This Row],[Descuento]]+Tabla1[[#This Row],[Neto]]</f>
        <v>966</v>
      </c>
      <c r="J1094" s="9">
        <v>0</v>
      </c>
      <c r="K1094" s="9">
        <v>966</v>
      </c>
      <c r="L1094" s="9">
        <v>112.41249999999999</v>
      </c>
      <c r="M1094" s="24">
        <f>+Tabla1[[#This Row],[Costo Venta]]/Tabla1[[#This Row],[Cantidad]]</f>
        <v>4.8875000000000002</v>
      </c>
      <c r="N1094" s="3">
        <v>1</v>
      </c>
      <c r="O1094" s="8">
        <f>+Tabla1[[#This Row],[Conversión]]*Tabla1[[#This Row],[Cantidad]]</f>
        <v>23</v>
      </c>
      <c r="P1094" s="43">
        <f>Tabla1[[#This Row],[Neto]]-Tabla1[[#This Row],[Costo Venta]]</f>
        <v>853.58749999999998</v>
      </c>
    </row>
    <row r="1095" spans="1:16" x14ac:dyDescent="0.25">
      <c r="A1095" s="48">
        <v>45147</v>
      </c>
      <c r="B1095" s="1" t="s">
        <v>496</v>
      </c>
      <c r="C1095" s="1" t="s">
        <v>214</v>
      </c>
      <c r="D1095" s="1" t="s">
        <v>1067</v>
      </c>
      <c r="E1095" s="1" t="s">
        <v>71</v>
      </c>
      <c r="F1095" s="1" t="s">
        <v>216</v>
      </c>
      <c r="G1095" s="2">
        <v>3</v>
      </c>
      <c r="H1095" s="1" t="s">
        <v>1066</v>
      </c>
      <c r="I1095" s="44">
        <f>Tabla1[[#This Row],[Descuento]]+Tabla1[[#This Row],[Neto]]</f>
        <v>126</v>
      </c>
      <c r="J1095" s="9">
        <v>0</v>
      </c>
      <c r="K1095" s="9">
        <v>126</v>
      </c>
      <c r="L1095" s="9">
        <v>14.540001</v>
      </c>
      <c r="M1095" s="24">
        <f>+Tabla1[[#This Row],[Costo Venta]]/Tabla1[[#This Row],[Cantidad]]</f>
        <v>4.8466670000000001</v>
      </c>
      <c r="N1095" s="3">
        <v>1</v>
      </c>
      <c r="O1095" s="8">
        <f>+Tabla1[[#This Row],[Conversión]]*Tabla1[[#This Row],[Cantidad]]</f>
        <v>3</v>
      </c>
      <c r="P1095" s="43">
        <f>Tabla1[[#This Row],[Neto]]-Tabla1[[#This Row],[Costo Venta]]</f>
        <v>111.459999</v>
      </c>
    </row>
    <row r="1096" spans="1:16" x14ac:dyDescent="0.25">
      <c r="A1096" s="48">
        <v>45161</v>
      </c>
      <c r="B1096" s="1" t="s">
        <v>496</v>
      </c>
      <c r="C1096" s="1" t="s">
        <v>214</v>
      </c>
      <c r="D1096" s="1" t="s">
        <v>1068</v>
      </c>
      <c r="E1096" s="1" t="s">
        <v>71</v>
      </c>
      <c r="F1096" s="1" t="s">
        <v>1065</v>
      </c>
      <c r="G1096" s="2">
        <v>4.5999999999999996</v>
      </c>
      <c r="H1096" s="1" t="s">
        <v>1066</v>
      </c>
      <c r="I1096" s="44">
        <f>Tabla1[[#This Row],[Descuento]]+Tabla1[[#This Row],[Neto]]</f>
        <v>195.22120000000001</v>
      </c>
      <c r="J1096" s="9">
        <v>9.7612000000000005</v>
      </c>
      <c r="K1096" s="9">
        <v>185.46</v>
      </c>
      <c r="L1096" s="9">
        <v>22.356000000000002</v>
      </c>
      <c r="M1096" s="24">
        <f>+Tabla1[[#This Row],[Costo Venta]]/Tabla1[[#This Row],[Cantidad]]</f>
        <v>4.8600000000000003</v>
      </c>
      <c r="N1096" s="3">
        <v>1</v>
      </c>
      <c r="O1096" s="8">
        <f>+Tabla1[[#This Row],[Conversión]]*Tabla1[[#This Row],[Cantidad]]</f>
        <v>4.5999999999999996</v>
      </c>
      <c r="P1096" s="43">
        <f>Tabla1[[#This Row],[Neto]]-Tabla1[[#This Row],[Costo Venta]]</f>
        <v>163.10400000000001</v>
      </c>
    </row>
    <row r="1097" spans="1:16" x14ac:dyDescent="0.25">
      <c r="A1097" s="48">
        <v>45382</v>
      </c>
      <c r="B1097" s="1" t="s">
        <v>496</v>
      </c>
      <c r="C1097" s="1" t="s">
        <v>65</v>
      </c>
      <c r="D1097" s="1" t="s">
        <v>306</v>
      </c>
      <c r="E1097" s="1" t="s">
        <v>71</v>
      </c>
      <c r="F1097" s="1" t="s">
        <v>307</v>
      </c>
      <c r="G1097" s="2">
        <v>13.8</v>
      </c>
      <c r="H1097" s="51" t="s">
        <v>1069</v>
      </c>
      <c r="I1097" s="44">
        <f>Tabla1[[#This Row],[Descuento]]+Tabla1[[#This Row],[Neto]]</f>
        <v>585.66800000000001</v>
      </c>
      <c r="J1097" s="9">
        <v>146.41800000000001</v>
      </c>
      <c r="K1097" s="9">
        <v>439.25</v>
      </c>
      <c r="L1097" s="9">
        <v>55.088647799999997</v>
      </c>
      <c r="M1097" s="24">
        <f>+Tabla1[[#This Row],[Costo Venta]]/Tabla1[[#This Row],[Cantidad]]</f>
        <v>3.9919309999999997</v>
      </c>
      <c r="N1097" s="3">
        <v>1</v>
      </c>
      <c r="O1097" s="8">
        <f>+Tabla1[[#This Row],[Conversión]]*Tabla1[[#This Row],[Cantidad]]</f>
        <v>13.8</v>
      </c>
      <c r="P1097" s="43">
        <f>Tabla1[[#This Row],[Neto]]-Tabla1[[#This Row],[Costo Venta]]</f>
        <v>384.16135220000001</v>
      </c>
    </row>
    <row r="1098" spans="1:16" x14ac:dyDescent="0.25">
      <c r="A1098" s="48">
        <v>45492</v>
      </c>
      <c r="B1098" s="1" t="s">
        <v>481</v>
      </c>
      <c r="C1098" s="1" t="s">
        <v>65</v>
      </c>
      <c r="D1098" s="1" t="s">
        <v>482</v>
      </c>
      <c r="E1098" s="1" t="s">
        <v>71</v>
      </c>
      <c r="F1098" s="1" t="s">
        <v>483</v>
      </c>
      <c r="G1098" s="2">
        <v>30.82</v>
      </c>
      <c r="H1098" s="1" t="s">
        <v>1070</v>
      </c>
      <c r="I1098" s="44">
        <f>Tabla1[[#This Row],[Descuento]]+Tabla1[[#This Row],[Neto]]</f>
        <v>419.14520000000005</v>
      </c>
      <c r="J1098" s="9">
        <v>41.915199999999999</v>
      </c>
      <c r="K1098" s="9">
        <v>377.23</v>
      </c>
      <c r="L1098" s="9">
        <v>0</v>
      </c>
      <c r="M1098" s="24">
        <f>+Tabla1[[#This Row],[Costo Venta]]/Tabla1[[#This Row],[Cantidad]]</f>
        <v>0</v>
      </c>
      <c r="N1098" s="3">
        <v>1</v>
      </c>
      <c r="O1098" s="8">
        <f>+Tabla1[[#This Row],[Conversión]]*Tabla1[[#This Row],[Cantidad]]</f>
        <v>30.82</v>
      </c>
      <c r="P1098" s="43">
        <f>Tabla1[[#This Row],[Neto]]-Tabla1[[#This Row],[Costo Venta]]</f>
        <v>377.23</v>
      </c>
    </row>
    <row r="1099" spans="1:16" x14ac:dyDescent="0.25">
      <c r="A1099" s="48">
        <v>45006</v>
      </c>
      <c r="B1099" s="1" t="s">
        <v>481</v>
      </c>
      <c r="C1099" s="1" t="s">
        <v>109</v>
      </c>
      <c r="D1099" s="1" t="s">
        <v>491</v>
      </c>
      <c r="E1099" s="1" t="s">
        <v>132</v>
      </c>
      <c r="F1099" s="1" t="s">
        <v>185</v>
      </c>
      <c r="G1099" s="2">
        <v>15.27</v>
      </c>
      <c r="H1099" s="1" t="s">
        <v>1071</v>
      </c>
      <c r="I1099" s="44">
        <f>Tabla1[[#This Row],[Descuento]]+Tabla1[[#This Row],[Neto]]</f>
        <v>259.74140499999999</v>
      </c>
      <c r="J1099" s="9">
        <v>38.961404999999999</v>
      </c>
      <c r="K1099" s="9">
        <v>220.78</v>
      </c>
      <c r="L1099" s="9">
        <v>181.4076</v>
      </c>
      <c r="M1099" s="24">
        <f>+Tabla1[[#This Row],[Costo Venta]]/Tabla1[[#This Row],[Cantidad]]</f>
        <v>11.88</v>
      </c>
      <c r="N1099" s="3">
        <v>1</v>
      </c>
      <c r="O1099" s="8">
        <f>+Tabla1[[#This Row],[Conversión]]*Tabla1[[#This Row],[Cantidad]]</f>
        <v>15.27</v>
      </c>
      <c r="P1099" s="43">
        <f>Tabla1[[#This Row],[Neto]]-Tabla1[[#This Row],[Costo Venta]]</f>
        <v>39.372399999999999</v>
      </c>
    </row>
    <row r="1100" spans="1:16" x14ac:dyDescent="0.25">
      <c r="A1100" s="48">
        <v>45071</v>
      </c>
      <c r="B1100" s="1" t="s">
        <v>481</v>
      </c>
      <c r="C1100" s="1" t="s">
        <v>109</v>
      </c>
      <c r="D1100" s="1" t="s">
        <v>493</v>
      </c>
      <c r="E1100" s="1" t="s">
        <v>132</v>
      </c>
      <c r="F1100" s="1" t="s">
        <v>185</v>
      </c>
      <c r="G1100" s="2">
        <v>901.78</v>
      </c>
      <c r="H1100" s="1" t="s">
        <v>1071</v>
      </c>
      <c r="I1100" s="44">
        <f>Tabla1[[#This Row],[Descuento]]+Tabla1[[#This Row],[Neto]]</f>
        <v>15339.28167</v>
      </c>
      <c r="J1100" s="9">
        <v>2300.89167</v>
      </c>
      <c r="K1100" s="9">
        <v>13038.39</v>
      </c>
      <c r="L1100" s="9">
        <v>10659.0396</v>
      </c>
      <c r="M1100" s="24">
        <f>+Tabla1[[#This Row],[Costo Venta]]/Tabla1[[#This Row],[Cantidad]]</f>
        <v>11.82</v>
      </c>
      <c r="N1100" s="3">
        <v>1</v>
      </c>
      <c r="O1100" s="8">
        <f>+Tabla1[[#This Row],[Conversión]]*Tabla1[[#This Row],[Cantidad]]</f>
        <v>901.78</v>
      </c>
      <c r="P1100" s="43">
        <f>Tabla1[[#This Row],[Neto]]-Tabla1[[#This Row],[Costo Venta]]</f>
        <v>2379.3503999999994</v>
      </c>
    </row>
    <row r="1101" spans="1:16" x14ac:dyDescent="0.25">
      <c r="A1101" s="48">
        <v>45107</v>
      </c>
      <c r="B1101" s="1" t="s">
        <v>481</v>
      </c>
      <c r="C1101" s="1" t="s">
        <v>109</v>
      </c>
      <c r="D1101" s="1" t="s">
        <v>485</v>
      </c>
      <c r="E1101" s="1" t="s">
        <v>71</v>
      </c>
      <c r="F1101" s="1" t="s">
        <v>486</v>
      </c>
      <c r="G1101" s="2">
        <v>190.2</v>
      </c>
      <c r="H1101" s="1" t="s">
        <v>1072</v>
      </c>
      <c r="I1101" s="44">
        <f>Tabla1[[#This Row],[Descuento]]+Tabla1[[#This Row],[Neto]]</f>
        <v>5204.1776319999999</v>
      </c>
      <c r="J1101" s="9">
        <v>520.41763200000003</v>
      </c>
      <c r="K1101" s="9">
        <v>4683.76</v>
      </c>
      <c r="L1101" s="9">
        <v>3855.3539999999998</v>
      </c>
      <c r="M1101" s="24">
        <f>+Tabla1[[#This Row],[Costo Venta]]/Tabla1[[#This Row],[Cantidad]]</f>
        <v>20.27</v>
      </c>
      <c r="N1101" s="3">
        <v>1</v>
      </c>
      <c r="O1101" s="8">
        <f>+Tabla1[[#This Row],[Conversión]]*Tabla1[[#This Row],[Cantidad]]</f>
        <v>190.2</v>
      </c>
      <c r="P1101" s="43">
        <f>Tabla1[[#This Row],[Neto]]-Tabla1[[#This Row],[Costo Venta]]</f>
        <v>828.4060000000004</v>
      </c>
    </row>
    <row r="1102" spans="1:16" x14ac:dyDescent="0.25">
      <c r="A1102" s="48">
        <v>45107</v>
      </c>
      <c r="B1102" s="1" t="s">
        <v>481</v>
      </c>
      <c r="C1102" s="1" t="s">
        <v>109</v>
      </c>
      <c r="D1102" s="1" t="s">
        <v>488</v>
      </c>
      <c r="E1102" s="1" t="s">
        <v>71</v>
      </c>
      <c r="F1102" s="1" t="s">
        <v>489</v>
      </c>
      <c r="G1102" s="2">
        <v>89.79</v>
      </c>
      <c r="H1102" s="1" t="s">
        <v>1073</v>
      </c>
      <c r="I1102" s="44">
        <f>Tabla1[[#This Row],[Descuento]]+Tabla1[[#This Row],[Neto]]</f>
        <v>2138.7997800000003</v>
      </c>
      <c r="J1102" s="9">
        <v>213.87978000000001</v>
      </c>
      <c r="K1102" s="9">
        <v>1924.92</v>
      </c>
      <c r="L1102" s="9">
        <v>1319.913</v>
      </c>
      <c r="M1102" s="24">
        <f>+Tabla1[[#This Row],[Costo Venta]]/Tabla1[[#This Row],[Cantidad]]</f>
        <v>14.7</v>
      </c>
      <c r="N1102" s="3">
        <v>1</v>
      </c>
      <c r="O1102" s="8">
        <f>+Tabla1[[#This Row],[Conversión]]*Tabla1[[#This Row],[Cantidad]]</f>
        <v>89.79</v>
      </c>
      <c r="P1102" s="43">
        <f>Tabla1[[#This Row],[Neto]]-Tabla1[[#This Row],[Costo Venta]]</f>
        <v>605.00700000000006</v>
      </c>
    </row>
    <row r="1103" spans="1:16" x14ac:dyDescent="0.25">
      <c r="A1103" s="48">
        <v>44950</v>
      </c>
      <c r="B1103" s="1" t="s">
        <v>481</v>
      </c>
      <c r="C1103" s="1" t="s">
        <v>109</v>
      </c>
      <c r="D1103" s="1" t="s">
        <v>1074</v>
      </c>
      <c r="E1103" s="1" t="s">
        <v>71</v>
      </c>
      <c r="F1103" s="1" t="s">
        <v>128</v>
      </c>
      <c r="G1103" s="2">
        <v>33.200000000000003</v>
      </c>
      <c r="H1103" s="1" t="s">
        <v>1075</v>
      </c>
      <c r="I1103" s="44">
        <f>Tabla1[[#This Row],[Descuento]]+Tabla1[[#This Row],[Neto]]</f>
        <v>926.27656000000002</v>
      </c>
      <c r="J1103" s="9">
        <v>48.166559999999997</v>
      </c>
      <c r="K1103" s="9">
        <v>878.11</v>
      </c>
      <c r="L1103" s="9">
        <v>610.88</v>
      </c>
      <c r="M1103" s="24">
        <f>+Tabla1[[#This Row],[Costo Venta]]/Tabla1[[#This Row],[Cantidad]]</f>
        <v>18.399999999999999</v>
      </c>
      <c r="N1103" s="3">
        <v>1</v>
      </c>
      <c r="O1103" s="8">
        <f>+Tabla1[[#This Row],[Conversión]]*Tabla1[[#This Row],[Cantidad]]</f>
        <v>33.200000000000003</v>
      </c>
      <c r="P1103" s="43">
        <f>Tabla1[[#This Row],[Neto]]-Tabla1[[#This Row],[Costo Venta]]</f>
        <v>267.23</v>
      </c>
    </row>
    <row r="1104" spans="1:16" x14ac:dyDescent="0.25">
      <c r="A1104" s="48">
        <v>45005</v>
      </c>
      <c r="B1104" s="1" t="s">
        <v>1</v>
      </c>
      <c r="C1104" s="1" t="s">
        <v>109</v>
      </c>
      <c r="D1104" s="1" t="s">
        <v>1076</v>
      </c>
      <c r="E1104" s="1" t="s">
        <v>67</v>
      </c>
      <c r="F1104" s="1" t="s">
        <v>9</v>
      </c>
      <c r="G1104" s="2">
        <v>40</v>
      </c>
      <c r="H1104" s="1" t="s">
        <v>1077</v>
      </c>
      <c r="I1104" s="44">
        <f>Tabla1[[#This Row],[Descuento]]+Tabla1[[#This Row],[Neto]]</f>
        <v>1520</v>
      </c>
      <c r="J1104" s="9">
        <v>532</v>
      </c>
      <c r="K1104" s="9">
        <v>988</v>
      </c>
      <c r="L1104" s="9">
        <v>379.61903999999998</v>
      </c>
      <c r="M1104" s="24">
        <f>+Tabla1[[#This Row],[Costo Venta]]/Tabla1[[#This Row],[Cantidad]]</f>
        <v>9.4904759999999992</v>
      </c>
      <c r="N1104" s="3">
        <v>1</v>
      </c>
      <c r="O1104" s="8">
        <f>+Tabla1[[#This Row],[Conversión]]*Tabla1[[#This Row],[Cantidad]]</f>
        <v>40</v>
      </c>
      <c r="P1104" s="43">
        <f>Tabla1[[#This Row],[Neto]]-Tabla1[[#This Row],[Costo Venta]]</f>
        <v>608.38095999999996</v>
      </c>
    </row>
    <row r="1105" spans="1:16" x14ac:dyDescent="0.25">
      <c r="A1105" s="48">
        <v>45366</v>
      </c>
      <c r="B1105" s="1" t="s">
        <v>1</v>
      </c>
      <c r="C1105" s="1" t="s">
        <v>81</v>
      </c>
      <c r="D1105" s="1" t="s">
        <v>1078</v>
      </c>
      <c r="E1105" s="1" t="s">
        <v>67</v>
      </c>
      <c r="F1105" s="1" t="s">
        <v>9</v>
      </c>
      <c r="G1105" s="2">
        <v>2.6</v>
      </c>
      <c r="H1105" s="1" t="s">
        <v>1077</v>
      </c>
      <c r="I1105" s="44">
        <f>Tabla1[[#This Row],[Descuento]]+Tabla1[[#This Row],[Neto]]</f>
        <v>110.34039999999999</v>
      </c>
      <c r="J1105" s="9">
        <v>38.620399999999997</v>
      </c>
      <c r="K1105" s="9">
        <v>71.72</v>
      </c>
      <c r="L1105" s="9">
        <v>25.0532386</v>
      </c>
      <c r="M1105" s="24">
        <f>+Tabla1[[#This Row],[Costo Venta]]/Tabla1[[#This Row],[Cantidad]]</f>
        <v>9.6358610000000002</v>
      </c>
      <c r="N1105" s="3">
        <v>1</v>
      </c>
      <c r="O1105" s="8">
        <f>+Tabla1[[#This Row],[Conversión]]*Tabla1[[#This Row],[Cantidad]]</f>
        <v>2.6</v>
      </c>
      <c r="P1105" s="43">
        <f>Tabla1[[#This Row],[Neto]]-Tabla1[[#This Row],[Costo Venta]]</f>
        <v>46.666761399999999</v>
      </c>
    </row>
    <row r="1106" spans="1:16" x14ac:dyDescent="0.25">
      <c r="A1106" s="48">
        <v>45411</v>
      </c>
      <c r="B1106" s="1" t="s">
        <v>1</v>
      </c>
      <c r="C1106" s="1" t="s">
        <v>81</v>
      </c>
      <c r="D1106" s="1" t="s">
        <v>1079</v>
      </c>
      <c r="E1106" s="1" t="s">
        <v>67</v>
      </c>
      <c r="F1106" s="1" t="s">
        <v>9</v>
      </c>
      <c r="G1106" s="2">
        <v>0.8</v>
      </c>
      <c r="H1106" s="1" t="s">
        <v>1077</v>
      </c>
      <c r="I1106" s="44">
        <f>Tabla1[[#This Row],[Descuento]]+Tabla1[[#This Row],[Neto]]</f>
        <v>33.953200000000002</v>
      </c>
      <c r="J1106" s="9">
        <v>11.8832</v>
      </c>
      <c r="K1106" s="9">
        <v>22.07</v>
      </c>
      <c r="L1106" s="9">
        <v>7.5690032</v>
      </c>
      <c r="M1106" s="24">
        <f>+Tabla1[[#This Row],[Costo Venta]]/Tabla1[[#This Row],[Cantidad]]</f>
        <v>9.4612540000000003</v>
      </c>
      <c r="N1106" s="3">
        <v>1</v>
      </c>
      <c r="O1106" s="8">
        <f>+Tabla1[[#This Row],[Conversión]]*Tabla1[[#This Row],[Cantidad]]</f>
        <v>0.8</v>
      </c>
      <c r="P1106" s="43">
        <f>Tabla1[[#This Row],[Neto]]-Tabla1[[#This Row],[Costo Venta]]</f>
        <v>14.500996799999999</v>
      </c>
    </row>
    <row r="1107" spans="1:16" x14ac:dyDescent="0.25">
      <c r="A1107" s="48">
        <v>44991</v>
      </c>
      <c r="B1107" s="1" t="s">
        <v>1</v>
      </c>
      <c r="C1107" s="1" t="s">
        <v>109</v>
      </c>
      <c r="D1107" s="1" t="s">
        <v>531</v>
      </c>
      <c r="E1107" s="1" t="s">
        <v>67</v>
      </c>
      <c r="F1107" s="1" t="s">
        <v>9</v>
      </c>
      <c r="G1107" s="2">
        <v>22</v>
      </c>
      <c r="H1107" s="51" t="s">
        <v>1080</v>
      </c>
      <c r="I1107" s="44">
        <f>Tabla1[[#This Row],[Descuento]]+Tabla1[[#This Row],[Neto]]</f>
        <v>836</v>
      </c>
      <c r="J1107" s="9">
        <v>292.60000000000002</v>
      </c>
      <c r="K1107" s="9">
        <v>543.4</v>
      </c>
      <c r="L1107" s="9">
        <v>242.116468</v>
      </c>
      <c r="M1107" s="24">
        <f>+Tabla1[[#This Row],[Costo Venta]]/Tabla1[[#This Row],[Cantidad]]</f>
        <v>11.005293999999999</v>
      </c>
      <c r="N1107" s="3">
        <v>1</v>
      </c>
      <c r="O1107" s="8">
        <f>+Tabla1[[#This Row],[Conversión]]*Tabla1[[#This Row],[Cantidad]]</f>
        <v>22</v>
      </c>
      <c r="P1107" s="43">
        <f>Tabla1[[#This Row],[Neto]]-Tabla1[[#This Row],[Costo Venta]]</f>
        <v>301.28353199999998</v>
      </c>
    </row>
    <row r="1108" spans="1:16" x14ac:dyDescent="0.25">
      <c r="A1108" s="48">
        <v>45075</v>
      </c>
      <c r="B1108" s="1" t="s">
        <v>1</v>
      </c>
      <c r="C1108" s="1" t="s">
        <v>109</v>
      </c>
      <c r="D1108" s="1" t="s">
        <v>533</v>
      </c>
      <c r="E1108" s="1" t="s">
        <v>67</v>
      </c>
      <c r="F1108" s="1" t="s">
        <v>9</v>
      </c>
      <c r="G1108" s="2">
        <v>22</v>
      </c>
      <c r="H1108" s="51" t="s">
        <v>1080</v>
      </c>
      <c r="I1108" s="44">
        <f>Tabla1[[#This Row],[Descuento]]+Tabla1[[#This Row],[Neto]]</f>
        <v>836</v>
      </c>
      <c r="J1108" s="9">
        <v>292.60000000000002</v>
      </c>
      <c r="K1108" s="9">
        <v>543.4</v>
      </c>
      <c r="L1108" s="9">
        <v>231.018326</v>
      </c>
      <c r="M1108" s="24">
        <f>+Tabla1[[#This Row],[Costo Venta]]/Tabla1[[#This Row],[Cantidad]]</f>
        <v>10.500833</v>
      </c>
      <c r="N1108" s="3">
        <v>1</v>
      </c>
      <c r="O1108" s="8">
        <f>+Tabla1[[#This Row],[Conversión]]*Tabla1[[#This Row],[Cantidad]]</f>
        <v>22</v>
      </c>
      <c r="P1108" s="43">
        <f>Tabla1[[#This Row],[Neto]]-Tabla1[[#This Row],[Costo Venta]]</f>
        <v>312.38167399999998</v>
      </c>
    </row>
    <row r="1109" spans="1:16" x14ac:dyDescent="0.25">
      <c r="A1109" s="48">
        <v>45291</v>
      </c>
      <c r="B1109" s="1" t="s">
        <v>1</v>
      </c>
      <c r="C1109" s="1" t="s">
        <v>214</v>
      </c>
      <c r="D1109" s="1" t="s">
        <v>537</v>
      </c>
      <c r="E1109" s="1" t="s">
        <v>71</v>
      </c>
      <c r="F1109" s="1" t="s">
        <v>23</v>
      </c>
      <c r="G1109" s="2">
        <v>42</v>
      </c>
      <c r="H1109" s="51" t="s">
        <v>1080</v>
      </c>
      <c r="I1109" s="44">
        <f>Tabla1[[#This Row],[Descuento]]+Tabla1[[#This Row],[Neto]]</f>
        <v>1782.48</v>
      </c>
      <c r="J1109" s="9">
        <v>445.62</v>
      </c>
      <c r="K1109" s="9">
        <v>1336.86</v>
      </c>
      <c r="L1109" s="9">
        <v>441.034986</v>
      </c>
      <c r="M1109" s="24">
        <f>+Tabla1[[#This Row],[Costo Venta]]/Tabla1[[#This Row],[Cantidad]]</f>
        <v>10.500833</v>
      </c>
      <c r="N1109" s="3">
        <v>1</v>
      </c>
      <c r="O1109" s="8">
        <f>+Tabla1[[#This Row],[Conversión]]*Tabla1[[#This Row],[Cantidad]]</f>
        <v>42</v>
      </c>
      <c r="P1109" s="43">
        <f>Tabla1[[#This Row],[Neto]]-Tabla1[[#This Row],[Costo Venta]]</f>
        <v>895.8250139999999</v>
      </c>
    </row>
    <row r="1110" spans="1:16" x14ac:dyDescent="0.25">
      <c r="A1110" s="48">
        <v>45408</v>
      </c>
      <c r="B1110" s="1" t="s">
        <v>1</v>
      </c>
      <c r="C1110" s="1" t="s">
        <v>81</v>
      </c>
      <c r="D1110" s="1" t="s">
        <v>1081</v>
      </c>
      <c r="E1110" s="1" t="s">
        <v>71</v>
      </c>
      <c r="F1110" s="1" t="s">
        <v>23</v>
      </c>
      <c r="G1110" s="2">
        <v>2</v>
      </c>
      <c r="H1110" s="51" t="s">
        <v>1080</v>
      </c>
      <c r="I1110" s="44">
        <f>Tabla1[[#This Row],[Descuento]]+Tabla1[[#This Row],[Neto]]</f>
        <v>77.760000000000005</v>
      </c>
      <c r="J1110" s="9">
        <v>19.440000000000001</v>
      </c>
      <c r="K1110" s="9">
        <v>58.32</v>
      </c>
      <c r="L1110" s="9">
        <v>20.503533999999998</v>
      </c>
      <c r="M1110" s="24">
        <f>+Tabla1[[#This Row],[Costo Venta]]/Tabla1[[#This Row],[Cantidad]]</f>
        <v>10.251766999999999</v>
      </c>
      <c r="N1110" s="3">
        <v>1</v>
      </c>
      <c r="O1110" s="8">
        <f>+Tabla1[[#This Row],[Conversión]]*Tabla1[[#This Row],[Cantidad]]</f>
        <v>2</v>
      </c>
      <c r="P1110" s="43">
        <f>Tabla1[[#This Row],[Neto]]-Tabla1[[#This Row],[Costo Venta]]</f>
        <v>37.816466000000005</v>
      </c>
    </row>
    <row r="1111" spans="1:16" x14ac:dyDescent="0.25">
      <c r="A1111" s="48">
        <v>45448</v>
      </c>
      <c r="B1111" s="1" t="s">
        <v>1</v>
      </c>
      <c r="C1111" s="1" t="s">
        <v>81</v>
      </c>
      <c r="D1111" s="1" t="s">
        <v>538</v>
      </c>
      <c r="E1111" s="1" t="s">
        <v>67</v>
      </c>
      <c r="F1111" s="1" t="s">
        <v>9</v>
      </c>
      <c r="G1111" s="2">
        <v>30</v>
      </c>
      <c r="H1111" s="51" t="s">
        <v>1080</v>
      </c>
      <c r="I1111" s="44">
        <f>Tabla1[[#This Row],[Descuento]]+Tabla1[[#This Row],[Neto]]</f>
        <v>1166.4000000000001</v>
      </c>
      <c r="J1111" s="9">
        <v>408.24</v>
      </c>
      <c r="K1111" s="9">
        <v>758.16</v>
      </c>
      <c r="L1111" s="9">
        <v>325.26711</v>
      </c>
      <c r="M1111" s="24">
        <f>+Tabla1[[#This Row],[Costo Venta]]/Tabla1[[#This Row],[Cantidad]]</f>
        <v>10.842237000000001</v>
      </c>
      <c r="N1111" s="3">
        <v>1</v>
      </c>
      <c r="O1111" s="8">
        <f>+Tabla1[[#This Row],[Conversión]]*Tabla1[[#This Row],[Cantidad]]</f>
        <v>30</v>
      </c>
      <c r="P1111" s="43">
        <f>Tabla1[[#This Row],[Neto]]-Tabla1[[#This Row],[Costo Venta]]</f>
        <v>432.89288999999997</v>
      </c>
    </row>
    <row r="1112" spans="1:16" x14ac:dyDescent="0.25">
      <c r="A1112" s="48">
        <v>45628</v>
      </c>
      <c r="B1112" s="1" t="s">
        <v>1</v>
      </c>
      <c r="C1112" s="1" t="s">
        <v>65</v>
      </c>
      <c r="D1112" s="1" t="s">
        <v>546</v>
      </c>
      <c r="E1112" s="1" t="s">
        <v>67</v>
      </c>
      <c r="F1112" s="1" t="s">
        <v>20</v>
      </c>
      <c r="G1112" s="2">
        <v>198</v>
      </c>
      <c r="H1112" s="51" t="s">
        <v>1080</v>
      </c>
      <c r="I1112" s="44">
        <f>Tabla1[[#This Row],[Descuento]]+Tabla1[[#This Row],[Neto]]</f>
        <v>7698.2379999999994</v>
      </c>
      <c r="J1112" s="9">
        <v>3464.2080000000001</v>
      </c>
      <c r="K1112" s="9">
        <v>4234.03</v>
      </c>
      <c r="L1112" s="9">
        <v>2105.944434</v>
      </c>
      <c r="M1112" s="24">
        <f>+Tabla1[[#This Row],[Costo Venta]]/Tabla1[[#This Row],[Cantidad]]</f>
        <v>10.636082999999999</v>
      </c>
      <c r="N1112" s="3">
        <v>1</v>
      </c>
      <c r="O1112" s="8">
        <f>+Tabla1[[#This Row],[Conversión]]*Tabla1[[#This Row],[Cantidad]]</f>
        <v>198</v>
      </c>
      <c r="P1112" s="43">
        <f>Tabla1[[#This Row],[Neto]]-Tabla1[[#This Row],[Costo Venta]]</f>
        <v>2128.0855659999997</v>
      </c>
    </row>
    <row r="1113" spans="1:16" x14ac:dyDescent="0.25">
      <c r="A1113" s="48">
        <v>45636</v>
      </c>
      <c r="B1113" s="1" t="s">
        <v>1</v>
      </c>
      <c r="C1113" s="1" t="s">
        <v>65</v>
      </c>
      <c r="D1113" s="1" t="s">
        <v>1082</v>
      </c>
      <c r="E1113" s="1" t="s">
        <v>67</v>
      </c>
      <c r="F1113" s="1" t="s">
        <v>9</v>
      </c>
      <c r="G1113" s="2">
        <v>2.25</v>
      </c>
      <c r="H1113" s="51" t="s">
        <v>1080</v>
      </c>
      <c r="I1113" s="44">
        <f>Tabla1[[#This Row],[Descuento]]+Tabla1[[#This Row],[Neto]]</f>
        <v>87.475999999999999</v>
      </c>
      <c r="J1113" s="9">
        <v>39.366</v>
      </c>
      <c r="K1113" s="9">
        <v>48.11</v>
      </c>
      <c r="L1113" s="9">
        <v>23.931186749999998</v>
      </c>
      <c r="M1113" s="24">
        <f>+Tabla1[[#This Row],[Costo Venta]]/Tabla1[[#This Row],[Cantidad]]</f>
        <v>10.636082999999999</v>
      </c>
      <c r="N1113" s="3">
        <v>1</v>
      </c>
      <c r="O1113" s="8">
        <f>+Tabla1[[#This Row],[Conversión]]*Tabla1[[#This Row],[Cantidad]]</f>
        <v>2.25</v>
      </c>
      <c r="P1113" s="43">
        <f>Tabla1[[#This Row],[Neto]]-Tabla1[[#This Row],[Costo Venta]]</f>
        <v>24.178813250000001</v>
      </c>
    </row>
    <row r="1114" spans="1:16" x14ac:dyDescent="0.25">
      <c r="A1114" s="48">
        <v>45639</v>
      </c>
      <c r="B1114" s="1" t="s">
        <v>1</v>
      </c>
      <c r="C1114" s="1" t="s">
        <v>143</v>
      </c>
      <c r="D1114" s="1" t="s">
        <v>353</v>
      </c>
      <c r="E1114" s="1" t="s">
        <v>132</v>
      </c>
      <c r="F1114" s="1" t="s">
        <v>29</v>
      </c>
      <c r="G1114" s="2">
        <v>2.5</v>
      </c>
      <c r="H1114" s="51" t="s">
        <v>1080</v>
      </c>
      <c r="I1114" s="44">
        <f>Tabla1[[#This Row],[Descuento]]+Tabla1[[#This Row],[Neto]]</f>
        <v>97.2</v>
      </c>
      <c r="J1114" s="9">
        <v>29.16</v>
      </c>
      <c r="K1114" s="9">
        <v>68.040000000000006</v>
      </c>
      <c r="L1114" s="9">
        <v>26.590207500000002</v>
      </c>
      <c r="M1114" s="24">
        <f>+Tabla1[[#This Row],[Costo Venta]]/Tabla1[[#This Row],[Cantidad]]</f>
        <v>10.636083000000001</v>
      </c>
      <c r="N1114" s="3">
        <v>1</v>
      </c>
      <c r="O1114" s="8">
        <f>+Tabla1[[#This Row],[Conversión]]*Tabla1[[#This Row],[Cantidad]]</f>
        <v>2.5</v>
      </c>
      <c r="P1114" s="43">
        <f>Tabla1[[#This Row],[Neto]]-Tabla1[[#This Row],[Costo Venta]]</f>
        <v>41.449792500000001</v>
      </c>
    </row>
    <row r="1115" spans="1:16" x14ac:dyDescent="0.25">
      <c r="A1115" s="48">
        <v>45904</v>
      </c>
      <c r="B1115" s="1" t="s">
        <v>1</v>
      </c>
      <c r="C1115" s="1" t="s">
        <v>65</v>
      </c>
      <c r="D1115" s="1" t="s">
        <v>574</v>
      </c>
      <c r="E1115" s="1" t="s">
        <v>67</v>
      </c>
      <c r="F1115" s="1" t="s">
        <v>9</v>
      </c>
      <c r="G1115" s="2">
        <v>62</v>
      </c>
      <c r="H1115" s="51" t="s">
        <v>1080</v>
      </c>
      <c r="I1115" s="44">
        <f>Tabla1[[#This Row],[Descuento]]+Tabla1[[#This Row],[Neto]]</f>
        <v>2410.5619999999999</v>
      </c>
      <c r="J1115" s="9">
        <v>1084.752</v>
      </c>
      <c r="K1115" s="9">
        <v>1325.81</v>
      </c>
      <c r="L1115" s="9">
        <v>595.68484000000001</v>
      </c>
      <c r="M1115" s="24">
        <f>+Tabla1[[#This Row],[Costo Venta]]/Tabla1[[#This Row],[Cantidad]]</f>
        <v>9.6078200000000002</v>
      </c>
      <c r="N1115" s="3">
        <v>1</v>
      </c>
      <c r="O1115" s="8">
        <f>+Tabla1[[#This Row],[Conversión]]*Tabla1[[#This Row],[Cantidad]]</f>
        <v>62</v>
      </c>
      <c r="P1115" s="43">
        <f>Tabla1[[#This Row],[Neto]]-Tabla1[[#This Row],[Costo Venta]]</f>
        <v>730.12515999999994</v>
      </c>
    </row>
    <row r="1116" spans="1:16" x14ac:dyDescent="0.25">
      <c r="A1116" s="48">
        <v>45908</v>
      </c>
      <c r="B1116" s="1" t="s">
        <v>1</v>
      </c>
      <c r="C1116" s="1" t="s">
        <v>65</v>
      </c>
      <c r="D1116" s="1" t="s">
        <v>552</v>
      </c>
      <c r="E1116" s="1" t="s">
        <v>67</v>
      </c>
      <c r="F1116" s="1" t="s">
        <v>9</v>
      </c>
      <c r="G1116" s="2">
        <v>16</v>
      </c>
      <c r="H1116" s="51" t="s">
        <v>1080</v>
      </c>
      <c r="I1116" s="44">
        <f>Tabla1[[#This Row],[Descuento]]+Tabla1[[#This Row],[Neto]]</f>
        <v>622.07600000000002</v>
      </c>
      <c r="J1116" s="9">
        <v>279.93599999999998</v>
      </c>
      <c r="K1116" s="9">
        <v>342.14</v>
      </c>
      <c r="L1116" s="9">
        <v>153.72512</v>
      </c>
      <c r="M1116" s="24">
        <f>+Tabla1[[#This Row],[Costo Venta]]/Tabla1[[#This Row],[Cantidad]]</f>
        <v>9.6078200000000002</v>
      </c>
      <c r="N1116" s="3">
        <v>1</v>
      </c>
      <c r="O1116" s="8">
        <f>+Tabla1[[#This Row],[Conversión]]*Tabla1[[#This Row],[Cantidad]]</f>
        <v>16</v>
      </c>
      <c r="P1116" s="43">
        <f>Tabla1[[#This Row],[Neto]]-Tabla1[[#This Row],[Costo Venta]]</f>
        <v>188.41487999999998</v>
      </c>
    </row>
    <row r="1117" spans="1:16" x14ac:dyDescent="0.25">
      <c r="A1117" s="48">
        <v>45922</v>
      </c>
      <c r="B1117" s="1" t="s">
        <v>1</v>
      </c>
      <c r="C1117" s="1" t="s">
        <v>65</v>
      </c>
      <c r="D1117" s="1" t="s">
        <v>554</v>
      </c>
      <c r="E1117" s="1" t="s">
        <v>67</v>
      </c>
      <c r="F1117" s="1" t="s">
        <v>9</v>
      </c>
      <c r="G1117" s="2">
        <v>16</v>
      </c>
      <c r="H1117" s="51" t="s">
        <v>1080</v>
      </c>
      <c r="I1117" s="44">
        <f>Tabla1[[#This Row],[Descuento]]+Tabla1[[#This Row],[Neto]]</f>
        <v>622.07600000000002</v>
      </c>
      <c r="J1117" s="9">
        <v>279.93599999999998</v>
      </c>
      <c r="K1117" s="9">
        <v>342.14</v>
      </c>
      <c r="L1117" s="9">
        <v>121.85487999999999</v>
      </c>
      <c r="M1117" s="24">
        <f>+Tabla1[[#This Row],[Costo Venta]]/Tabla1[[#This Row],[Cantidad]]</f>
        <v>7.6159299999999996</v>
      </c>
      <c r="N1117" s="3">
        <v>1</v>
      </c>
      <c r="O1117" s="8">
        <f>+Tabla1[[#This Row],[Conversión]]*Tabla1[[#This Row],[Cantidad]]</f>
        <v>16</v>
      </c>
      <c r="P1117" s="43">
        <f>Tabla1[[#This Row],[Neto]]-Tabla1[[#This Row],[Costo Venta]]</f>
        <v>220.28512000000001</v>
      </c>
    </row>
    <row r="1118" spans="1:16" x14ac:dyDescent="0.25">
      <c r="A1118" s="48">
        <v>45834</v>
      </c>
      <c r="B1118" s="1" t="s">
        <v>496</v>
      </c>
      <c r="C1118" s="1" t="s">
        <v>65</v>
      </c>
      <c r="D1118" s="1" t="s">
        <v>385</v>
      </c>
      <c r="E1118" s="1" t="s">
        <v>67</v>
      </c>
      <c r="F1118" s="1" t="s">
        <v>34</v>
      </c>
      <c r="G1118" s="2">
        <v>11</v>
      </c>
      <c r="H1118" s="51" t="s">
        <v>1083</v>
      </c>
      <c r="I1118" s="44">
        <f>Tabla1[[#This Row],[Descuento]]+Tabla1[[#This Row],[Neto]]</f>
        <v>427.678</v>
      </c>
      <c r="J1118" s="9">
        <v>149.68799999999999</v>
      </c>
      <c r="K1118" s="9">
        <v>277.99</v>
      </c>
      <c r="L1118" s="9">
        <v>69.701918000000006</v>
      </c>
      <c r="M1118" s="24">
        <f>+Tabla1[[#This Row],[Costo Venta]]/Tabla1[[#This Row],[Cantidad]]</f>
        <v>6.3365380000000009</v>
      </c>
      <c r="N1118" s="3">
        <v>1</v>
      </c>
      <c r="O1118" s="8">
        <f>+Tabla1[[#This Row],[Conversión]]*Tabla1[[#This Row],[Cantidad]]</f>
        <v>11</v>
      </c>
      <c r="P1118" s="43">
        <f>Tabla1[[#This Row],[Neto]]-Tabla1[[#This Row],[Costo Venta]]</f>
        <v>208.288082</v>
      </c>
    </row>
    <row r="1119" spans="1:16" x14ac:dyDescent="0.25">
      <c r="A1119" s="48">
        <v>45834</v>
      </c>
      <c r="B1119" s="1" t="s">
        <v>496</v>
      </c>
      <c r="C1119" s="1" t="s">
        <v>65</v>
      </c>
      <c r="D1119" s="1" t="s">
        <v>385</v>
      </c>
      <c r="E1119" s="1" t="s">
        <v>67</v>
      </c>
      <c r="F1119" s="1" t="s">
        <v>34</v>
      </c>
      <c r="G1119" s="2">
        <v>39</v>
      </c>
      <c r="H1119" s="1" t="s">
        <v>1084</v>
      </c>
      <c r="I1119" s="44">
        <f>Tabla1[[#This Row],[Descuento]]+Tabla1[[#This Row],[Neto]]</f>
        <v>1516.3220000000001</v>
      </c>
      <c r="J1119" s="9">
        <v>530.71199999999999</v>
      </c>
      <c r="K1119" s="9">
        <v>985.61</v>
      </c>
      <c r="L1119" s="9">
        <v>243.099987</v>
      </c>
      <c r="M1119" s="24">
        <f>+Tabla1[[#This Row],[Costo Venta]]/Tabla1[[#This Row],[Cantidad]]</f>
        <v>6.233333</v>
      </c>
      <c r="N1119" s="3">
        <v>1</v>
      </c>
      <c r="O1119" s="8">
        <f>+Tabla1[[#This Row],[Conversión]]*Tabla1[[#This Row],[Cantidad]]</f>
        <v>39</v>
      </c>
      <c r="P1119" s="43">
        <f>Tabla1[[#This Row],[Neto]]-Tabla1[[#This Row],[Costo Venta]]</f>
        <v>742.51001300000007</v>
      </c>
    </row>
    <row r="1120" spans="1:16" x14ac:dyDescent="0.25">
      <c r="A1120" s="48">
        <v>45834</v>
      </c>
      <c r="B1120" s="1" t="s">
        <v>496</v>
      </c>
      <c r="C1120" s="1" t="s">
        <v>65</v>
      </c>
      <c r="D1120" s="1" t="s">
        <v>385</v>
      </c>
      <c r="E1120" s="1" t="s">
        <v>67</v>
      </c>
      <c r="F1120" s="1" t="s">
        <v>34</v>
      </c>
      <c r="G1120" s="2">
        <v>26</v>
      </c>
      <c r="H1120" s="51" t="s">
        <v>1085</v>
      </c>
      <c r="I1120" s="44">
        <f>Tabla1[[#This Row],[Descuento]]+Tabla1[[#This Row],[Neto]]</f>
        <v>1010.878</v>
      </c>
      <c r="J1120" s="9">
        <v>353.80799999999999</v>
      </c>
      <c r="K1120" s="9">
        <v>657.07</v>
      </c>
      <c r="L1120" s="9">
        <v>79.695642000000007</v>
      </c>
      <c r="M1120" s="24">
        <f>+Tabla1[[#This Row],[Costo Venta]]/Tabla1[[#This Row],[Cantidad]]</f>
        <v>3.0652170000000001</v>
      </c>
      <c r="N1120" s="3">
        <v>1</v>
      </c>
      <c r="O1120" s="8">
        <f>+Tabla1[[#This Row],[Conversión]]*Tabla1[[#This Row],[Cantidad]]</f>
        <v>26</v>
      </c>
      <c r="P1120" s="43">
        <f>Tabla1[[#This Row],[Neto]]-Tabla1[[#This Row],[Costo Venta]]</f>
        <v>577.37435800000003</v>
      </c>
    </row>
    <row r="1121" spans="1:16" x14ac:dyDescent="0.25">
      <c r="A1121" s="48">
        <v>45834</v>
      </c>
      <c r="B1121" s="1" t="s">
        <v>496</v>
      </c>
      <c r="C1121" s="1" t="s">
        <v>65</v>
      </c>
      <c r="D1121" s="1" t="s">
        <v>385</v>
      </c>
      <c r="E1121" s="1" t="s">
        <v>67</v>
      </c>
      <c r="F1121" s="1" t="s">
        <v>34</v>
      </c>
      <c r="G1121" s="2">
        <v>354</v>
      </c>
      <c r="H1121" s="1" t="s">
        <v>1086</v>
      </c>
      <c r="I1121" s="44">
        <f>Tabla1[[#This Row],[Descuento]]+Tabla1[[#This Row],[Neto]]</f>
        <v>13763.522000000001</v>
      </c>
      <c r="J1121" s="9">
        <v>4817.232</v>
      </c>
      <c r="K1121" s="9">
        <v>8946.2900000000009</v>
      </c>
      <c r="L1121" s="9">
        <v>1042.934976</v>
      </c>
      <c r="M1121" s="24">
        <f>+Tabla1[[#This Row],[Costo Venta]]/Tabla1[[#This Row],[Cantidad]]</f>
        <v>2.9461439999999999</v>
      </c>
      <c r="N1121" s="3">
        <v>1</v>
      </c>
      <c r="O1121" s="8">
        <f>+Tabla1[[#This Row],[Conversión]]*Tabla1[[#This Row],[Cantidad]]</f>
        <v>354</v>
      </c>
      <c r="P1121" s="43">
        <f>Tabla1[[#This Row],[Neto]]-Tabla1[[#This Row],[Costo Venta]]</f>
        <v>7903.3550240000004</v>
      </c>
    </row>
    <row r="1122" spans="1:16" x14ac:dyDescent="0.25">
      <c r="A1122" s="48">
        <v>45924</v>
      </c>
      <c r="B1122" s="1" t="s">
        <v>496</v>
      </c>
      <c r="C1122" s="1" t="s">
        <v>65</v>
      </c>
      <c r="D1122" s="1" t="s">
        <v>404</v>
      </c>
      <c r="E1122" s="1" t="s">
        <v>67</v>
      </c>
      <c r="F1122" s="1" t="s">
        <v>44</v>
      </c>
      <c r="G1122" s="2">
        <v>38</v>
      </c>
      <c r="H1122" s="1" t="s">
        <v>1086</v>
      </c>
      <c r="I1122" s="44">
        <f>Tabla1[[#This Row],[Descuento]]+Tabla1[[#This Row],[Neto]]</f>
        <v>1477.444</v>
      </c>
      <c r="J1122" s="9">
        <v>517.10400000000004</v>
      </c>
      <c r="K1122" s="9">
        <v>960.34</v>
      </c>
      <c r="L1122" s="9">
        <v>99.957746</v>
      </c>
      <c r="M1122" s="24">
        <f>+Tabla1[[#This Row],[Costo Venta]]/Tabla1[[#This Row],[Cantidad]]</f>
        <v>2.6304669999999999</v>
      </c>
      <c r="N1122" s="3">
        <v>1</v>
      </c>
      <c r="O1122" s="8">
        <f>+Tabla1[[#This Row],[Conversión]]*Tabla1[[#This Row],[Cantidad]]</f>
        <v>38</v>
      </c>
      <c r="P1122" s="43">
        <f>Tabla1[[#This Row],[Neto]]-Tabla1[[#This Row],[Costo Venta]]</f>
        <v>860.38225399999999</v>
      </c>
    </row>
    <row r="1123" spans="1:16" x14ac:dyDescent="0.25">
      <c r="A1123" s="48">
        <v>45285</v>
      </c>
      <c r="B1123" s="1" t="s">
        <v>686</v>
      </c>
      <c r="C1123" s="1" t="s">
        <v>214</v>
      </c>
      <c r="D1123" s="1" t="s">
        <v>1087</v>
      </c>
      <c r="E1123" s="1" t="s">
        <v>71</v>
      </c>
      <c r="F1123" s="1" t="s">
        <v>1088</v>
      </c>
      <c r="G1123" s="2">
        <v>9.4499999999999993</v>
      </c>
      <c r="H1123" s="51" t="s">
        <v>1089</v>
      </c>
      <c r="I1123" s="44">
        <f>Tabla1[[#This Row],[Descuento]]+Tabla1[[#This Row],[Neto]]</f>
        <v>467.58789999999999</v>
      </c>
      <c r="J1123" s="9">
        <v>70.137900000000002</v>
      </c>
      <c r="K1123" s="9">
        <v>397.45</v>
      </c>
      <c r="L1123" s="9">
        <v>55.729059749999998</v>
      </c>
      <c r="M1123" s="24">
        <f>+Tabla1[[#This Row],[Costo Venta]]/Tabla1[[#This Row],[Cantidad]]</f>
        <v>5.8972550000000004</v>
      </c>
      <c r="N1123" s="3">
        <v>1</v>
      </c>
      <c r="O1123" s="8">
        <f>+Tabla1[[#This Row],[Conversión]]*Tabla1[[#This Row],[Cantidad]]</f>
        <v>9.4499999999999993</v>
      </c>
      <c r="P1123" s="43">
        <f>Tabla1[[#This Row],[Neto]]-Tabla1[[#This Row],[Costo Venta]]</f>
        <v>341.72094025000001</v>
      </c>
    </row>
    <row r="1124" spans="1:16" x14ac:dyDescent="0.25">
      <c r="A1124" s="48">
        <v>45422</v>
      </c>
      <c r="B1124" s="1" t="s">
        <v>686</v>
      </c>
      <c r="C1124" s="1" t="s">
        <v>65</v>
      </c>
      <c r="D1124" s="1" t="s">
        <v>704</v>
      </c>
      <c r="E1124" s="1" t="s">
        <v>71</v>
      </c>
      <c r="F1124" s="1" t="s">
        <v>705</v>
      </c>
      <c r="G1124" s="2">
        <v>9.5</v>
      </c>
      <c r="H1124" s="51" t="s">
        <v>1089</v>
      </c>
      <c r="I1124" s="44">
        <f>Tabla1[[#This Row],[Descuento]]+Tabla1[[#This Row],[Neto]]</f>
        <v>470.05901799999998</v>
      </c>
      <c r="J1124" s="9">
        <v>141.159018</v>
      </c>
      <c r="K1124" s="9">
        <v>328.9</v>
      </c>
      <c r="L1124" s="9">
        <v>57.747554999999998</v>
      </c>
      <c r="M1124" s="24">
        <f>+Tabla1[[#This Row],[Costo Venta]]/Tabla1[[#This Row],[Cantidad]]</f>
        <v>6.0786899999999999</v>
      </c>
      <c r="N1124" s="3">
        <v>1</v>
      </c>
      <c r="O1124" s="8">
        <f>+Tabla1[[#This Row],[Conversión]]*Tabla1[[#This Row],[Cantidad]]</f>
        <v>9.5</v>
      </c>
      <c r="P1124" s="43">
        <f>Tabla1[[#This Row],[Neto]]-Tabla1[[#This Row],[Costo Venta]]</f>
        <v>271.152445</v>
      </c>
    </row>
    <row r="1125" spans="1:16" x14ac:dyDescent="0.25">
      <c r="A1125" s="48">
        <v>45446</v>
      </c>
      <c r="B1125" s="1" t="s">
        <v>686</v>
      </c>
      <c r="C1125" s="1" t="s">
        <v>65</v>
      </c>
      <c r="D1125" s="1" t="s">
        <v>1090</v>
      </c>
      <c r="E1125" s="1" t="s">
        <v>71</v>
      </c>
      <c r="F1125" s="1" t="s">
        <v>1091</v>
      </c>
      <c r="G1125" s="2">
        <v>6</v>
      </c>
      <c r="H1125" s="51" t="s">
        <v>1089</v>
      </c>
      <c r="I1125" s="44">
        <f>Tabla1[[#This Row],[Descuento]]+Tabla1[[#This Row],[Neto]]</f>
        <v>296.87799999999999</v>
      </c>
      <c r="J1125" s="9">
        <v>29.687999999999999</v>
      </c>
      <c r="K1125" s="9">
        <v>267.19</v>
      </c>
      <c r="L1125" s="9">
        <v>36.472140000000003</v>
      </c>
      <c r="M1125" s="24">
        <f>+Tabla1[[#This Row],[Costo Venta]]/Tabla1[[#This Row],[Cantidad]]</f>
        <v>6.0786900000000008</v>
      </c>
      <c r="N1125" s="3">
        <v>1</v>
      </c>
      <c r="O1125" s="8">
        <f>+Tabla1[[#This Row],[Conversión]]*Tabla1[[#This Row],[Cantidad]]</f>
        <v>6</v>
      </c>
      <c r="P1125" s="43">
        <f>Tabla1[[#This Row],[Neto]]-Tabla1[[#This Row],[Costo Venta]]</f>
        <v>230.71786</v>
      </c>
    </row>
    <row r="1126" spans="1:16" x14ac:dyDescent="0.25">
      <c r="A1126" s="48">
        <v>44942</v>
      </c>
      <c r="B1126" s="1" t="s">
        <v>686</v>
      </c>
      <c r="C1126" s="1" t="s">
        <v>65</v>
      </c>
      <c r="D1126" s="1" t="s">
        <v>937</v>
      </c>
      <c r="E1126" s="1" t="s">
        <v>132</v>
      </c>
      <c r="F1126" s="1" t="s">
        <v>938</v>
      </c>
      <c r="G1126" s="2">
        <v>6</v>
      </c>
      <c r="H1126" s="1" t="s">
        <v>1092</v>
      </c>
      <c r="I1126" s="44">
        <f>Tabla1[[#This Row],[Descuento]]+Tabla1[[#This Row],[Neto]]</f>
        <v>294</v>
      </c>
      <c r="J1126" s="9">
        <v>14.7</v>
      </c>
      <c r="K1126" s="9">
        <v>279.3</v>
      </c>
      <c r="L1126" s="9">
        <v>42.625590000000003</v>
      </c>
      <c r="M1126" s="24">
        <f>+Tabla1[[#This Row],[Costo Venta]]/Tabla1[[#This Row],[Cantidad]]</f>
        <v>7.1042650000000007</v>
      </c>
      <c r="N1126" s="3">
        <v>1</v>
      </c>
      <c r="O1126" s="8">
        <f>+Tabla1[[#This Row],[Conversión]]*Tabla1[[#This Row],[Cantidad]]</f>
        <v>6</v>
      </c>
      <c r="P1126" s="43">
        <f>Tabla1[[#This Row],[Neto]]-Tabla1[[#This Row],[Costo Venta]]</f>
        <v>236.67441000000002</v>
      </c>
    </row>
    <row r="1127" spans="1:16" x14ac:dyDescent="0.25">
      <c r="A1127" s="48">
        <v>44944</v>
      </c>
      <c r="B1127" s="1" t="s">
        <v>686</v>
      </c>
      <c r="C1127" s="1" t="s">
        <v>65</v>
      </c>
      <c r="D1127" s="1" t="s">
        <v>122</v>
      </c>
      <c r="E1127" s="1" t="s">
        <v>71</v>
      </c>
      <c r="F1127" s="1" t="s">
        <v>123</v>
      </c>
      <c r="G1127" s="2">
        <v>1.01</v>
      </c>
      <c r="H1127" s="1" t="s">
        <v>1092</v>
      </c>
      <c r="I1127" s="44">
        <f>Tabla1[[#This Row],[Descuento]]+Tabla1[[#This Row],[Neto]]</f>
        <v>49.49</v>
      </c>
      <c r="J1127" s="9">
        <v>0</v>
      </c>
      <c r="K1127" s="9">
        <v>49.49</v>
      </c>
      <c r="L1127" s="9">
        <v>7.1753076499999997</v>
      </c>
      <c r="M1127" s="24">
        <f>+Tabla1[[#This Row],[Costo Venta]]/Tabla1[[#This Row],[Cantidad]]</f>
        <v>7.1042649999999998</v>
      </c>
      <c r="N1127" s="3">
        <v>1</v>
      </c>
      <c r="O1127" s="8">
        <f>+Tabla1[[#This Row],[Conversión]]*Tabla1[[#This Row],[Cantidad]]</f>
        <v>1.01</v>
      </c>
      <c r="P1127" s="43">
        <f>Tabla1[[#This Row],[Neto]]-Tabla1[[#This Row],[Costo Venta]]</f>
        <v>42.314692350000001</v>
      </c>
    </row>
    <row r="1128" spans="1:16" x14ac:dyDescent="0.25">
      <c r="A1128" s="48">
        <v>44956</v>
      </c>
      <c r="B1128" s="1" t="s">
        <v>686</v>
      </c>
      <c r="C1128" s="1" t="s">
        <v>115</v>
      </c>
      <c r="D1128" s="1" t="s">
        <v>1008</v>
      </c>
      <c r="E1128" s="1" t="s">
        <v>71</v>
      </c>
      <c r="F1128" s="1" t="s">
        <v>1009</v>
      </c>
      <c r="G1128" s="2">
        <v>2.11</v>
      </c>
      <c r="H1128" s="1" t="s">
        <v>1092</v>
      </c>
      <c r="I1128" s="44">
        <f>Tabla1[[#This Row],[Descuento]]+Tabla1[[#This Row],[Neto]]</f>
        <v>103.3895</v>
      </c>
      <c r="J1128" s="9">
        <v>5.1695000000000002</v>
      </c>
      <c r="K1128" s="9">
        <v>98.22</v>
      </c>
      <c r="L1128" s="9">
        <v>14.959899999999999</v>
      </c>
      <c r="M1128" s="24">
        <f>+Tabla1[[#This Row],[Costo Venta]]/Tabla1[[#This Row],[Cantidad]]</f>
        <v>7.09</v>
      </c>
      <c r="N1128" s="3">
        <v>1</v>
      </c>
      <c r="O1128" s="8">
        <f>+Tabla1[[#This Row],[Conversión]]*Tabla1[[#This Row],[Cantidad]]</f>
        <v>2.11</v>
      </c>
      <c r="P1128" s="43">
        <f>Tabla1[[#This Row],[Neto]]-Tabla1[[#This Row],[Costo Venta]]</f>
        <v>83.260099999999994</v>
      </c>
    </row>
    <row r="1129" spans="1:16" x14ac:dyDescent="0.25">
      <c r="A1129" s="48">
        <v>44987</v>
      </c>
      <c r="B1129" s="1" t="s">
        <v>686</v>
      </c>
      <c r="C1129" s="1" t="s">
        <v>109</v>
      </c>
      <c r="D1129" s="1" t="s">
        <v>150</v>
      </c>
      <c r="E1129" s="1" t="s">
        <v>137</v>
      </c>
      <c r="F1129" s="1" t="s">
        <v>151</v>
      </c>
      <c r="G1129" s="2">
        <v>15.87</v>
      </c>
      <c r="H1129" s="1" t="s">
        <v>1092</v>
      </c>
      <c r="I1129" s="44">
        <f>Tabla1[[#This Row],[Descuento]]+Tabla1[[#This Row],[Neto]]</f>
        <v>777.63149999999996</v>
      </c>
      <c r="J1129" s="9">
        <v>38.881500000000003</v>
      </c>
      <c r="K1129" s="9">
        <v>738.75</v>
      </c>
      <c r="L1129" s="9">
        <v>110.38135689000001</v>
      </c>
      <c r="M1129" s="24">
        <f>+Tabla1[[#This Row],[Costo Venta]]/Tabla1[[#This Row],[Cantidad]]</f>
        <v>6.9553470000000006</v>
      </c>
      <c r="N1129" s="3">
        <v>1</v>
      </c>
      <c r="O1129" s="8">
        <f>+Tabla1[[#This Row],[Conversión]]*Tabla1[[#This Row],[Cantidad]]</f>
        <v>15.87</v>
      </c>
      <c r="P1129" s="43">
        <f>Tabla1[[#This Row],[Neto]]-Tabla1[[#This Row],[Costo Venta]]</f>
        <v>628.36864310999999</v>
      </c>
    </row>
    <row r="1130" spans="1:16" x14ac:dyDescent="0.25">
      <c r="A1130" s="48">
        <v>45373</v>
      </c>
      <c r="B1130" s="1" t="s">
        <v>686</v>
      </c>
      <c r="C1130" s="1" t="s">
        <v>65</v>
      </c>
      <c r="D1130" s="1" t="s">
        <v>1093</v>
      </c>
      <c r="E1130" s="1" t="s">
        <v>67</v>
      </c>
      <c r="F1130" s="1" t="s">
        <v>9</v>
      </c>
      <c r="G1130" s="2">
        <v>2</v>
      </c>
      <c r="H1130" s="1" t="s">
        <v>1092</v>
      </c>
      <c r="I1130" s="44">
        <f>Tabla1[[#This Row],[Descuento]]+Tabla1[[#This Row],[Neto]]</f>
        <v>98.955999999999989</v>
      </c>
      <c r="J1130" s="9">
        <v>34.636000000000003</v>
      </c>
      <c r="K1130" s="9">
        <v>64.319999999999993</v>
      </c>
      <c r="L1130" s="9">
        <v>15.221328</v>
      </c>
      <c r="M1130" s="24">
        <f>+Tabla1[[#This Row],[Costo Venta]]/Tabla1[[#This Row],[Cantidad]]</f>
        <v>7.6106639999999999</v>
      </c>
      <c r="N1130" s="3">
        <v>1</v>
      </c>
      <c r="O1130" s="8">
        <f>+Tabla1[[#This Row],[Conversión]]*Tabla1[[#This Row],[Cantidad]]</f>
        <v>2</v>
      </c>
      <c r="P1130" s="43">
        <f>Tabla1[[#This Row],[Neto]]-Tabla1[[#This Row],[Costo Venta]]</f>
        <v>49.098671999999993</v>
      </c>
    </row>
    <row r="1131" spans="1:16" x14ac:dyDescent="0.25">
      <c r="A1131" s="48">
        <v>45373</v>
      </c>
      <c r="B1131" s="1" t="s">
        <v>686</v>
      </c>
      <c r="C1131" s="1" t="s">
        <v>65</v>
      </c>
      <c r="D1131" s="1" t="s">
        <v>1093</v>
      </c>
      <c r="E1131" s="1" t="s">
        <v>67</v>
      </c>
      <c r="F1131" s="1" t="s">
        <v>9</v>
      </c>
      <c r="G1131" s="2">
        <v>4.04</v>
      </c>
      <c r="H1131" s="1" t="s">
        <v>1094</v>
      </c>
      <c r="I1131" s="44">
        <f>Tabla1[[#This Row],[Descuento]]+Tabla1[[#This Row],[Neto]]</f>
        <v>199.90472</v>
      </c>
      <c r="J1131" s="9">
        <v>69.96472</v>
      </c>
      <c r="K1131" s="9">
        <v>129.94</v>
      </c>
      <c r="L1131" s="9">
        <v>30.088255520000001</v>
      </c>
      <c r="M1131" s="24">
        <f>+Tabla1[[#This Row],[Costo Venta]]/Tabla1[[#This Row],[Cantidad]]</f>
        <v>7.4475879999999997</v>
      </c>
      <c r="N1131" s="3">
        <v>1</v>
      </c>
      <c r="O1131" s="8">
        <f>+Tabla1[[#This Row],[Conversión]]*Tabla1[[#This Row],[Cantidad]]</f>
        <v>4.04</v>
      </c>
      <c r="P1131" s="43">
        <f>Tabla1[[#This Row],[Neto]]-Tabla1[[#This Row],[Costo Venta]]</f>
        <v>99.851744479999994</v>
      </c>
    </row>
    <row r="1132" spans="1:16" x14ac:dyDescent="0.25">
      <c r="A1132" s="48">
        <v>45422</v>
      </c>
      <c r="B1132" s="1" t="s">
        <v>686</v>
      </c>
      <c r="C1132" s="1" t="s">
        <v>65</v>
      </c>
      <c r="D1132" s="1" t="s">
        <v>704</v>
      </c>
      <c r="E1132" s="1" t="s">
        <v>71</v>
      </c>
      <c r="F1132" s="1" t="s">
        <v>705</v>
      </c>
      <c r="G1132" s="2">
        <v>9.5</v>
      </c>
      <c r="H1132" s="1" t="s">
        <v>1094</v>
      </c>
      <c r="I1132" s="44">
        <f>Tabla1[[#This Row],[Descuento]]+Tabla1[[#This Row],[Neto]]</f>
        <v>470.05799999999999</v>
      </c>
      <c r="J1132" s="9">
        <v>141.018</v>
      </c>
      <c r="K1132" s="9">
        <v>329.04</v>
      </c>
      <c r="L1132" s="9">
        <v>84.098617000000004</v>
      </c>
      <c r="M1132" s="24">
        <f>+Tabla1[[#This Row],[Costo Venta]]/Tabla1[[#This Row],[Cantidad]]</f>
        <v>8.8524860000000007</v>
      </c>
      <c r="N1132" s="3">
        <v>1</v>
      </c>
      <c r="O1132" s="8">
        <f>+Tabla1[[#This Row],[Conversión]]*Tabla1[[#This Row],[Cantidad]]</f>
        <v>9.5</v>
      </c>
      <c r="P1132" s="43">
        <f>Tabla1[[#This Row],[Neto]]-Tabla1[[#This Row],[Costo Venta]]</f>
        <v>244.94138300000003</v>
      </c>
    </row>
    <row r="1133" spans="1:16" x14ac:dyDescent="0.25">
      <c r="A1133" s="48">
        <v>45033</v>
      </c>
      <c r="B1133" s="1" t="s">
        <v>686</v>
      </c>
      <c r="C1133" s="1" t="s">
        <v>109</v>
      </c>
      <c r="D1133" s="1" t="s">
        <v>164</v>
      </c>
      <c r="E1133" s="1" t="s">
        <v>71</v>
      </c>
      <c r="F1133" s="1" t="s">
        <v>165</v>
      </c>
      <c r="G1133" s="2">
        <v>7.03</v>
      </c>
      <c r="H1133" s="51" t="s">
        <v>1095</v>
      </c>
      <c r="I1133" s="44">
        <f>Tabla1[[#This Row],[Descuento]]+Tabla1[[#This Row],[Neto]]</f>
        <v>344.46640000000002</v>
      </c>
      <c r="J1133" s="9">
        <v>41.336399999999998</v>
      </c>
      <c r="K1133" s="9">
        <v>303.13</v>
      </c>
      <c r="L1133" s="9">
        <v>40.183824469999998</v>
      </c>
      <c r="M1133" s="24">
        <f>+Tabla1[[#This Row],[Costo Venta]]/Tabla1[[#This Row],[Cantidad]]</f>
        <v>5.716048999999999</v>
      </c>
      <c r="N1133" s="3">
        <v>1</v>
      </c>
      <c r="O1133" s="8">
        <f>+Tabla1[[#This Row],[Conversión]]*Tabla1[[#This Row],[Cantidad]]</f>
        <v>7.03</v>
      </c>
      <c r="P1133" s="43">
        <f>Tabla1[[#This Row],[Neto]]-Tabla1[[#This Row],[Costo Venta]]</f>
        <v>262.94617553</v>
      </c>
    </row>
    <row r="1134" spans="1:16" x14ac:dyDescent="0.25">
      <c r="A1134" s="48">
        <v>45267</v>
      </c>
      <c r="B1134" s="1" t="s">
        <v>686</v>
      </c>
      <c r="C1134" s="1" t="s">
        <v>214</v>
      </c>
      <c r="D1134" s="1" t="s">
        <v>1096</v>
      </c>
      <c r="E1134" s="1" t="s">
        <v>71</v>
      </c>
      <c r="F1134" s="1" t="s">
        <v>1097</v>
      </c>
      <c r="G1134" s="2">
        <v>8</v>
      </c>
      <c r="H1134" s="51" t="s">
        <v>1095</v>
      </c>
      <c r="I1134" s="44">
        <f>Tabla1[[#This Row],[Descuento]]+Tabla1[[#This Row],[Neto]]</f>
        <v>395.83599999999996</v>
      </c>
      <c r="J1134" s="9">
        <v>59.375999999999998</v>
      </c>
      <c r="K1134" s="9">
        <v>336.46</v>
      </c>
      <c r="L1134" s="9">
        <v>46.017392000000001</v>
      </c>
      <c r="M1134" s="24">
        <f>+Tabla1[[#This Row],[Costo Venta]]/Tabla1[[#This Row],[Cantidad]]</f>
        <v>5.7521740000000001</v>
      </c>
      <c r="N1134" s="3">
        <v>1</v>
      </c>
      <c r="O1134" s="8">
        <f>+Tabla1[[#This Row],[Conversión]]*Tabla1[[#This Row],[Cantidad]]</f>
        <v>8</v>
      </c>
      <c r="P1134" s="43">
        <f>Tabla1[[#This Row],[Neto]]-Tabla1[[#This Row],[Costo Venta]]</f>
        <v>290.44260799999995</v>
      </c>
    </row>
    <row r="1135" spans="1:16" x14ac:dyDescent="0.25">
      <c r="A1135" s="48">
        <v>45603</v>
      </c>
      <c r="B1135" s="1" t="s">
        <v>686</v>
      </c>
      <c r="C1135" s="1" t="s">
        <v>65</v>
      </c>
      <c r="D1135" s="1" t="s">
        <v>1098</v>
      </c>
      <c r="E1135" s="1" t="s">
        <v>67</v>
      </c>
      <c r="F1135" s="1" t="s">
        <v>9</v>
      </c>
      <c r="G1135" s="2">
        <v>22</v>
      </c>
      <c r="H1135" s="51" t="s">
        <v>1095</v>
      </c>
      <c r="I1135" s="44">
        <f>Tabla1[[#This Row],[Descuento]]+Tabla1[[#This Row],[Neto]]</f>
        <v>1088.5619999999999</v>
      </c>
      <c r="J1135" s="9">
        <v>489.85199999999998</v>
      </c>
      <c r="K1135" s="9">
        <v>598.71</v>
      </c>
      <c r="L1135" s="9">
        <v>88.187044</v>
      </c>
      <c r="M1135" s="24">
        <f>+Tabla1[[#This Row],[Costo Venta]]/Tabla1[[#This Row],[Cantidad]]</f>
        <v>4.008502</v>
      </c>
      <c r="N1135" s="3">
        <v>1</v>
      </c>
      <c r="O1135" s="8">
        <f>+Tabla1[[#This Row],[Conversión]]*Tabla1[[#This Row],[Cantidad]]</f>
        <v>22</v>
      </c>
      <c r="P1135" s="43">
        <f>Tabla1[[#This Row],[Neto]]-Tabla1[[#This Row],[Costo Venta]]</f>
        <v>510.52295600000002</v>
      </c>
    </row>
    <row r="1136" spans="1:16" x14ac:dyDescent="0.25">
      <c r="A1136" s="48">
        <v>45622</v>
      </c>
      <c r="B1136" s="1" t="s">
        <v>686</v>
      </c>
      <c r="C1136" s="1" t="s">
        <v>65</v>
      </c>
      <c r="D1136" s="1" t="s">
        <v>1099</v>
      </c>
      <c r="E1136" s="1" t="s">
        <v>67</v>
      </c>
      <c r="F1136" s="1" t="s">
        <v>44</v>
      </c>
      <c r="G1136" s="2">
        <v>14</v>
      </c>
      <c r="H1136" s="51" t="s">
        <v>1095</v>
      </c>
      <c r="I1136" s="44">
        <f>Tabla1[[#This Row],[Descuento]]+Tabla1[[#This Row],[Neto]]</f>
        <v>692.72199999999998</v>
      </c>
      <c r="J1136" s="9">
        <v>242.452</v>
      </c>
      <c r="K1136" s="9">
        <v>450.27</v>
      </c>
      <c r="L1136" s="9">
        <v>66.978954000000002</v>
      </c>
      <c r="M1136" s="24">
        <f>+Tabla1[[#This Row],[Costo Venta]]/Tabla1[[#This Row],[Cantidad]]</f>
        <v>4.784211</v>
      </c>
      <c r="N1136" s="3">
        <v>1</v>
      </c>
      <c r="O1136" s="8">
        <f>+Tabla1[[#This Row],[Conversión]]*Tabla1[[#This Row],[Cantidad]]</f>
        <v>14</v>
      </c>
      <c r="P1136" s="43">
        <f>Tabla1[[#This Row],[Neto]]-Tabla1[[#This Row],[Costo Venta]]</f>
        <v>383.29104599999999</v>
      </c>
    </row>
    <row r="1137" spans="1:16" x14ac:dyDescent="0.25">
      <c r="A1137" s="48">
        <v>45657</v>
      </c>
      <c r="B1137" s="1" t="s">
        <v>686</v>
      </c>
      <c r="C1137" s="1" t="s">
        <v>65</v>
      </c>
      <c r="D1137" s="1" t="s">
        <v>1100</v>
      </c>
      <c r="E1137" s="1" t="s">
        <v>67</v>
      </c>
      <c r="F1137" s="1" t="s">
        <v>9</v>
      </c>
      <c r="G1137" s="2">
        <v>5.0199999999999996</v>
      </c>
      <c r="H1137" s="51" t="s">
        <v>1095</v>
      </c>
      <c r="I1137" s="44">
        <f>Tabla1[[#This Row],[Descuento]]+Tabla1[[#This Row],[Neto]]</f>
        <v>248.38532000000001</v>
      </c>
      <c r="J1137" s="9">
        <v>111.77531999999999</v>
      </c>
      <c r="K1137" s="9">
        <v>136.61000000000001</v>
      </c>
      <c r="L1137" s="9">
        <v>22.632951120000001</v>
      </c>
      <c r="M1137" s="24">
        <f>+Tabla1[[#This Row],[Costo Venta]]/Tabla1[[#This Row],[Cantidad]]</f>
        <v>4.5085560000000005</v>
      </c>
      <c r="N1137" s="3">
        <v>1</v>
      </c>
      <c r="O1137" s="8">
        <f>+Tabla1[[#This Row],[Conversión]]*Tabla1[[#This Row],[Cantidad]]</f>
        <v>5.0199999999999996</v>
      </c>
      <c r="P1137" s="43">
        <f>Tabla1[[#This Row],[Neto]]-Tabla1[[#This Row],[Costo Venta]]</f>
        <v>113.97704888000001</v>
      </c>
    </row>
    <row r="1138" spans="1:16" x14ac:dyDescent="0.25">
      <c r="A1138" s="48">
        <v>45848</v>
      </c>
      <c r="B1138" s="1" t="s">
        <v>686</v>
      </c>
      <c r="C1138" s="1" t="s">
        <v>65</v>
      </c>
      <c r="D1138" s="1" t="s">
        <v>1101</v>
      </c>
      <c r="E1138" s="1" t="s">
        <v>67</v>
      </c>
      <c r="F1138" s="1" t="s">
        <v>9</v>
      </c>
      <c r="G1138" s="2">
        <v>20</v>
      </c>
      <c r="H1138" s="51" t="s">
        <v>1095</v>
      </c>
      <c r="I1138" s="44">
        <f>Tabla1[[#This Row],[Descuento]]+Tabla1[[#This Row],[Neto]]</f>
        <v>989.59999999999991</v>
      </c>
      <c r="J1138" s="9">
        <v>445.32</v>
      </c>
      <c r="K1138" s="9">
        <v>544.28</v>
      </c>
      <c r="L1138" s="9">
        <v>68.089820000000003</v>
      </c>
      <c r="M1138" s="24">
        <f>+Tabla1[[#This Row],[Costo Venta]]/Tabla1[[#This Row],[Cantidad]]</f>
        <v>3.4044910000000002</v>
      </c>
      <c r="N1138" s="3">
        <v>1</v>
      </c>
      <c r="O1138" s="8">
        <f>+Tabla1[[#This Row],[Conversión]]*Tabla1[[#This Row],[Cantidad]]</f>
        <v>20</v>
      </c>
      <c r="P1138" s="43">
        <f>Tabla1[[#This Row],[Neto]]-Tabla1[[#This Row],[Costo Venta]]</f>
        <v>476.19017999999994</v>
      </c>
    </row>
    <row r="1139" spans="1:16" x14ac:dyDescent="0.25">
      <c r="A1139" s="48">
        <v>45911</v>
      </c>
      <c r="B1139" s="1" t="s">
        <v>686</v>
      </c>
      <c r="C1139" s="1" t="s">
        <v>65</v>
      </c>
      <c r="D1139" s="1" t="s">
        <v>1018</v>
      </c>
      <c r="E1139" s="1" t="s">
        <v>67</v>
      </c>
      <c r="F1139" s="1" t="s">
        <v>44</v>
      </c>
      <c r="G1139" s="2">
        <v>12</v>
      </c>
      <c r="H1139" s="51" t="s">
        <v>1095</v>
      </c>
      <c r="I1139" s="44">
        <f>Tabla1[[#This Row],[Descuento]]+Tabla1[[#This Row],[Neto]]</f>
        <v>593.75599999999997</v>
      </c>
      <c r="J1139" s="9">
        <v>207.816</v>
      </c>
      <c r="K1139" s="9">
        <v>385.94</v>
      </c>
      <c r="L1139" s="9">
        <v>44.147364000000003</v>
      </c>
      <c r="M1139" s="24">
        <f>+Tabla1[[#This Row],[Costo Venta]]/Tabla1[[#This Row],[Cantidad]]</f>
        <v>3.6789470000000004</v>
      </c>
      <c r="N1139" s="3">
        <v>1</v>
      </c>
      <c r="O1139" s="8">
        <f>+Tabla1[[#This Row],[Conversión]]*Tabla1[[#This Row],[Cantidad]]</f>
        <v>12</v>
      </c>
      <c r="P1139" s="43">
        <f>Tabla1[[#This Row],[Neto]]-Tabla1[[#This Row],[Costo Venta]]</f>
        <v>341.79263600000002</v>
      </c>
    </row>
    <row r="1140" spans="1:16" x14ac:dyDescent="0.25">
      <c r="A1140" s="48">
        <v>45107</v>
      </c>
      <c r="B1140" s="1" t="s">
        <v>481</v>
      </c>
      <c r="C1140" s="1" t="s">
        <v>109</v>
      </c>
      <c r="D1140" s="1" t="s">
        <v>666</v>
      </c>
      <c r="E1140" s="1" t="s">
        <v>71</v>
      </c>
      <c r="F1140" s="1" t="s">
        <v>486</v>
      </c>
      <c r="G1140" s="2">
        <v>9.0399999999999991</v>
      </c>
      <c r="H1140" s="1" t="s">
        <v>1102</v>
      </c>
      <c r="I1140" s="44">
        <f>Tabla1[[#This Row],[Descuento]]+Tabla1[[#This Row],[Neto]]</f>
        <v>267.69997119999999</v>
      </c>
      <c r="J1140" s="9">
        <v>26.769971200000001</v>
      </c>
      <c r="K1140" s="9">
        <v>240.93</v>
      </c>
      <c r="L1140" s="9">
        <v>180.34800000000001</v>
      </c>
      <c r="M1140" s="24">
        <f>+Tabla1[[#This Row],[Costo Venta]]/Tabla1[[#This Row],[Cantidad]]</f>
        <v>19.950000000000003</v>
      </c>
      <c r="N1140" s="3">
        <v>1</v>
      </c>
      <c r="O1140" s="8">
        <f>+Tabla1[[#This Row],[Conversión]]*Tabla1[[#This Row],[Cantidad]]</f>
        <v>9.0399999999999991</v>
      </c>
      <c r="P1140" s="43">
        <f>Tabla1[[#This Row],[Neto]]-Tabla1[[#This Row],[Costo Venta]]</f>
        <v>60.581999999999994</v>
      </c>
    </row>
    <row r="1141" spans="1:16" x14ac:dyDescent="0.25">
      <c r="A1141" s="48">
        <v>45111</v>
      </c>
      <c r="B1141" s="1" t="s">
        <v>481</v>
      </c>
      <c r="C1141" s="1" t="s">
        <v>109</v>
      </c>
      <c r="D1141" s="1" t="s">
        <v>1103</v>
      </c>
      <c r="E1141" s="1" t="s">
        <v>71</v>
      </c>
      <c r="F1141" s="1" t="s">
        <v>486</v>
      </c>
      <c r="G1141" s="2">
        <v>38.42</v>
      </c>
      <c r="H1141" s="1" t="s">
        <v>1104</v>
      </c>
      <c r="I1141" s="44">
        <f>Tabla1[[#This Row],[Descuento]]+Tabla1[[#This Row],[Neto]]</f>
        <v>1137.7223776000001</v>
      </c>
      <c r="J1141" s="9">
        <v>113.7723776</v>
      </c>
      <c r="K1141" s="9">
        <v>1023.95</v>
      </c>
      <c r="L1141" s="9">
        <v>686.18119999999999</v>
      </c>
      <c r="M1141" s="24">
        <f>+Tabla1[[#This Row],[Costo Venta]]/Tabla1[[#This Row],[Cantidad]]</f>
        <v>17.86</v>
      </c>
      <c r="N1141" s="3">
        <v>1</v>
      </c>
      <c r="O1141" s="8">
        <f>+Tabla1[[#This Row],[Conversión]]*Tabla1[[#This Row],[Cantidad]]</f>
        <v>38.42</v>
      </c>
      <c r="P1141" s="43">
        <f>Tabla1[[#This Row],[Neto]]-Tabla1[[#This Row],[Costo Venta]]</f>
        <v>337.76880000000006</v>
      </c>
    </row>
    <row r="1142" spans="1:16" x14ac:dyDescent="0.25">
      <c r="A1142" s="48">
        <v>45198</v>
      </c>
      <c r="B1142" s="1" t="s">
        <v>481</v>
      </c>
      <c r="C1142" s="1" t="s">
        <v>81</v>
      </c>
      <c r="D1142" s="1" t="s">
        <v>1105</v>
      </c>
      <c r="E1142" s="1" t="s">
        <v>71</v>
      </c>
      <c r="F1142" s="1" t="s">
        <v>486</v>
      </c>
      <c r="G1142" s="2">
        <v>29.38</v>
      </c>
      <c r="H1142" s="1" t="s">
        <v>1104</v>
      </c>
      <c r="I1142" s="44">
        <f>Tabla1[[#This Row],[Descuento]]+Tabla1[[#This Row],[Neto]]</f>
        <v>870.02240640000002</v>
      </c>
      <c r="J1142" s="9">
        <v>87.002406399999998</v>
      </c>
      <c r="K1142" s="9">
        <v>783.02</v>
      </c>
      <c r="L1142" s="9">
        <v>555.01396625999996</v>
      </c>
      <c r="M1142" s="24">
        <f>+Tabla1[[#This Row],[Costo Venta]]/Tabla1[[#This Row],[Cantidad]]</f>
        <v>18.890877</v>
      </c>
      <c r="N1142" s="3">
        <v>1</v>
      </c>
      <c r="O1142" s="8">
        <f>+Tabla1[[#This Row],[Conversión]]*Tabla1[[#This Row],[Cantidad]]</f>
        <v>29.38</v>
      </c>
      <c r="P1142" s="43">
        <f>Tabla1[[#This Row],[Neto]]-Tabla1[[#This Row],[Costo Venta]]</f>
        <v>228.00603374000002</v>
      </c>
    </row>
    <row r="1143" spans="1:16" x14ac:dyDescent="0.25">
      <c r="A1143" s="48">
        <v>45107</v>
      </c>
      <c r="B1143" s="1" t="s">
        <v>481</v>
      </c>
      <c r="C1143" s="1" t="s">
        <v>109</v>
      </c>
      <c r="D1143" s="1" t="s">
        <v>666</v>
      </c>
      <c r="E1143" s="1" t="s">
        <v>71</v>
      </c>
      <c r="F1143" s="1" t="s">
        <v>486</v>
      </c>
      <c r="G1143" s="2">
        <v>127.68</v>
      </c>
      <c r="H1143" s="1" t="s">
        <v>1106</v>
      </c>
      <c r="I1143" s="44">
        <f>Tabla1[[#This Row],[Descuento]]+Tabla1[[#This Row],[Neto]]</f>
        <v>3240.4216256</v>
      </c>
      <c r="J1143" s="9">
        <v>324.04162559999997</v>
      </c>
      <c r="K1143" s="9">
        <v>2916.38</v>
      </c>
      <c r="L1143" s="9">
        <v>2280.3647999999998</v>
      </c>
      <c r="M1143" s="24">
        <f>+Tabla1[[#This Row],[Costo Venta]]/Tabla1[[#This Row],[Cantidad]]</f>
        <v>17.86</v>
      </c>
      <c r="N1143" s="3">
        <v>1</v>
      </c>
      <c r="O1143" s="8">
        <f>+Tabla1[[#This Row],[Conversión]]*Tabla1[[#This Row],[Cantidad]]</f>
        <v>127.68</v>
      </c>
      <c r="P1143" s="43">
        <f>Tabla1[[#This Row],[Neto]]-Tabla1[[#This Row],[Costo Venta]]</f>
        <v>636.01520000000028</v>
      </c>
    </row>
    <row r="1144" spans="1:16" x14ac:dyDescent="0.25">
      <c r="A1144" s="48">
        <v>45111</v>
      </c>
      <c r="B1144" s="1" t="s">
        <v>481</v>
      </c>
      <c r="C1144" s="1" t="s">
        <v>109</v>
      </c>
      <c r="D1144" s="1" t="s">
        <v>1103</v>
      </c>
      <c r="E1144" s="1" t="s">
        <v>71</v>
      </c>
      <c r="F1144" s="1" t="s">
        <v>486</v>
      </c>
      <c r="G1144" s="2">
        <v>20.34</v>
      </c>
      <c r="H1144" s="1" t="s">
        <v>1107</v>
      </c>
      <c r="I1144" s="44">
        <f>Tabla1[[#This Row],[Descuento]]+Tabla1[[#This Row],[Neto]]</f>
        <v>602.32243519999997</v>
      </c>
      <c r="J1144" s="9">
        <v>60.232435199999998</v>
      </c>
      <c r="K1144" s="9">
        <v>542.09</v>
      </c>
      <c r="L1144" s="9">
        <v>405.78300000000002</v>
      </c>
      <c r="M1144" s="24">
        <f>+Tabla1[[#This Row],[Costo Venta]]/Tabla1[[#This Row],[Cantidad]]</f>
        <v>19.95</v>
      </c>
      <c r="N1144" s="3">
        <v>1</v>
      </c>
      <c r="O1144" s="8">
        <f>+Tabla1[[#This Row],[Conversión]]*Tabla1[[#This Row],[Cantidad]]</f>
        <v>20.34</v>
      </c>
      <c r="P1144" s="43">
        <f>Tabla1[[#This Row],[Neto]]-Tabla1[[#This Row],[Costo Venta]]</f>
        <v>136.30700000000002</v>
      </c>
    </row>
    <row r="1145" spans="1:16" x14ac:dyDescent="0.25">
      <c r="A1145" s="48">
        <v>45107</v>
      </c>
      <c r="B1145" s="1" t="s">
        <v>481</v>
      </c>
      <c r="C1145" s="1" t="s">
        <v>109</v>
      </c>
      <c r="D1145" s="1" t="s">
        <v>666</v>
      </c>
      <c r="E1145" s="1" t="s">
        <v>71</v>
      </c>
      <c r="F1145" s="1" t="s">
        <v>486</v>
      </c>
      <c r="G1145" s="2">
        <v>8.57</v>
      </c>
      <c r="H1145" s="1" t="s">
        <v>1108</v>
      </c>
      <c r="I1145" s="44">
        <f>Tabla1[[#This Row],[Descuento]]+Tabla1[[#This Row],[Neto]]</f>
        <v>264.53319040000002</v>
      </c>
      <c r="J1145" s="9">
        <v>26.4531904</v>
      </c>
      <c r="K1145" s="9">
        <v>238.08</v>
      </c>
      <c r="L1145" s="9">
        <v>178.29884999999999</v>
      </c>
      <c r="M1145" s="24">
        <f>+Tabla1[[#This Row],[Costo Venta]]/Tabla1[[#This Row],[Cantidad]]</f>
        <v>20.804999999999996</v>
      </c>
      <c r="N1145" s="3">
        <v>1</v>
      </c>
      <c r="O1145" s="8">
        <f>+Tabla1[[#This Row],[Conversión]]*Tabla1[[#This Row],[Cantidad]]</f>
        <v>8.57</v>
      </c>
      <c r="P1145" s="43">
        <f>Tabla1[[#This Row],[Neto]]-Tabla1[[#This Row],[Costo Venta]]</f>
        <v>59.781150000000025</v>
      </c>
    </row>
    <row r="1146" spans="1:16" x14ac:dyDescent="0.25">
      <c r="A1146" s="48">
        <v>45107</v>
      </c>
      <c r="B1146" s="1" t="s">
        <v>481</v>
      </c>
      <c r="C1146" s="1" t="s">
        <v>109</v>
      </c>
      <c r="D1146" s="1" t="s">
        <v>666</v>
      </c>
      <c r="E1146" s="1" t="s">
        <v>71</v>
      </c>
      <c r="F1146" s="1" t="s">
        <v>486</v>
      </c>
      <c r="G1146" s="2">
        <v>15.71</v>
      </c>
      <c r="H1146" s="1" t="s">
        <v>1109</v>
      </c>
      <c r="I1146" s="44">
        <f>Tabla1[[#This Row],[Descuento]]+Tabla1[[#This Row],[Neto]]</f>
        <v>484.92237119999999</v>
      </c>
      <c r="J1146" s="9">
        <v>48.492371200000001</v>
      </c>
      <c r="K1146" s="9">
        <v>436.43</v>
      </c>
      <c r="L1146" s="9">
        <v>326.84654999999998</v>
      </c>
      <c r="M1146" s="24">
        <f>+Tabla1[[#This Row],[Costo Venta]]/Tabla1[[#This Row],[Cantidad]]</f>
        <v>20.804999999999996</v>
      </c>
      <c r="N1146" s="3">
        <v>1</v>
      </c>
      <c r="O1146" s="8">
        <f>+Tabla1[[#This Row],[Conversión]]*Tabla1[[#This Row],[Cantidad]]</f>
        <v>15.71</v>
      </c>
      <c r="P1146" s="43">
        <f>Tabla1[[#This Row],[Neto]]-Tabla1[[#This Row],[Costo Venta]]</f>
        <v>109.58345000000003</v>
      </c>
    </row>
    <row r="1147" spans="1:16" x14ac:dyDescent="0.25">
      <c r="A1147" s="48">
        <v>45291</v>
      </c>
      <c r="B1147" s="1" t="s">
        <v>481</v>
      </c>
      <c r="C1147" s="1" t="s">
        <v>214</v>
      </c>
      <c r="D1147" s="1" t="s">
        <v>1110</v>
      </c>
      <c r="E1147" s="1" t="s">
        <v>71</v>
      </c>
      <c r="F1147" s="1" t="s">
        <v>23</v>
      </c>
      <c r="G1147" s="2">
        <v>335</v>
      </c>
      <c r="H1147" s="1" t="s">
        <v>1111</v>
      </c>
      <c r="I1147" s="44">
        <f>Tabla1[[#This Row],[Descuento]]+Tabla1[[#This Row],[Neto]]</f>
        <v>12204.05</v>
      </c>
      <c r="J1147" s="9">
        <v>2440.81</v>
      </c>
      <c r="K1147" s="9">
        <v>9763.24</v>
      </c>
      <c r="L1147" s="9">
        <v>7638</v>
      </c>
      <c r="M1147" s="24">
        <f>+Tabla1[[#This Row],[Costo Venta]]/Tabla1[[#This Row],[Cantidad]]</f>
        <v>22.8</v>
      </c>
      <c r="N1147" s="3">
        <v>1</v>
      </c>
      <c r="O1147" s="8">
        <f>+Tabla1[[#This Row],[Conversión]]*Tabla1[[#This Row],[Cantidad]]</f>
        <v>335</v>
      </c>
      <c r="P1147" s="43">
        <f>Tabla1[[#This Row],[Neto]]-Tabla1[[#This Row],[Costo Venta]]</f>
        <v>2125.2399999999998</v>
      </c>
    </row>
    <row r="1148" spans="1:16" x14ac:dyDescent="0.25">
      <c r="A1148" s="48">
        <v>45107</v>
      </c>
      <c r="B1148" s="1" t="s">
        <v>481</v>
      </c>
      <c r="C1148" s="1" t="s">
        <v>109</v>
      </c>
      <c r="D1148" s="1" t="s">
        <v>666</v>
      </c>
      <c r="E1148" s="1" t="s">
        <v>71</v>
      </c>
      <c r="F1148" s="1" t="s">
        <v>486</v>
      </c>
      <c r="G1148" s="2">
        <v>89.96</v>
      </c>
      <c r="H1148" s="1" t="s">
        <v>1112</v>
      </c>
      <c r="I1148" s="44">
        <f>Tabla1[[#This Row],[Descuento]]+Tabla1[[#This Row],[Neto]]</f>
        <v>3050.8667456000003</v>
      </c>
      <c r="J1148" s="9">
        <v>305.08674559999997</v>
      </c>
      <c r="K1148" s="9">
        <v>2745.78</v>
      </c>
      <c r="L1148" s="9">
        <v>1871.6178</v>
      </c>
      <c r="M1148" s="24">
        <f>+Tabla1[[#This Row],[Costo Venta]]/Tabla1[[#This Row],[Cantidad]]</f>
        <v>20.805</v>
      </c>
      <c r="N1148" s="3">
        <v>1</v>
      </c>
      <c r="O1148" s="8">
        <f>+Tabla1[[#This Row],[Conversión]]*Tabla1[[#This Row],[Cantidad]]</f>
        <v>89.96</v>
      </c>
      <c r="P1148" s="43">
        <f>Tabla1[[#This Row],[Neto]]-Tabla1[[#This Row],[Costo Venta]]</f>
        <v>874.16220000000021</v>
      </c>
    </row>
    <row r="1149" spans="1:16" x14ac:dyDescent="0.25">
      <c r="A1149" s="48">
        <v>45090</v>
      </c>
      <c r="B1149" s="1" t="s">
        <v>481</v>
      </c>
      <c r="C1149" s="1" t="s">
        <v>109</v>
      </c>
      <c r="D1149" s="1" t="s">
        <v>1113</v>
      </c>
      <c r="E1149" s="1" t="s">
        <v>71</v>
      </c>
      <c r="F1149" s="1" t="s">
        <v>1114</v>
      </c>
      <c r="G1149" s="2">
        <v>34.270000000000003</v>
      </c>
      <c r="H1149" s="1" t="s">
        <v>1115</v>
      </c>
      <c r="I1149" s="44">
        <f>Tabla1[[#This Row],[Descuento]]+Tabla1[[#This Row],[Neto]]</f>
        <v>1162.44192</v>
      </c>
      <c r="J1149" s="9">
        <v>58.121920000000003</v>
      </c>
      <c r="K1149" s="9">
        <v>1104.32</v>
      </c>
      <c r="L1149" s="9">
        <v>712.96305256999995</v>
      </c>
      <c r="M1149" s="24">
        <f>+Tabla1[[#This Row],[Costo Venta]]/Tabla1[[#This Row],[Cantidad]]</f>
        <v>20.804290999999996</v>
      </c>
      <c r="N1149" s="3">
        <v>1</v>
      </c>
      <c r="O1149" s="8">
        <f>+Tabla1[[#This Row],[Conversión]]*Tabla1[[#This Row],[Cantidad]]</f>
        <v>34.270000000000003</v>
      </c>
      <c r="P1149" s="43">
        <f>Tabla1[[#This Row],[Neto]]-Tabla1[[#This Row],[Costo Venta]]</f>
        <v>391.35694742999999</v>
      </c>
    </row>
    <row r="1150" spans="1:16" x14ac:dyDescent="0.25">
      <c r="A1150" s="48">
        <v>45090</v>
      </c>
      <c r="B1150" s="1" t="s">
        <v>481</v>
      </c>
      <c r="C1150" s="1" t="s">
        <v>109</v>
      </c>
      <c r="D1150" s="1" t="s">
        <v>1116</v>
      </c>
      <c r="E1150" s="1" t="s">
        <v>71</v>
      </c>
      <c r="F1150" s="1" t="s">
        <v>1114</v>
      </c>
      <c r="G1150" s="2">
        <v>2.86</v>
      </c>
      <c r="H1150" s="1" t="s">
        <v>1115</v>
      </c>
      <c r="I1150" s="44">
        <f>Tabla1[[#This Row],[Descuento]]+Tabla1[[#This Row],[Neto]]</f>
        <v>97.010559999999998</v>
      </c>
      <c r="J1150" s="9">
        <v>4.8505599999999998</v>
      </c>
      <c r="K1150" s="9">
        <v>92.16</v>
      </c>
      <c r="L1150" s="9">
        <v>59.500272260000003</v>
      </c>
      <c r="M1150" s="24">
        <f>+Tabla1[[#This Row],[Costo Venta]]/Tabla1[[#This Row],[Cantidad]]</f>
        <v>20.804291000000003</v>
      </c>
      <c r="N1150" s="3">
        <v>1</v>
      </c>
      <c r="O1150" s="8">
        <f>+Tabla1[[#This Row],[Conversión]]*Tabla1[[#This Row],[Cantidad]]</f>
        <v>2.86</v>
      </c>
      <c r="P1150" s="43">
        <f>Tabla1[[#This Row],[Neto]]-Tabla1[[#This Row],[Costo Venta]]</f>
        <v>32.659727739999994</v>
      </c>
    </row>
    <row r="1151" spans="1:16" x14ac:dyDescent="0.25">
      <c r="A1151" s="48">
        <v>45107</v>
      </c>
      <c r="B1151" s="1" t="s">
        <v>481</v>
      </c>
      <c r="C1151" s="1" t="s">
        <v>109</v>
      </c>
      <c r="D1151" s="1" t="s">
        <v>666</v>
      </c>
      <c r="E1151" s="1" t="s">
        <v>71</v>
      </c>
      <c r="F1151" s="1" t="s">
        <v>486</v>
      </c>
      <c r="G1151" s="2">
        <v>22.6</v>
      </c>
      <c r="H1151" s="1" t="s">
        <v>1117</v>
      </c>
      <c r="I1151" s="44">
        <f>Tabla1[[#This Row],[Descuento]]+Tabla1[[#This Row],[Neto]]</f>
        <v>669.25492800000006</v>
      </c>
      <c r="J1151" s="9">
        <v>66.924927999999994</v>
      </c>
      <c r="K1151" s="9">
        <v>602.33000000000004</v>
      </c>
      <c r="L1151" s="9">
        <v>450.87</v>
      </c>
      <c r="M1151" s="24">
        <f>+Tabla1[[#This Row],[Costo Venta]]/Tabla1[[#This Row],[Cantidad]]</f>
        <v>19.95</v>
      </c>
      <c r="N1151" s="3">
        <v>1</v>
      </c>
      <c r="O1151" s="8">
        <f>+Tabla1[[#This Row],[Conversión]]*Tabla1[[#This Row],[Cantidad]]</f>
        <v>22.6</v>
      </c>
      <c r="P1151" s="43">
        <f>Tabla1[[#This Row],[Neto]]-Tabla1[[#This Row],[Costo Venta]]</f>
        <v>151.46000000000004</v>
      </c>
    </row>
    <row r="1152" spans="1:16" x14ac:dyDescent="0.25">
      <c r="A1152" s="48">
        <v>45107</v>
      </c>
      <c r="B1152" s="1" t="s">
        <v>481</v>
      </c>
      <c r="C1152" s="1" t="s">
        <v>109</v>
      </c>
      <c r="D1152" s="1" t="s">
        <v>666</v>
      </c>
      <c r="E1152" s="1" t="s">
        <v>71</v>
      </c>
      <c r="F1152" s="1" t="s">
        <v>486</v>
      </c>
      <c r="G1152" s="2">
        <v>14.8</v>
      </c>
      <c r="H1152" s="1" t="s">
        <v>1118</v>
      </c>
      <c r="I1152" s="44">
        <f>Tabla1[[#This Row],[Descuento]]+Tabla1[[#This Row],[Neto]]</f>
        <v>503.57788800000003</v>
      </c>
      <c r="J1152" s="9">
        <v>50.357888000000003</v>
      </c>
      <c r="K1152" s="9">
        <v>453.22</v>
      </c>
      <c r="L1152" s="9">
        <v>338.846</v>
      </c>
      <c r="M1152" s="24">
        <f>+Tabla1[[#This Row],[Costo Venta]]/Tabla1[[#This Row],[Cantidad]]</f>
        <v>22.895</v>
      </c>
      <c r="N1152" s="3">
        <v>1</v>
      </c>
      <c r="O1152" s="8">
        <f>+Tabla1[[#This Row],[Conversión]]*Tabla1[[#This Row],[Cantidad]]</f>
        <v>14.8</v>
      </c>
      <c r="P1152" s="43">
        <f>Tabla1[[#This Row],[Neto]]-Tabla1[[#This Row],[Costo Venta]]</f>
        <v>114.37400000000002</v>
      </c>
    </row>
    <row r="1153" spans="1:16" x14ac:dyDescent="0.25">
      <c r="A1153" s="48">
        <v>45096</v>
      </c>
      <c r="B1153" s="1" t="s">
        <v>481</v>
      </c>
      <c r="C1153" s="1" t="s">
        <v>109</v>
      </c>
      <c r="D1153" s="1" t="s">
        <v>1119</v>
      </c>
      <c r="E1153" s="1" t="s">
        <v>71</v>
      </c>
      <c r="F1153" s="1" t="s">
        <v>1120</v>
      </c>
      <c r="G1153" s="2">
        <v>45.2</v>
      </c>
      <c r="H1153" s="1" t="s">
        <v>1121</v>
      </c>
      <c r="I1153" s="44">
        <f>Tabla1[[#This Row],[Descuento]]+Tabla1[[#This Row],[Neto]]</f>
        <v>1200.9563999999998</v>
      </c>
      <c r="J1153" s="9">
        <v>120.0964</v>
      </c>
      <c r="K1153" s="9">
        <v>1080.8599999999999</v>
      </c>
      <c r="L1153" s="9">
        <v>807.27200000000005</v>
      </c>
      <c r="M1153" s="24">
        <f>+Tabla1[[#This Row],[Costo Venta]]/Tabla1[[#This Row],[Cantidad]]</f>
        <v>17.86</v>
      </c>
      <c r="N1153" s="3">
        <v>1</v>
      </c>
      <c r="O1153" s="8">
        <f>+Tabla1[[#This Row],[Conversión]]*Tabla1[[#This Row],[Cantidad]]</f>
        <v>45.2</v>
      </c>
      <c r="P1153" s="43">
        <f>Tabla1[[#This Row],[Neto]]-Tabla1[[#This Row],[Costo Venta]]</f>
        <v>273.58799999999985</v>
      </c>
    </row>
    <row r="1154" spans="1:16" x14ac:dyDescent="0.25">
      <c r="A1154" s="48">
        <v>45107</v>
      </c>
      <c r="B1154" s="1" t="s">
        <v>481</v>
      </c>
      <c r="C1154" s="1" t="s">
        <v>109</v>
      </c>
      <c r="D1154" s="1" t="s">
        <v>666</v>
      </c>
      <c r="E1154" s="1" t="s">
        <v>71</v>
      </c>
      <c r="F1154" s="1" t="s">
        <v>486</v>
      </c>
      <c r="G1154" s="2">
        <v>5.59</v>
      </c>
      <c r="H1154" s="1" t="s">
        <v>1122</v>
      </c>
      <c r="I1154" s="44">
        <f>Tabla1[[#This Row],[Descuento]]+Tabla1[[#This Row],[Neto]]</f>
        <v>156.76704319999999</v>
      </c>
      <c r="J1154" s="9">
        <v>15.6770432</v>
      </c>
      <c r="K1154" s="9">
        <v>141.09</v>
      </c>
      <c r="L1154" s="9">
        <v>105.67895</v>
      </c>
      <c r="M1154" s="24">
        <f>+Tabla1[[#This Row],[Costo Venta]]/Tabla1[[#This Row],[Cantidad]]</f>
        <v>18.905000000000001</v>
      </c>
      <c r="N1154" s="3">
        <v>1</v>
      </c>
      <c r="O1154" s="8">
        <f>+Tabla1[[#This Row],[Conversión]]*Tabla1[[#This Row],[Cantidad]]</f>
        <v>5.59</v>
      </c>
      <c r="P1154" s="43">
        <f>Tabla1[[#This Row],[Neto]]-Tabla1[[#This Row],[Costo Venta]]</f>
        <v>35.411050000000003</v>
      </c>
    </row>
    <row r="1155" spans="1:16" x14ac:dyDescent="0.25">
      <c r="A1155" s="48">
        <v>44967</v>
      </c>
      <c r="B1155" s="1" t="s">
        <v>686</v>
      </c>
      <c r="C1155" s="1" t="s">
        <v>65</v>
      </c>
      <c r="D1155" s="1" t="s">
        <v>1123</v>
      </c>
      <c r="E1155" s="1" t="s">
        <v>137</v>
      </c>
      <c r="F1155" s="1" t="s">
        <v>1124</v>
      </c>
      <c r="G1155" s="2">
        <v>9.1199999999999992</v>
      </c>
      <c r="H1155" s="51" t="s">
        <v>1125</v>
      </c>
      <c r="I1155" s="44">
        <f>Tabla1[[#This Row],[Descuento]]+Tabla1[[#This Row],[Neto]]</f>
        <v>446.88</v>
      </c>
      <c r="J1155" s="9">
        <v>111.72</v>
      </c>
      <c r="K1155" s="9">
        <v>335.16</v>
      </c>
      <c r="L1155" s="9">
        <v>69.129599999999996</v>
      </c>
      <c r="M1155" s="24">
        <f>+Tabla1[[#This Row],[Costo Venta]]/Tabla1[[#This Row],[Cantidad]]</f>
        <v>7.58</v>
      </c>
      <c r="N1155" s="3">
        <v>1</v>
      </c>
      <c r="O1155" s="8">
        <f>+Tabla1[[#This Row],[Conversión]]*Tabla1[[#This Row],[Cantidad]]</f>
        <v>9.1199999999999992</v>
      </c>
      <c r="P1155" s="43">
        <f>Tabla1[[#This Row],[Neto]]-Tabla1[[#This Row],[Costo Venta]]</f>
        <v>266.03040000000004</v>
      </c>
    </row>
    <row r="1156" spans="1:16" x14ac:dyDescent="0.25">
      <c r="A1156" s="48">
        <v>45048</v>
      </c>
      <c r="B1156" s="1" t="s">
        <v>686</v>
      </c>
      <c r="C1156" s="1" t="s">
        <v>109</v>
      </c>
      <c r="D1156" s="1" t="s">
        <v>1126</v>
      </c>
      <c r="E1156" s="1" t="s">
        <v>137</v>
      </c>
      <c r="F1156" s="1" t="s">
        <v>1124</v>
      </c>
      <c r="G1156" s="2">
        <v>167.04</v>
      </c>
      <c r="H1156" s="51" t="s">
        <v>1125</v>
      </c>
      <c r="I1156" s="44">
        <f>Tabla1[[#This Row],[Descuento]]+Tabla1[[#This Row],[Neto]]</f>
        <v>8184.9639999999999</v>
      </c>
      <c r="J1156" s="9">
        <v>1227.7439999999999</v>
      </c>
      <c r="K1156" s="9">
        <v>6957.22</v>
      </c>
      <c r="L1156" s="9">
        <v>1000.5470496</v>
      </c>
      <c r="M1156" s="24">
        <f>+Tabla1[[#This Row],[Costo Venta]]/Tabla1[[#This Row],[Cantidad]]</f>
        <v>5.9898650000000009</v>
      </c>
      <c r="N1156" s="3">
        <v>1</v>
      </c>
      <c r="O1156" s="8">
        <f>+Tabla1[[#This Row],[Conversión]]*Tabla1[[#This Row],[Cantidad]]</f>
        <v>167.04</v>
      </c>
      <c r="P1156" s="43">
        <f>Tabla1[[#This Row],[Neto]]-Tabla1[[#This Row],[Costo Venta]]</f>
        <v>5956.6729504000004</v>
      </c>
    </row>
    <row r="1157" spans="1:16" x14ac:dyDescent="0.25">
      <c r="A1157" s="48">
        <v>45146</v>
      </c>
      <c r="B1157" s="1" t="s">
        <v>686</v>
      </c>
      <c r="C1157" s="1" t="s">
        <v>81</v>
      </c>
      <c r="D1157" s="1" t="s">
        <v>224</v>
      </c>
      <c r="E1157" s="1" t="s">
        <v>71</v>
      </c>
      <c r="F1157" s="1" t="s">
        <v>225</v>
      </c>
      <c r="G1157" s="2">
        <v>10</v>
      </c>
      <c r="H1157" s="51" t="s">
        <v>1125</v>
      </c>
      <c r="I1157" s="44">
        <f>Tabla1[[#This Row],[Descuento]]+Tabla1[[#This Row],[Neto]]</f>
        <v>490</v>
      </c>
      <c r="J1157" s="9">
        <v>147</v>
      </c>
      <c r="K1157" s="9">
        <v>343</v>
      </c>
      <c r="L1157" s="9">
        <v>56.549509999999998</v>
      </c>
      <c r="M1157" s="24">
        <f>+Tabla1[[#This Row],[Costo Venta]]/Tabla1[[#This Row],[Cantidad]]</f>
        <v>5.6549509999999996</v>
      </c>
      <c r="N1157" s="3">
        <v>1</v>
      </c>
      <c r="O1157" s="8">
        <f>+Tabla1[[#This Row],[Conversión]]*Tabla1[[#This Row],[Cantidad]]</f>
        <v>10</v>
      </c>
      <c r="P1157" s="43">
        <f>Tabla1[[#This Row],[Neto]]-Tabla1[[#This Row],[Costo Venta]]</f>
        <v>286.45049</v>
      </c>
    </row>
    <row r="1158" spans="1:16" x14ac:dyDescent="0.25">
      <c r="A1158" s="48">
        <v>45161</v>
      </c>
      <c r="B1158" s="1" t="s">
        <v>686</v>
      </c>
      <c r="C1158" s="1" t="s">
        <v>81</v>
      </c>
      <c r="D1158" s="1" t="s">
        <v>1127</v>
      </c>
      <c r="E1158" s="1" t="s">
        <v>71</v>
      </c>
      <c r="F1158" s="1" t="s">
        <v>225</v>
      </c>
      <c r="G1158" s="2">
        <v>1</v>
      </c>
      <c r="H1158" s="51" t="s">
        <v>1125</v>
      </c>
      <c r="I1158" s="44">
        <f>Tabla1[[#This Row],[Descuento]]+Tabla1[[#This Row],[Neto]]</f>
        <v>49.484000000000002</v>
      </c>
      <c r="J1158" s="9">
        <v>14.843999999999999</v>
      </c>
      <c r="K1158" s="9">
        <v>34.64</v>
      </c>
      <c r="L1158" s="9">
        <v>5.6916890000000002</v>
      </c>
      <c r="M1158" s="24">
        <f>+Tabla1[[#This Row],[Costo Venta]]/Tabla1[[#This Row],[Cantidad]]</f>
        <v>5.6916890000000002</v>
      </c>
      <c r="N1158" s="3">
        <v>1</v>
      </c>
      <c r="O1158" s="8">
        <f>+Tabla1[[#This Row],[Conversión]]*Tabla1[[#This Row],[Cantidad]]</f>
        <v>1</v>
      </c>
      <c r="P1158" s="43">
        <f>Tabla1[[#This Row],[Neto]]-Tabla1[[#This Row],[Costo Venta]]</f>
        <v>28.948311</v>
      </c>
    </row>
    <row r="1159" spans="1:16" x14ac:dyDescent="0.25">
      <c r="A1159" s="48">
        <v>45166</v>
      </c>
      <c r="B1159" s="1" t="s">
        <v>686</v>
      </c>
      <c r="C1159" s="1" t="s">
        <v>81</v>
      </c>
      <c r="D1159" s="1" t="s">
        <v>1128</v>
      </c>
      <c r="E1159" s="1" t="s">
        <v>71</v>
      </c>
      <c r="F1159" s="1" t="s">
        <v>1129</v>
      </c>
      <c r="G1159" s="2">
        <v>31.2</v>
      </c>
      <c r="H1159" s="51" t="s">
        <v>1125</v>
      </c>
      <c r="I1159" s="44">
        <f>Tabla1[[#This Row],[Descuento]]+Tabla1[[#This Row],[Neto]]</f>
        <v>1543.7752</v>
      </c>
      <c r="J1159" s="9">
        <v>308.7552</v>
      </c>
      <c r="K1159" s="9">
        <v>1235.02</v>
      </c>
      <c r="L1159" s="9">
        <v>177.5806968</v>
      </c>
      <c r="M1159" s="24">
        <f>+Tabla1[[#This Row],[Costo Venta]]/Tabla1[[#This Row],[Cantidad]]</f>
        <v>5.6916890000000002</v>
      </c>
      <c r="N1159" s="3">
        <v>1</v>
      </c>
      <c r="O1159" s="8">
        <f>+Tabla1[[#This Row],[Conversión]]*Tabla1[[#This Row],[Cantidad]]</f>
        <v>31.2</v>
      </c>
      <c r="P1159" s="43">
        <f>Tabla1[[#This Row],[Neto]]-Tabla1[[#This Row],[Costo Venta]]</f>
        <v>1057.4393032</v>
      </c>
    </row>
    <row r="1160" spans="1:16" x14ac:dyDescent="0.25">
      <c r="A1160" s="48">
        <v>45175</v>
      </c>
      <c r="B1160" s="1" t="s">
        <v>686</v>
      </c>
      <c r="C1160" s="1" t="s">
        <v>214</v>
      </c>
      <c r="D1160" s="1" t="s">
        <v>237</v>
      </c>
      <c r="E1160" s="1" t="s">
        <v>71</v>
      </c>
      <c r="F1160" s="1" t="s">
        <v>17</v>
      </c>
      <c r="G1160" s="2">
        <v>12</v>
      </c>
      <c r="H1160" s="51" t="s">
        <v>1125</v>
      </c>
      <c r="I1160" s="44">
        <f>Tabla1[[#This Row],[Descuento]]+Tabla1[[#This Row],[Neto]]</f>
        <v>593.76</v>
      </c>
      <c r="J1160" s="9">
        <v>0</v>
      </c>
      <c r="K1160" s="9">
        <v>593.76</v>
      </c>
      <c r="L1160" s="9">
        <v>67.382244</v>
      </c>
      <c r="M1160" s="24">
        <f>+Tabla1[[#This Row],[Costo Venta]]/Tabla1[[#This Row],[Cantidad]]</f>
        <v>5.6151869999999997</v>
      </c>
      <c r="N1160" s="3">
        <v>1</v>
      </c>
      <c r="O1160" s="8">
        <f>+Tabla1[[#This Row],[Conversión]]*Tabla1[[#This Row],[Cantidad]]</f>
        <v>12</v>
      </c>
      <c r="P1160" s="43">
        <f>Tabla1[[#This Row],[Neto]]-Tabla1[[#This Row],[Costo Venta]]</f>
        <v>526.37775599999998</v>
      </c>
    </row>
    <row r="1161" spans="1:16" x14ac:dyDescent="0.25">
      <c r="A1161" s="48">
        <v>45330</v>
      </c>
      <c r="B1161" s="1" t="s">
        <v>686</v>
      </c>
      <c r="C1161" s="1" t="s">
        <v>81</v>
      </c>
      <c r="D1161" s="1" t="s">
        <v>1130</v>
      </c>
      <c r="E1161" s="1" t="s">
        <v>71</v>
      </c>
      <c r="F1161" s="1" t="s">
        <v>17</v>
      </c>
      <c r="G1161" s="2">
        <v>1.44</v>
      </c>
      <c r="H1161" s="51" t="s">
        <v>1125</v>
      </c>
      <c r="I1161" s="44">
        <f>Tabla1[[#This Row],[Descuento]]+Tabla1[[#This Row],[Neto]]</f>
        <v>71.252560000000003</v>
      </c>
      <c r="J1161" s="9">
        <v>3.5625599999999999</v>
      </c>
      <c r="K1161" s="9">
        <v>67.69</v>
      </c>
      <c r="L1161" s="9">
        <v>7.5899995200000001</v>
      </c>
      <c r="M1161" s="24">
        <f>+Tabla1[[#This Row],[Costo Venta]]/Tabla1[[#This Row],[Cantidad]]</f>
        <v>5.2708330000000005</v>
      </c>
      <c r="N1161" s="3">
        <v>1</v>
      </c>
      <c r="O1161" s="8">
        <f>+Tabla1[[#This Row],[Conversión]]*Tabla1[[#This Row],[Cantidad]]</f>
        <v>1.44</v>
      </c>
      <c r="P1161" s="43">
        <f>Tabla1[[#This Row],[Neto]]-Tabla1[[#This Row],[Costo Venta]]</f>
        <v>60.100000479999999</v>
      </c>
    </row>
    <row r="1162" spans="1:16" x14ac:dyDescent="0.25">
      <c r="A1162" s="48">
        <v>45427</v>
      </c>
      <c r="B1162" s="1" t="s">
        <v>686</v>
      </c>
      <c r="C1162" s="1" t="s">
        <v>81</v>
      </c>
      <c r="D1162" s="1" t="s">
        <v>1131</v>
      </c>
      <c r="E1162" s="1" t="s">
        <v>137</v>
      </c>
      <c r="F1162" s="1" t="s">
        <v>1124</v>
      </c>
      <c r="G1162" s="2">
        <v>231.36</v>
      </c>
      <c r="H1162" s="51" t="s">
        <v>1125</v>
      </c>
      <c r="I1162" s="44">
        <f>Tabla1[[#This Row],[Descuento]]+Tabla1[[#This Row],[Neto]]</f>
        <v>11447.692416000002</v>
      </c>
      <c r="J1162" s="9">
        <v>2518.492416</v>
      </c>
      <c r="K1162" s="9">
        <v>8929.2000000000007</v>
      </c>
      <c r="L1162" s="9">
        <v>1220.89296672</v>
      </c>
      <c r="M1162" s="24">
        <f>+Tabla1[[#This Row],[Costo Venta]]/Tabla1[[#This Row],[Cantidad]]</f>
        <v>5.2770269999999995</v>
      </c>
      <c r="N1162" s="3">
        <v>1</v>
      </c>
      <c r="O1162" s="8">
        <f>+Tabla1[[#This Row],[Conversión]]*Tabla1[[#This Row],[Cantidad]]</f>
        <v>231.36</v>
      </c>
      <c r="P1162" s="43">
        <f>Tabla1[[#This Row],[Neto]]-Tabla1[[#This Row],[Costo Venta]]</f>
        <v>7708.3070332800007</v>
      </c>
    </row>
    <row r="1163" spans="1:16" x14ac:dyDescent="0.25">
      <c r="A1163" s="48">
        <v>45505</v>
      </c>
      <c r="B1163" s="1" t="s">
        <v>686</v>
      </c>
      <c r="C1163" s="1" t="s">
        <v>143</v>
      </c>
      <c r="D1163" s="1" t="s">
        <v>1132</v>
      </c>
      <c r="E1163" s="1" t="s">
        <v>137</v>
      </c>
      <c r="F1163" s="1" t="s">
        <v>1124</v>
      </c>
      <c r="G1163" s="2">
        <v>100.32</v>
      </c>
      <c r="H1163" s="51" t="s">
        <v>1125</v>
      </c>
      <c r="I1163" s="44">
        <f>Tabla1[[#This Row],[Descuento]]+Tabla1[[#This Row],[Neto]]</f>
        <v>4963.8333920000005</v>
      </c>
      <c r="J1163" s="9">
        <v>1092.043392</v>
      </c>
      <c r="K1163" s="9">
        <v>3871.79</v>
      </c>
      <c r="L1163" s="9">
        <v>540.44049312000004</v>
      </c>
      <c r="M1163" s="24">
        <f>+Tabla1[[#This Row],[Costo Venta]]/Tabla1[[#This Row],[Cantidad]]</f>
        <v>5.3871660000000006</v>
      </c>
      <c r="N1163" s="3">
        <v>1</v>
      </c>
      <c r="O1163" s="8">
        <f>+Tabla1[[#This Row],[Conversión]]*Tabla1[[#This Row],[Cantidad]]</f>
        <v>100.32</v>
      </c>
      <c r="P1163" s="43">
        <f>Tabla1[[#This Row],[Neto]]-Tabla1[[#This Row],[Costo Venta]]</f>
        <v>3331.3495068799998</v>
      </c>
    </row>
    <row r="1164" spans="1:16" x14ac:dyDescent="0.25">
      <c r="A1164" s="48">
        <v>45736</v>
      </c>
      <c r="B1164" s="1" t="s">
        <v>686</v>
      </c>
      <c r="C1164" s="1" t="s">
        <v>65</v>
      </c>
      <c r="D1164" s="1" t="s">
        <v>1133</v>
      </c>
      <c r="E1164" s="1" t="s">
        <v>137</v>
      </c>
      <c r="F1164" s="1" t="s">
        <v>1124</v>
      </c>
      <c r="G1164" s="2">
        <v>10.4</v>
      </c>
      <c r="H1164" s="51" t="s">
        <v>1125</v>
      </c>
      <c r="I1164" s="44">
        <f>Tabla1[[#This Row],[Descuento]]+Tabla1[[#This Row],[Neto]]</f>
        <v>514.59023999999999</v>
      </c>
      <c r="J1164" s="9">
        <v>113.21024</v>
      </c>
      <c r="K1164" s="9">
        <v>401.38</v>
      </c>
      <c r="L1164" s="9">
        <v>44.849615200000002</v>
      </c>
      <c r="M1164" s="24">
        <f>+Tabla1[[#This Row],[Costo Venta]]/Tabla1[[#This Row],[Cantidad]]</f>
        <v>4.3124630000000002</v>
      </c>
      <c r="N1164" s="3">
        <v>1</v>
      </c>
      <c r="O1164" s="8">
        <f>+Tabla1[[#This Row],[Conversión]]*Tabla1[[#This Row],[Cantidad]]</f>
        <v>10.4</v>
      </c>
      <c r="P1164" s="43">
        <f>Tabla1[[#This Row],[Neto]]-Tabla1[[#This Row],[Costo Venta]]</f>
        <v>356.53038479999998</v>
      </c>
    </row>
    <row r="1165" spans="1:16" x14ac:dyDescent="0.25">
      <c r="A1165" s="48">
        <v>44963</v>
      </c>
      <c r="B1165" s="1" t="s">
        <v>686</v>
      </c>
      <c r="C1165" s="1" t="s">
        <v>65</v>
      </c>
      <c r="D1165" s="1" t="s">
        <v>139</v>
      </c>
      <c r="E1165" s="1" t="s">
        <v>71</v>
      </c>
      <c r="F1165" s="1" t="s">
        <v>140</v>
      </c>
      <c r="G1165" s="2">
        <v>5.0599999999999996</v>
      </c>
      <c r="H1165" s="51" t="s">
        <v>1134</v>
      </c>
      <c r="I1165" s="44">
        <f>Tabla1[[#This Row],[Descuento]]+Tabla1[[#This Row],[Neto]]</f>
        <v>247.94400000000002</v>
      </c>
      <c r="J1165" s="9">
        <v>24.794</v>
      </c>
      <c r="K1165" s="9">
        <v>223.15</v>
      </c>
      <c r="L1165" s="9">
        <v>40.505299999999998</v>
      </c>
      <c r="M1165" s="24">
        <f>+Tabla1[[#This Row],[Costo Venta]]/Tabla1[[#This Row],[Cantidad]]</f>
        <v>8.0050000000000008</v>
      </c>
      <c r="N1165" s="3">
        <v>1</v>
      </c>
      <c r="O1165" s="8">
        <f>+Tabla1[[#This Row],[Conversión]]*Tabla1[[#This Row],[Cantidad]]</f>
        <v>5.0599999999999996</v>
      </c>
      <c r="P1165" s="43">
        <f>Tabla1[[#This Row],[Neto]]-Tabla1[[#This Row],[Costo Venta]]</f>
        <v>182.6447</v>
      </c>
    </row>
    <row r="1166" spans="1:16" x14ac:dyDescent="0.25">
      <c r="A1166" s="48">
        <v>45183</v>
      </c>
      <c r="B1166" s="1" t="s">
        <v>686</v>
      </c>
      <c r="C1166" s="1" t="s">
        <v>81</v>
      </c>
      <c r="D1166" s="1" t="s">
        <v>1135</v>
      </c>
      <c r="E1166" s="1" t="s">
        <v>67</v>
      </c>
      <c r="F1166" s="1" t="s">
        <v>20</v>
      </c>
      <c r="G1166" s="2">
        <v>3.5</v>
      </c>
      <c r="H1166" s="51" t="s">
        <v>1134</v>
      </c>
      <c r="I1166" s="44">
        <f>Tabla1[[#This Row],[Descuento]]+Tabla1[[#This Row],[Neto]]</f>
        <v>173.18299999999999</v>
      </c>
      <c r="J1166" s="9">
        <v>60.613</v>
      </c>
      <c r="K1166" s="9">
        <v>112.57</v>
      </c>
      <c r="L1166" s="9">
        <v>27.977032999999999</v>
      </c>
      <c r="M1166" s="24">
        <f>+Tabla1[[#This Row],[Costo Venta]]/Tabla1[[#This Row],[Cantidad]]</f>
        <v>7.9934379999999994</v>
      </c>
      <c r="N1166" s="3">
        <v>1</v>
      </c>
      <c r="O1166" s="8">
        <f>+Tabla1[[#This Row],[Conversión]]*Tabla1[[#This Row],[Cantidad]]</f>
        <v>3.5</v>
      </c>
      <c r="P1166" s="43">
        <f>Tabla1[[#This Row],[Neto]]-Tabla1[[#This Row],[Costo Venta]]</f>
        <v>84.592966999999987</v>
      </c>
    </row>
    <row r="1167" spans="1:16" x14ac:dyDescent="0.25">
      <c r="A1167" s="48">
        <v>45254</v>
      </c>
      <c r="B1167" s="1" t="s">
        <v>686</v>
      </c>
      <c r="C1167" s="1" t="s">
        <v>214</v>
      </c>
      <c r="D1167" s="1" t="s">
        <v>1136</v>
      </c>
      <c r="E1167" s="1" t="s">
        <v>132</v>
      </c>
      <c r="F1167" s="1" t="s">
        <v>16</v>
      </c>
      <c r="G1167" s="2">
        <v>0.75</v>
      </c>
      <c r="H1167" s="51" t="s">
        <v>1134</v>
      </c>
      <c r="I1167" s="44">
        <f>Tabla1[[#This Row],[Descuento]]+Tabla1[[#This Row],[Neto]]</f>
        <v>37.11</v>
      </c>
      <c r="J1167" s="9">
        <v>0</v>
      </c>
      <c r="K1167" s="9">
        <v>37.11</v>
      </c>
      <c r="L1167" s="9">
        <v>5.9956079999999998</v>
      </c>
      <c r="M1167" s="24">
        <f>+Tabla1[[#This Row],[Costo Venta]]/Tabla1[[#This Row],[Cantidad]]</f>
        <v>7.9941439999999995</v>
      </c>
      <c r="N1167" s="3">
        <v>1</v>
      </c>
      <c r="O1167" s="8">
        <f>+Tabla1[[#This Row],[Conversión]]*Tabla1[[#This Row],[Cantidad]]</f>
        <v>0.75</v>
      </c>
      <c r="P1167" s="43">
        <f>Tabla1[[#This Row],[Neto]]-Tabla1[[#This Row],[Costo Venta]]</f>
        <v>31.114391999999999</v>
      </c>
    </row>
    <row r="1168" spans="1:16" x14ac:dyDescent="0.25">
      <c r="A1168" s="48">
        <v>45306</v>
      </c>
      <c r="B1168" s="1" t="s">
        <v>686</v>
      </c>
      <c r="C1168" s="1" t="s">
        <v>81</v>
      </c>
      <c r="D1168" s="1" t="s">
        <v>1137</v>
      </c>
      <c r="E1168" s="1" t="s">
        <v>67</v>
      </c>
      <c r="F1168" s="1" t="s">
        <v>20</v>
      </c>
      <c r="G1168" s="2">
        <v>1.01</v>
      </c>
      <c r="H1168" s="51" t="s">
        <v>1134</v>
      </c>
      <c r="I1168" s="44">
        <f>Tabla1[[#This Row],[Descuento]]+Tabla1[[#This Row],[Neto]]</f>
        <v>49.971179999999997</v>
      </c>
      <c r="J1168" s="9">
        <v>17.49118</v>
      </c>
      <c r="K1168" s="9">
        <v>32.479999999999997</v>
      </c>
      <c r="L1168" s="9">
        <v>8.1312585100000003</v>
      </c>
      <c r="M1168" s="24">
        <f>+Tabla1[[#This Row],[Costo Venta]]/Tabla1[[#This Row],[Cantidad]]</f>
        <v>8.050751</v>
      </c>
      <c r="N1168" s="3">
        <v>1</v>
      </c>
      <c r="O1168" s="8">
        <f>+Tabla1[[#This Row],[Conversión]]*Tabla1[[#This Row],[Cantidad]]</f>
        <v>1.01</v>
      </c>
      <c r="P1168" s="43">
        <f>Tabla1[[#This Row],[Neto]]-Tabla1[[#This Row],[Costo Venta]]</f>
        <v>24.348741489999995</v>
      </c>
    </row>
    <row r="1169" spans="1:16" x14ac:dyDescent="0.25">
      <c r="A1169" s="48">
        <v>45306</v>
      </c>
      <c r="B1169" s="1" t="s">
        <v>686</v>
      </c>
      <c r="C1169" s="1" t="s">
        <v>81</v>
      </c>
      <c r="D1169" s="1" t="s">
        <v>858</v>
      </c>
      <c r="E1169" s="1" t="s">
        <v>67</v>
      </c>
      <c r="F1169" s="1" t="s">
        <v>20</v>
      </c>
      <c r="G1169" s="2">
        <v>1.01</v>
      </c>
      <c r="H1169" s="51" t="s">
        <v>1134</v>
      </c>
      <c r="I1169" s="44">
        <f>Tabla1[[#This Row],[Descuento]]+Tabla1[[#This Row],[Neto]]</f>
        <v>49.971179999999997</v>
      </c>
      <c r="J1169" s="9">
        <v>17.49118</v>
      </c>
      <c r="K1169" s="9">
        <v>32.479999999999997</v>
      </c>
      <c r="L1169" s="9">
        <v>8.1312585100000003</v>
      </c>
      <c r="M1169" s="24">
        <f>+Tabla1[[#This Row],[Costo Venta]]/Tabla1[[#This Row],[Cantidad]]</f>
        <v>8.050751</v>
      </c>
      <c r="N1169" s="3">
        <v>1</v>
      </c>
      <c r="O1169" s="8">
        <f>+Tabla1[[#This Row],[Conversión]]*Tabla1[[#This Row],[Cantidad]]</f>
        <v>1.01</v>
      </c>
      <c r="P1169" s="43">
        <f>Tabla1[[#This Row],[Neto]]-Tabla1[[#This Row],[Costo Venta]]</f>
        <v>24.348741489999995</v>
      </c>
    </row>
    <row r="1170" spans="1:16" x14ac:dyDescent="0.25">
      <c r="A1170" s="48">
        <v>45390</v>
      </c>
      <c r="B1170" s="1" t="s">
        <v>686</v>
      </c>
      <c r="C1170" s="1" t="s">
        <v>65</v>
      </c>
      <c r="D1170" s="1" t="s">
        <v>1138</v>
      </c>
      <c r="E1170" s="1" t="s">
        <v>71</v>
      </c>
      <c r="F1170" s="1" t="s">
        <v>1139</v>
      </c>
      <c r="G1170" s="2">
        <v>0.7</v>
      </c>
      <c r="H1170" s="51" t="s">
        <v>1134</v>
      </c>
      <c r="I1170" s="44">
        <f>Tabla1[[#This Row],[Descuento]]+Tabla1[[#This Row],[Neto]]</f>
        <v>34.643599999999999</v>
      </c>
      <c r="J1170" s="9">
        <v>3.4636</v>
      </c>
      <c r="K1170" s="9">
        <v>31.18</v>
      </c>
      <c r="L1170" s="9">
        <v>5.6599003999999997</v>
      </c>
      <c r="M1170" s="24">
        <f>+Tabla1[[#This Row],[Costo Venta]]/Tabla1[[#This Row],[Cantidad]]</f>
        <v>8.0855720000000009</v>
      </c>
      <c r="N1170" s="3">
        <v>1</v>
      </c>
      <c r="O1170" s="8">
        <f>+Tabla1[[#This Row],[Conversión]]*Tabla1[[#This Row],[Cantidad]]</f>
        <v>0.7</v>
      </c>
      <c r="P1170" s="43">
        <f>Tabla1[[#This Row],[Neto]]-Tabla1[[#This Row],[Costo Venta]]</f>
        <v>25.520099600000002</v>
      </c>
    </row>
    <row r="1171" spans="1:16" x14ac:dyDescent="0.25">
      <c r="A1171" s="48">
        <v>45461</v>
      </c>
      <c r="B1171" s="1" t="s">
        <v>686</v>
      </c>
      <c r="C1171" s="1" t="s">
        <v>65</v>
      </c>
      <c r="D1171" s="1" t="s">
        <v>318</v>
      </c>
      <c r="E1171" s="1" t="s">
        <v>71</v>
      </c>
      <c r="F1171" s="1" t="s">
        <v>319</v>
      </c>
      <c r="G1171" s="2">
        <v>5</v>
      </c>
      <c r="H1171" s="51" t="s">
        <v>1134</v>
      </c>
      <c r="I1171" s="44">
        <f>Tabla1[[#This Row],[Descuento]]+Tabla1[[#This Row],[Neto]]</f>
        <v>247.4</v>
      </c>
      <c r="J1171" s="9">
        <v>74.22</v>
      </c>
      <c r="K1171" s="9">
        <v>173.18</v>
      </c>
      <c r="L1171" s="9">
        <v>40.478864999999999</v>
      </c>
      <c r="M1171" s="24">
        <f>+Tabla1[[#This Row],[Costo Venta]]/Tabla1[[#This Row],[Cantidad]]</f>
        <v>8.0957729999999994</v>
      </c>
      <c r="N1171" s="3">
        <v>1</v>
      </c>
      <c r="O1171" s="8">
        <f>+Tabla1[[#This Row],[Conversión]]*Tabla1[[#This Row],[Cantidad]]</f>
        <v>5</v>
      </c>
      <c r="P1171" s="43">
        <f>Tabla1[[#This Row],[Neto]]-Tabla1[[#This Row],[Costo Venta]]</f>
        <v>132.70113500000002</v>
      </c>
    </row>
    <row r="1172" spans="1:16" x14ac:dyDescent="0.25">
      <c r="A1172" s="48">
        <v>45531</v>
      </c>
      <c r="B1172" s="1" t="s">
        <v>686</v>
      </c>
      <c r="C1172" s="1" t="s">
        <v>65</v>
      </c>
      <c r="D1172" s="1" t="s">
        <v>740</v>
      </c>
      <c r="E1172" s="1" t="s">
        <v>67</v>
      </c>
      <c r="F1172" s="1" t="s">
        <v>20</v>
      </c>
      <c r="G1172" s="2">
        <v>1.77</v>
      </c>
      <c r="H1172" s="51" t="s">
        <v>1134</v>
      </c>
      <c r="I1172" s="44">
        <f>Tabla1[[#This Row],[Descuento]]+Tabla1[[#This Row],[Neto]]</f>
        <v>87.582859999999997</v>
      </c>
      <c r="J1172" s="9">
        <v>30.65286</v>
      </c>
      <c r="K1172" s="9">
        <v>56.93</v>
      </c>
      <c r="L1172" s="9">
        <v>13.86648975</v>
      </c>
      <c r="M1172" s="24">
        <f>+Tabla1[[#This Row],[Costo Venta]]/Tabla1[[#This Row],[Cantidad]]</f>
        <v>7.8341749999999992</v>
      </c>
      <c r="N1172" s="3">
        <v>1</v>
      </c>
      <c r="O1172" s="8">
        <f>+Tabla1[[#This Row],[Conversión]]*Tabla1[[#This Row],[Cantidad]]</f>
        <v>1.77</v>
      </c>
      <c r="P1172" s="43">
        <f>Tabla1[[#This Row],[Neto]]-Tabla1[[#This Row],[Costo Venta]]</f>
        <v>43.06351025</v>
      </c>
    </row>
    <row r="1173" spans="1:16" x14ac:dyDescent="0.25">
      <c r="A1173" s="48">
        <v>45628</v>
      </c>
      <c r="B1173" s="1" t="s">
        <v>686</v>
      </c>
      <c r="C1173" s="1" t="s">
        <v>65</v>
      </c>
      <c r="D1173" s="1" t="s">
        <v>546</v>
      </c>
      <c r="E1173" s="1" t="s">
        <v>67</v>
      </c>
      <c r="F1173" s="1" t="s">
        <v>20</v>
      </c>
      <c r="G1173" s="2">
        <v>13.92</v>
      </c>
      <c r="H1173" s="51" t="s">
        <v>1134</v>
      </c>
      <c r="I1173" s="44">
        <f>Tabla1[[#This Row],[Descuento]]+Tabla1[[#This Row],[Neto]]</f>
        <v>688.76271999999994</v>
      </c>
      <c r="J1173" s="9">
        <v>309.94272000000001</v>
      </c>
      <c r="K1173" s="9">
        <v>378.82</v>
      </c>
      <c r="L1173" s="9">
        <v>103.48424496</v>
      </c>
      <c r="M1173" s="24">
        <f>+Tabla1[[#This Row],[Costo Venta]]/Tabla1[[#This Row],[Cantidad]]</f>
        <v>7.4342129999999997</v>
      </c>
      <c r="N1173" s="3">
        <v>1</v>
      </c>
      <c r="O1173" s="8">
        <f>+Tabla1[[#This Row],[Conversión]]*Tabla1[[#This Row],[Cantidad]]</f>
        <v>13.92</v>
      </c>
      <c r="P1173" s="43">
        <f>Tabla1[[#This Row],[Neto]]-Tabla1[[#This Row],[Costo Venta]]</f>
        <v>275.33575503999998</v>
      </c>
    </row>
    <row r="1174" spans="1:16" x14ac:dyDescent="0.25">
      <c r="A1174" s="48">
        <v>45724</v>
      </c>
      <c r="B1174" s="1" t="s">
        <v>686</v>
      </c>
      <c r="C1174" s="1" t="s">
        <v>65</v>
      </c>
      <c r="D1174" s="1" t="s">
        <v>658</v>
      </c>
      <c r="E1174" s="1" t="s">
        <v>71</v>
      </c>
      <c r="F1174" s="1" t="s">
        <v>376</v>
      </c>
      <c r="G1174" s="2">
        <v>33.17</v>
      </c>
      <c r="H1174" s="51" t="s">
        <v>1134</v>
      </c>
      <c r="I1174" s="44">
        <f>Tabla1[[#This Row],[Descuento]]+Tabla1[[#This Row],[Neto]]</f>
        <v>1641.2529</v>
      </c>
      <c r="J1174" s="9">
        <v>410.31290000000001</v>
      </c>
      <c r="K1174" s="9">
        <v>1230.94</v>
      </c>
      <c r="L1174" s="9">
        <v>245.93266270000001</v>
      </c>
      <c r="M1174" s="24">
        <f>+Tabla1[[#This Row],[Costo Venta]]/Tabla1[[#This Row],[Cantidad]]</f>
        <v>7.4143099999999995</v>
      </c>
      <c r="N1174" s="3">
        <v>1</v>
      </c>
      <c r="O1174" s="8">
        <f>+Tabla1[[#This Row],[Conversión]]*Tabla1[[#This Row],[Cantidad]]</f>
        <v>33.17</v>
      </c>
      <c r="P1174" s="43">
        <f>Tabla1[[#This Row],[Neto]]-Tabla1[[#This Row],[Costo Venta]]</f>
        <v>985.00733730000002</v>
      </c>
    </row>
    <row r="1175" spans="1:16" x14ac:dyDescent="0.25">
      <c r="A1175" s="48">
        <v>45782</v>
      </c>
      <c r="B1175" s="1" t="s">
        <v>686</v>
      </c>
      <c r="C1175" s="1" t="s">
        <v>65</v>
      </c>
      <c r="D1175" s="1" t="s">
        <v>1140</v>
      </c>
      <c r="E1175" s="1" t="s">
        <v>67</v>
      </c>
      <c r="F1175" s="1" t="s">
        <v>9</v>
      </c>
      <c r="G1175" s="2">
        <v>13.16</v>
      </c>
      <c r="H1175" s="51" t="s">
        <v>1134</v>
      </c>
      <c r="I1175" s="44">
        <f>Tabla1[[#This Row],[Descuento]]+Tabla1[[#This Row],[Neto]]</f>
        <v>651.16056000000003</v>
      </c>
      <c r="J1175" s="9">
        <v>293.02055999999999</v>
      </c>
      <c r="K1175" s="9">
        <v>358.14</v>
      </c>
      <c r="L1175" s="9">
        <v>88.398562560000002</v>
      </c>
      <c r="M1175" s="24">
        <f>+Tabla1[[#This Row],[Costo Venta]]/Tabla1[[#This Row],[Cantidad]]</f>
        <v>6.7172160000000005</v>
      </c>
      <c r="N1175" s="3">
        <v>1</v>
      </c>
      <c r="O1175" s="8">
        <f>+Tabla1[[#This Row],[Conversión]]*Tabla1[[#This Row],[Cantidad]]</f>
        <v>13.16</v>
      </c>
      <c r="P1175" s="43">
        <f>Tabla1[[#This Row],[Neto]]-Tabla1[[#This Row],[Costo Venta]]</f>
        <v>269.74143743999997</v>
      </c>
    </row>
    <row r="1176" spans="1:16" x14ac:dyDescent="0.25">
      <c r="A1176" s="48">
        <v>44963</v>
      </c>
      <c r="B1176" s="1" t="s">
        <v>686</v>
      </c>
      <c r="C1176" s="1" t="s">
        <v>65</v>
      </c>
      <c r="D1176" s="1" t="s">
        <v>139</v>
      </c>
      <c r="E1176" s="1" t="s">
        <v>71</v>
      </c>
      <c r="F1176" s="1" t="s">
        <v>140</v>
      </c>
      <c r="G1176" s="2">
        <v>5.0599999999999996</v>
      </c>
      <c r="H1176" s="51" t="s">
        <v>1141</v>
      </c>
      <c r="I1176" s="44">
        <f>Tabla1[[#This Row],[Descuento]]+Tabla1[[#This Row],[Neto]]</f>
        <v>247.94400000000002</v>
      </c>
      <c r="J1176" s="9">
        <v>24.794</v>
      </c>
      <c r="K1176" s="9">
        <v>223.15</v>
      </c>
      <c r="L1176" s="9">
        <v>37.762435920000001</v>
      </c>
      <c r="M1176" s="24">
        <f>+Tabla1[[#This Row],[Costo Venta]]/Tabla1[[#This Row],[Cantidad]]</f>
        <v>7.4629320000000012</v>
      </c>
      <c r="N1176" s="3">
        <v>1</v>
      </c>
      <c r="O1176" s="8">
        <f>+Tabla1[[#This Row],[Conversión]]*Tabla1[[#This Row],[Cantidad]]</f>
        <v>5.0599999999999996</v>
      </c>
      <c r="P1176" s="43">
        <f>Tabla1[[#This Row],[Neto]]-Tabla1[[#This Row],[Costo Venta]]</f>
        <v>185.38756408</v>
      </c>
    </row>
    <row r="1177" spans="1:16" x14ac:dyDescent="0.25">
      <c r="A1177" s="48">
        <v>45020</v>
      </c>
      <c r="B1177" s="1" t="s">
        <v>686</v>
      </c>
      <c r="C1177" s="1" t="s">
        <v>109</v>
      </c>
      <c r="D1177" s="1" t="s">
        <v>1142</v>
      </c>
      <c r="E1177" s="1" t="s">
        <v>67</v>
      </c>
      <c r="F1177" s="1" t="s">
        <v>9</v>
      </c>
      <c r="G1177" s="2">
        <v>1.01</v>
      </c>
      <c r="H1177" s="51" t="s">
        <v>1141</v>
      </c>
      <c r="I1177" s="44">
        <f>Tabla1[[#This Row],[Descuento]]+Tabla1[[#This Row],[Neto]]</f>
        <v>49.491500000000002</v>
      </c>
      <c r="J1177" s="9">
        <v>17.3215</v>
      </c>
      <c r="K1177" s="9">
        <v>32.17</v>
      </c>
      <c r="L1177" s="9">
        <v>7.53756132</v>
      </c>
      <c r="M1177" s="24">
        <f>+Tabla1[[#This Row],[Costo Venta]]/Tabla1[[#This Row],[Cantidad]]</f>
        <v>7.4629320000000003</v>
      </c>
      <c r="N1177" s="3">
        <v>1</v>
      </c>
      <c r="O1177" s="8">
        <f>+Tabla1[[#This Row],[Conversión]]*Tabla1[[#This Row],[Cantidad]]</f>
        <v>1.01</v>
      </c>
      <c r="P1177" s="43">
        <f>Tabla1[[#This Row],[Neto]]-Tabla1[[#This Row],[Costo Venta]]</f>
        <v>24.63243868</v>
      </c>
    </row>
    <row r="1178" spans="1:16" x14ac:dyDescent="0.25">
      <c r="A1178" s="48">
        <v>45183</v>
      </c>
      <c r="B1178" s="1" t="s">
        <v>686</v>
      </c>
      <c r="C1178" s="1" t="s">
        <v>81</v>
      </c>
      <c r="D1178" s="1" t="s">
        <v>1135</v>
      </c>
      <c r="E1178" s="1" t="s">
        <v>67</v>
      </c>
      <c r="F1178" s="1" t="s">
        <v>20</v>
      </c>
      <c r="G1178" s="2">
        <v>3.5</v>
      </c>
      <c r="H1178" s="51" t="s">
        <v>1141</v>
      </c>
      <c r="I1178" s="44">
        <f>Tabla1[[#This Row],[Descuento]]+Tabla1[[#This Row],[Neto]]</f>
        <v>173.18299999999999</v>
      </c>
      <c r="J1178" s="9">
        <v>60.613</v>
      </c>
      <c r="K1178" s="9">
        <v>112.57</v>
      </c>
      <c r="L1178" s="9">
        <v>24.290878500000002</v>
      </c>
      <c r="M1178" s="24">
        <f>+Tabla1[[#This Row],[Costo Venta]]/Tabla1[[#This Row],[Cantidad]]</f>
        <v>6.9402510000000008</v>
      </c>
      <c r="N1178" s="3">
        <v>1</v>
      </c>
      <c r="O1178" s="8">
        <f>+Tabla1[[#This Row],[Conversión]]*Tabla1[[#This Row],[Cantidad]]</f>
        <v>3.5</v>
      </c>
      <c r="P1178" s="43">
        <f>Tabla1[[#This Row],[Neto]]-Tabla1[[#This Row],[Costo Venta]]</f>
        <v>88.279121499999988</v>
      </c>
    </row>
    <row r="1179" spans="1:16" x14ac:dyDescent="0.25">
      <c r="A1179" s="48">
        <v>45254</v>
      </c>
      <c r="B1179" s="1" t="s">
        <v>686</v>
      </c>
      <c r="C1179" s="1" t="s">
        <v>214</v>
      </c>
      <c r="D1179" s="1" t="s">
        <v>1136</v>
      </c>
      <c r="E1179" s="1" t="s">
        <v>132</v>
      </c>
      <c r="F1179" s="1" t="s">
        <v>16</v>
      </c>
      <c r="G1179" s="2">
        <v>0.25</v>
      </c>
      <c r="H1179" s="51" t="s">
        <v>1141</v>
      </c>
      <c r="I1179" s="44">
        <f>Tabla1[[#This Row],[Descuento]]+Tabla1[[#This Row],[Neto]]</f>
        <v>12.37</v>
      </c>
      <c r="J1179" s="9">
        <v>0</v>
      </c>
      <c r="K1179" s="9">
        <v>12.37</v>
      </c>
      <c r="L1179" s="9">
        <v>1.7375</v>
      </c>
      <c r="M1179" s="24">
        <f>+Tabla1[[#This Row],[Costo Venta]]/Tabla1[[#This Row],[Cantidad]]</f>
        <v>6.95</v>
      </c>
      <c r="N1179" s="3">
        <v>1</v>
      </c>
      <c r="O1179" s="8">
        <f>+Tabla1[[#This Row],[Conversión]]*Tabla1[[#This Row],[Cantidad]]</f>
        <v>0.25</v>
      </c>
      <c r="P1179" s="43">
        <f>Tabla1[[#This Row],[Neto]]-Tabla1[[#This Row],[Costo Venta]]</f>
        <v>10.632499999999999</v>
      </c>
    </row>
    <row r="1180" spans="1:16" x14ac:dyDescent="0.25">
      <c r="A1180" s="48">
        <v>45306</v>
      </c>
      <c r="B1180" s="1" t="s">
        <v>686</v>
      </c>
      <c r="C1180" s="1" t="s">
        <v>81</v>
      </c>
      <c r="D1180" s="1" t="s">
        <v>1137</v>
      </c>
      <c r="E1180" s="1" t="s">
        <v>67</v>
      </c>
      <c r="F1180" s="1" t="s">
        <v>20</v>
      </c>
      <c r="G1180" s="2">
        <v>1.01</v>
      </c>
      <c r="H1180" s="51" t="s">
        <v>1141</v>
      </c>
      <c r="I1180" s="44">
        <f>Tabla1[[#This Row],[Descuento]]+Tabla1[[#This Row],[Neto]]</f>
        <v>49.971179999999997</v>
      </c>
      <c r="J1180" s="9">
        <v>17.49118</v>
      </c>
      <c r="K1180" s="9">
        <v>32.479999999999997</v>
      </c>
      <c r="L1180" s="9">
        <v>8.2160257899999998</v>
      </c>
      <c r="M1180" s="24">
        <f>+Tabla1[[#This Row],[Costo Venta]]/Tabla1[[#This Row],[Cantidad]]</f>
        <v>8.1346790000000002</v>
      </c>
      <c r="N1180" s="3">
        <v>1</v>
      </c>
      <c r="O1180" s="8">
        <f>+Tabla1[[#This Row],[Conversión]]*Tabla1[[#This Row],[Cantidad]]</f>
        <v>1.01</v>
      </c>
      <c r="P1180" s="43">
        <f>Tabla1[[#This Row],[Neto]]-Tabla1[[#This Row],[Costo Venta]]</f>
        <v>24.263974209999997</v>
      </c>
    </row>
    <row r="1181" spans="1:16" x14ac:dyDescent="0.25">
      <c r="A1181" s="48">
        <v>45306</v>
      </c>
      <c r="B1181" s="1" t="s">
        <v>686</v>
      </c>
      <c r="C1181" s="1" t="s">
        <v>81</v>
      </c>
      <c r="D1181" s="1" t="s">
        <v>858</v>
      </c>
      <c r="E1181" s="1" t="s">
        <v>67</v>
      </c>
      <c r="F1181" s="1" t="s">
        <v>20</v>
      </c>
      <c r="G1181" s="2">
        <v>1.07</v>
      </c>
      <c r="H1181" s="51" t="s">
        <v>1141</v>
      </c>
      <c r="I1181" s="44">
        <f>Tabla1[[#This Row],[Descuento]]+Tabla1[[#This Row],[Neto]]</f>
        <v>52.940259999999995</v>
      </c>
      <c r="J1181" s="9">
        <v>18.530259999999998</v>
      </c>
      <c r="K1181" s="9">
        <v>34.409999999999997</v>
      </c>
      <c r="L1181" s="9">
        <v>8.7041065300000007</v>
      </c>
      <c r="M1181" s="24">
        <f>+Tabla1[[#This Row],[Costo Venta]]/Tabla1[[#This Row],[Cantidad]]</f>
        <v>8.1346790000000002</v>
      </c>
      <c r="N1181" s="3">
        <v>1</v>
      </c>
      <c r="O1181" s="8">
        <f>+Tabla1[[#This Row],[Conversión]]*Tabla1[[#This Row],[Cantidad]]</f>
        <v>1.07</v>
      </c>
      <c r="P1181" s="43">
        <f>Tabla1[[#This Row],[Neto]]-Tabla1[[#This Row],[Costo Venta]]</f>
        <v>25.705893469999996</v>
      </c>
    </row>
    <row r="1182" spans="1:16" x14ac:dyDescent="0.25">
      <c r="A1182" s="48">
        <v>45390</v>
      </c>
      <c r="B1182" s="1" t="s">
        <v>686</v>
      </c>
      <c r="C1182" s="1" t="s">
        <v>65</v>
      </c>
      <c r="D1182" s="1" t="s">
        <v>1138</v>
      </c>
      <c r="E1182" s="1" t="s">
        <v>71</v>
      </c>
      <c r="F1182" s="1" t="s">
        <v>1139</v>
      </c>
      <c r="G1182" s="2">
        <v>0.3</v>
      </c>
      <c r="H1182" s="51" t="s">
        <v>1141</v>
      </c>
      <c r="I1182" s="44">
        <f>Tabla1[[#This Row],[Descuento]]+Tabla1[[#This Row],[Neto]]</f>
        <v>14.8444</v>
      </c>
      <c r="J1182" s="9">
        <v>1.4843999999999999</v>
      </c>
      <c r="K1182" s="9">
        <v>13.36</v>
      </c>
      <c r="L1182" s="9">
        <v>2.0539367999999998</v>
      </c>
      <c r="M1182" s="24">
        <f>+Tabla1[[#This Row],[Costo Venta]]/Tabla1[[#This Row],[Cantidad]]</f>
        <v>6.8464559999999999</v>
      </c>
      <c r="N1182" s="3">
        <v>1</v>
      </c>
      <c r="O1182" s="8">
        <f>+Tabla1[[#This Row],[Conversión]]*Tabla1[[#This Row],[Cantidad]]</f>
        <v>0.3</v>
      </c>
      <c r="P1182" s="43">
        <f>Tabla1[[#This Row],[Neto]]-Tabla1[[#This Row],[Costo Venta]]</f>
        <v>11.306063200000001</v>
      </c>
    </row>
    <row r="1183" spans="1:16" x14ac:dyDescent="0.25">
      <c r="A1183" s="48">
        <v>45461</v>
      </c>
      <c r="B1183" s="1" t="s">
        <v>686</v>
      </c>
      <c r="C1183" s="1" t="s">
        <v>65</v>
      </c>
      <c r="D1183" s="1" t="s">
        <v>318</v>
      </c>
      <c r="E1183" s="1" t="s">
        <v>71</v>
      </c>
      <c r="F1183" s="1" t="s">
        <v>319</v>
      </c>
      <c r="G1183" s="2">
        <v>8.4</v>
      </c>
      <c r="H1183" s="51" t="s">
        <v>1141</v>
      </c>
      <c r="I1183" s="44">
        <f>Tabla1[[#This Row],[Descuento]]+Tabla1[[#This Row],[Neto]]</f>
        <v>415.62959999999998</v>
      </c>
      <c r="J1183" s="9">
        <v>124.6896</v>
      </c>
      <c r="K1183" s="9">
        <v>290.94</v>
      </c>
      <c r="L1183" s="9">
        <v>59.757137999999998</v>
      </c>
      <c r="M1183" s="24">
        <f>+Tabla1[[#This Row],[Costo Venta]]/Tabla1[[#This Row],[Cantidad]]</f>
        <v>7.1139449999999993</v>
      </c>
      <c r="N1183" s="3">
        <v>1</v>
      </c>
      <c r="O1183" s="8">
        <f>+Tabla1[[#This Row],[Conversión]]*Tabla1[[#This Row],[Cantidad]]</f>
        <v>8.4</v>
      </c>
      <c r="P1183" s="43">
        <f>Tabla1[[#This Row],[Neto]]-Tabla1[[#This Row],[Costo Venta]]</f>
        <v>231.182862</v>
      </c>
    </row>
    <row r="1184" spans="1:16" x14ac:dyDescent="0.25">
      <c r="A1184" s="48">
        <v>45628</v>
      </c>
      <c r="B1184" s="1" t="s">
        <v>686</v>
      </c>
      <c r="C1184" s="1" t="s">
        <v>65</v>
      </c>
      <c r="D1184" s="1" t="s">
        <v>546</v>
      </c>
      <c r="E1184" s="1" t="s">
        <v>67</v>
      </c>
      <c r="F1184" s="1" t="s">
        <v>20</v>
      </c>
      <c r="G1184" s="2">
        <v>13.92</v>
      </c>
      <c r="H1184" s="51" t="s">
        <v>1141</v>
      </c>
      <c r="I1184" s="44">
        <f>Tabla1[[#This Row],[Descuento]]+Tabla1[[#This Row],[Neto]]</f>
        <v>688.76271999999994</v>
      </c>
      <c r="J1184" s="9">
        <v>309.94272000000001</v>
      </c>
      <c r="K1184" s="9">
        <v>378.82</v>
      </c>
      <c r="L1184" s="9">
        <v>120.70721039999999</v>
      </c>
      <c r="M1184" s="24">
        <f>+Tabla1[[#This Row],[Costo Venta]]/Tabla1[[#This Row],[Cantidad]]</f>
        <v>8.6714950000000002</v>
      </c>
      <c r="N1184" s="3">
        <v>1</v>
      </c>
      <c r="O1184" s="8">
        <f>+Tabla1[[#This Row],[Conversión]]*Tabla1[[#This Row],[Cantidad]]</f>
        <v>13.92</v>
      </c>
      <c r="P1184" s="43">
        <f>Tabla1[[#This Row],[Neto]]-Tabla1[[#This Row],[Costo Venta]]</f>
        <v>258.11278959999999</v>
      </c>
    </row>
    <row r="1185" spans="1:16" x14ac:dyDescent="0.25">
      <c r="A1185" s="48">
        <v>45724</v>
      </c>
      <c r="B1185" s="1" t="s">
        <v>686</v>
      </c>
      <c r="C1185" s="1" t="s">
        <v>65</v>
      </c>
      <c r="D1185" s="1" t="s">
        <v>658</v>
      </c>
      <c r="E1185" s="1" t="s">
        <v>71</v>
      </c>
      <c r="F1185" s="1" t="s">
        <v>376</v>
      </c>
      <c r="G1185" s="2">
        <v>33.11</v>
      </c>
      <c r="H1185" s="51" t="s">
        <v>1141</v>
      </c>
      <c r="I1185" s="44">
        <f>Tabla1[[#This Row],[Descuento]]+Tabla1[[#This Row],[Neto]]</f>
        <v>1638.2807</v>
      </c>
      <c r="J1185" s="9">
        <v>409.57069999999999</v>
      </c>
      <c r="K1185" s="9">
        <v>1228.71</v>
      </c>
      <c r="L1185" s="9">
        <v>297.18502968000001</v>
      </c>
      <c r="M1185" s="24">
        <f>+Tabla1[[#This Row],[Costo Venta]]/Tabla1[[#This Row],[Cantidad]]</f>
        <v>8.9756879999999999</v>
      </c>
      <c r="N1185" s="3">
        <v>1</v>
      </c>
      <c r="O1185" s="8">
        <f>+Tabla1[[#This Row],[Conversión]]*Tabla1[[#This Row],[Cantidad]]</f>
        <v>33.11</v>
      </c>
      <c r="P1185" s="43">
        <f>Tabla1[[#This Row],[Neto]]-Tabla1[[#This Row],[Costo Venta]]</f>
        <v>931.52497031999997</v>
      </c>
    </row>
    <row r="1186" spans="1:16" x14ac:dyDescent="0.25">
      <c r="A1186" s="48">
        <v>45772</v>
      </c>
      <c r="B1186" s="1" t="s">
        <v>686</v>
      </c>
      <c r="C1186" s="1" t="s">
        <v>65</v>
      </c>
      <c r="D1186" s="1" t="s">
        <v>1143</v>
      </c>
      <c r="E1186" s="1" t="s">
        <v>67</v>
      </c>
      <c r="F1186" s="1" t="s">
        <v>20</v>
      </c>
      <c r="G1186" s="2">
        <v>4.8099999999999996</v>
      </c>
      <c r="H1186" s="51" t="s">
        <v>1141</v>
      </c>
      <c r="I1186" s="44">
        <f>Tabla1[[#This Row],[Descuento]]+Tabla1[[#This Row],[Neto]]</f>
        <v>237.99964</v>
      </c>
      <c r="J1186" s="9">
        <v>71.399640000000005</v>
      </c>
      <c r="K1186" s="9">
        <v>166.6</v>
      </c>
      <c r="L1186" s="9">
        <v>52.002021110000001</v>
      </c>
      <c r="M1186" s="24">
        <f>+Tabla1[[#This Row],[Costo Venta]]/Tabla1[[#This Row],[Cantidad]]</f>
        <v>10.811231000000001</v>
      </c>
      <c r="N1186" s="3">
        <v>1</v>
      </c>
      <c r="O1186" s="8">
        <f>+Tabla1[[#This Row],[Conversión]]*Tabla1[[#This Row],[Cantidad]]</f>
        <v>4.8099999999999996</v>
      </c>
      <c r="P1186" s="43">
        <f>Tabla1[[#This Row],[Neto]]-Tabla1[[#This Row],[Costo Venta]]</f>
        <v>114.59797888999999</v>
      </c>
    </row>
    <row r="1187" spans="1:16" x14ac:dyDescent="0.25">
      <c r="A1187" s="48">
        <v>45776</v>
      </c>
      <c r="B1187" s="1" t="s">
        <v>686</v>
      </c>
      <c r="C1187" s="1" t="s">
        <v>65</v>
      </c>
      <c r="D1187" s="1" t="s">
        <v>1144</v>
      </c>
      <c r="E1187" s="1" t="s">
        <v>67</v>
      </c>
      <c r="F1187" s="1" t="s">
        <v>20</v>
      </c>
      <c r="G1187" s="2">
        <v>0.51</v>
      </c>
      <c r="H1187" s="51" t="s">
        <v>1141</v>
      </c>
      <c r="I1187" s="44">
        <f>Tabla1[[#This Row],[Descuento]]+Tabla1[[#This Row],[Neto]]</f>
        <v>25.230440000000002</v>
      </c>
      <c r="J1187" s="9">
        <v>7.5704399999999996</v>
      </c>
      <c r="K1187" s="9">
        <v>17.66</v>
      </c>
      <c r="L1187" s="9">
        <v>5.5137278099999998</v>
      </c>
      <c r="M1187" s="24">
        <f>+Tabla1[[#This Row],[Costo Venta]]/Tabla1[[#This Row],[Cantidad]]</f>
        <v>10.811230999999999</v>
      </c>
      <c r="N1187" s="3">
        <v>1</v>
      </c>
      <c r="O1187" s="8">
        <f>+Tabla1[[#This Row],[Conversión]]*Tabla1[[#This Row],[Cantidad]]</f>
        <v>0.51</v>
      </c>
      <c r="P1187" s="43">
        <f>Tabla1[[#This Row],[Neto]]-Tabla1[[#This Row],[Costo Venta]]</f>
        <v>12.146272190000001</v>
      </c>
    </row>
    <row r="1188" spans="1:16" x14ac:dyDescent="0.25">
      <c r="A1188" s="48">
        <v>45782</v>
      </c>
      <c r="B1188" s="1" t="s">
        <v>686</v>
      </c>
      <c r="C1188" s="1" t="s">
        <v>65</v>
      </c>
      <c r="D1188" s="1" t="s">
        <v>1140</v>
      </c>
      <c r="E1188" s="1" t="s">
        <v>67</v>
      </c>
      <c r="F1188" s="1" t="s">
        <v>9</v>
      </c>
      <c r="G1188" s="2">
        <v>9.8699999999999992</v>
      </c>
      <c r="H1188" s="51" t="s">
        <v>1141</v>
      </c>
      <c r="I1188" s="44">
        <f>Tabla1[[#This Row],[Descuento]]+Tabla1[[#This Row],[Neto]]</f>
        <v>488.36542000000003</v>
      </c>
      <c r="J1188" s="9">
        <v>219.76542000000001</v>
      </c>
      <c r="K1188" s="9">
        <v>268.60000000000002</v>
      </c>
      <c r="L1188" s="9">
        <v>106.70684996999999</v>
      </c>
      <c r="M1188" s="24">
        <f>+Tabla1[[#This Row],[Costo Venta]]/Tabla1[[#This Row],[Cantidad]]</f>
        <v>10.811230999999999</v>
      </c>
      <c r="N1188" s="3">
        <v>1</v>
      </c>
      <c r="O1188" s="8">
        <f>+Tabla1[[#This Row],[Conversión]]*Tabla1[[#This Row],[Cantidad]]</f>
        <v>9.8699999999999992</v>
      </c>
      <c r="P1188" s="43">
        <f>Tabla1[[#This Row],[Neto]]-Tabla1[[#This Row],[Costo Venta]]</f>
        <v>161.89315003000002</v>
      </c>
    </row>
    <row r="1189" spans="1:16" x14ac:dyDescent="0.25">
      <c r="A1189" s="48">
        <v>45826</v>
      </c>
      <c r="B1189" s="1" t="s">
        <v>686</v>
      </c>
      <c r="C1189" s="1" t="s">
        <v>65</v>
      </c>
      <c r="D1189" s="1" t="s">
        <v>1145</v>
      </c>
      <c r="E1189" s="1" t="s">
        <v>67</v>
      </c>
      <c r="F1189" s="1" t="s">
        <v>20</v>
      </c>
      <c r="G1189" s="2">
        <v>0.76</v>
      </c>
      <c r="H1189" s="51" t="s">
        <v>1141</v>
      </c>
      <c r="I1189" s="44">
        <f>Tabla1[[#This Row],[Descuento]]+Tabla1[[#This Row],[Neto]]</f>
        <v>37.601439999999997</v>
      </c>
      <c r="J1189" s="9">
        <v>11.28144</v>
      </c>
      <c r="K1189" s="9">
        <v>26.32</v>
      </c>
      <c r="L1189" s="9">
        <v>8.26690608</v>
      </c>
      <c r="M1189" s="24">
        <f>+Tabla1[[#This Row],[Costo Venta]]/Tabla1[[#This Row],[Cantidad]]</f>
        <v>10.877508000000001</v>
      </c>
      <c r="N1189" s="3">
        <v>1</v>
      </c>
      <c r="O1189" s="8">
        <f>+Tabla1[[#This Row],[Conversión]]*Tabla1[[#This Row],[Cantidad]]</f>
        <v>0.76</v>
      </c>
      <c r="P1189" s="43">
        <f>Tabla1[[#This Row],[Neto]]-Tabla1[[#This Row],[Costo Venta]]</f>
        <v>18.053093920000002</v>
      </c>
    </row>
    <row r="1190" spans="1:16" x14ac:dyDescent="0.25">
      <c r="A1190" s="48">
        <v>45139</v>
      </c>
      <c r="B1190" s="1" t="s">
        <v>1</v>
      </c>
      <c r="C1190" s="1" t="s">
        <v>81</v>
      </c>
      <c r="D1190" s="1" t="s">
        <v>513</v>
      </c>
      <c r="E1190" s="1" t="s">
        <v>67</v>
      </c>
      <c r="F1190" s="1" t="s">
        <v>9</v>
      </c>
      <c r="G1190" s="2">
        <v>18</v>
      </c>
      <c r="H1190" s="1" t="s">
        <v>1146</v>
      </c>
      <c r="I1190" s="44">
        <f>Tabla1[[#This Row],[Descuento]]+Tabla1[[#This Row],[Neto]]</f>
        <v>270</v>
      </c>
      <c r="J1190" s="9">
        <v>94.5</v>
      </c>
      <c r="K1190" s="9">
        <v>175.5</v>
      </c>
      <c r="L1190" s="9">
        <v>34.210008000000002</v>
      </c>
      <c r="M1190" s="24">
        <f>+Tabla1[[#This Row],[Costo Venta]]/Tabla1[[#This Row],[Cantidad]]</f>
        <v>1.9005560000000001</v>
      </c>
      <c r="N1190" s="3">
        <v>7.0000000000000007E-2</v>
      </c>
      <c r="O1190" s="8">
        <f>+Tabla1[[#This Row],[Conversión]]*Tabla1[[#This Row],[Cantidad]]</f>
        <v>1.2600000000000002</v>
      </c>
      <c r="P1190" s="43">
        <f>Tabla1[[#This Row],[Neto]]-Tabla1[[#This Row],[Costo Venta]]</f>
        <v>141.28999199999998</v>
      </c>
    </row>
    <row r="1191" spans="1:16" x14ac:dyDescent="0.25">
      <c r="A1191" s="48">
        <v>45860</v>
      </c>
      <c r="B1191" s="1" t="s">
        <v>1</v>
      </c>
      <c r="C1191" s="1" t="s">
        <v>65</v>
      </c>
      <c r="D1191" s="1" t="s">
        <v>389</v>
      </c>
      <c r="E1191" s="1" t="s">
        <v>67</v>
      </c>
      <c r="F1191" s="1" t="s">
        <v>42</v>
      </c>
      <c r="G1191" s="2">
        <v>30</v>
      </c>
      <c r="H1191" s="1" t="s">
        <v>1146</v>
      </c>
      <c r="I1191" s="44">
        <f>Tabla1[[#This Row],[Descuento]]+Tabla1[[#This Row],[Neto]]</f>
        <v>476.40000000000003</v>
      </c>
      <c r="J1191" s="9">
        <v>166.74</v>
      </c>
      <c r="K1191" s="9">
        <v>309.66000000000003</v>
      </c>
      <c r="L1191" s="9">
        <v>37.542870000000001</v>
      </c>
      <c r="M1191" s="24">
        <f>+Tabla1[[#This Row],[Costo Venta]]/Tabla1[[#This Row],[Cantidad]]</f>
        <v>1.2514290000000001</v>
      </c>
      <c r="N1191" s="3">
        <v>7.0000000000000007E-2</v>
      </c>
      <c r="O1191" s="8">
        <f>+Tabla1[[#This Row],[Conversión]]*Tabla1[[#This Row],[Cantidad]]</f>
        <v>2.1</v>
      </c>
      <c r="P1191" s="43">
        <f>Tabla1[[#This Row],[Neto]]-Tabla1[[#This Row],[Costo Venta]]</f>
        <v>272.11713000000003</v>
      </c>
    </row>
    <row r="1192" spans="1:16" x14ac:dyDescent="0.25">
      <c r="A1192" s="48">
        <v>45912</v>
      </c>
      <c r="B1192" s="1" t="s">
        <v>1</v>
      </c>
      <c r="C1192" s="1" t="s">
        <v>65</v>
      </c>
      <c r="D1192" s="1" t="s">
        <v>926</v>
      </c>
      <c r="E1192" s="1" t="s">
        <v>67</v>
      </c>
      <c r="F1192" s="1" t="s">
        <v>41</v>
      </c>
      <c r="G1192" s="2">
        <v>24</v>
      </c>
      <c r="H1192" s="1" t="s">
        <v>1146</v>
      </c>
      <c r="I1192" s="44">
        <f>Tabla1[[#This Row],[Descuento]]+Tabla1[[#This Row],[Neto]]</f>
        <v>381.11599999999999</v>
      </c>
      <c r="J1192" s="9">
        <v>114.336</v>
      </c>
      <c r="K1192" s="9">
        <v>266.77999999999997</v>
      </c>
      <c r="L1192" s="9">
        <v>28.536000000000001</v>
      </c>
      <c r="M1192" s="24">
        <f>+Tabla1[[#This Row],[Costo Venta]]/Tabla1[[#This Row],[Cantidad]]</f>
        <v>1.1890000000000001</v>
      </c>
      <c r="N1192" s="3">
        <v>7.0000000000000007E-2</v>
      </c>
      <c r="O1192" s="8">
        <f>+Tabla1[[#This Row],[Conversión]]*Tabla1[[#This Row],[Cantidad]]</f>
        <v>1.6800000000000002</v>
      </c>
      <c r="P1192" s="43">
        <f>Tabla1[[#This Row],[Neto]]-Tabla1[[#This Row],[Costo Venta]]</f>
        <v>238.24399999999997</v>
      </c>
    </row>
    <row r="1193" spans="1:16" x14ac:dyDescent="0.25">
      <c r="A1193" s="48">
        <v>44945</v>
      </c>
      <c r="B1193" s="1" t="s">
        <v>1</v>
      </c>
      <c r="C1193" s="1" t="s">
        <v>109</v>
      </c>
      <c r="D1193" s="1" t="s">
        <v>1147</v>
      </c>
      <c r="E1193" s="1" t="s">
        <v>67</v>
      </c>
      <c r="F1193" s="1" t="s">
        <v>9</v>
      </c>
      <c r="G1193" s="2">
        <v>2</v>
      </c>
      <c r="H1193" s="51" t="s">
        <v>1148</v>
      </c>
      <c r="I1193" s="44">
        <f>Tabla1[[#This Row],[Descuento]]+Tabla1[[#This Row],[Neto]]</f>
        <v>30</v>
      </c>
      <c r="J1193" s="9">
        <v>10.5</v>
      </c>
      <c r="K1193" s="9">
        <v>19.5</v>
      </c>
      <c r="L1193" s="9">
        <v>3.02</v>
      </c>
      <c r="M1193" s="24">
        <f>+Tabla1[[#This Row],[Costo Venta]]/Tabla1[[#This Row],[Cantidad]]</f>
        <v>1.51</v>
      </c>
      <c r="N1193" s="3">
        <v>7.0000000000000007E-2</v>
      </c>
      <c r="O1193" s="8">
        <f>+Tabla1[[#This Row],[Conversión]]*Tabla1[[#This Row],[Cantidad]]</f>
        <v>0.14000000000000001</v>
      </c>
      <c r="P1193" s="43">
        <f>Tabla1[[#This Row],[Neto]]-Tabla1[[#This Row],[Costo Venta]]</f>
        <v>16.48</v>
      </c>
    </row>
    <row r="1194" spans="1:16" x14ac:dyDescent="0.25">
      <c r="A1194" s="48">
        <v>45110</v>
      </c>
      <c r="B1194" s="1" t="s">
        <v>1</v>
      </c>
      <c r="C1194" s="1" t="s">
        <v>81</v>
      </c>
      <c r="D1194" s="1" t="s">
        <v>510</v>
      </c>
      <c r="E1194" s="1" t="s">
        <v>137</v>
      </c>
      <c r="F1194" s="1" t="s">
        <v>18</v>
      </c>
      <c r="G1194" s="2">
        <v>121</v>
      </c>
      <c r="H1194" s="51" t="s">
        <v>1148</v>
      </c>
      <c r="I1194" s="44">
        <f>Tabla1[[#This Row],[Descuento]]+Tabla1[[#This Row],[Neto]]</f>
        <v>1815</v>
      </c>
      <c r="J1194" s="9">
        <v>0</v>
      </c>
      <c r="K1194" s="9">
        <v>1815</v>
      </c>
      <c r="L1194" s="9">
        <v>182.71</v>
      </c>
      <c r="M1194" s="24">
        <f>+Tabla1[[#This Row],[Costo Venta]]/Tabla1[[#This Row],[Cantidad]]</f>
        <v>1.51</v>
      </c>
      <c r="N1194" s="3">
        <v>7.0000000000000007E-2</v>
      </c>
      <c r="O1194" s="8">
        <f>+Tabla1[[#This Row],[Conversión]]*Tabla1[[#This Row],[Cantidad]]</f>
        <v>8.4700000000000006</v>
      </c>
      <c r="P1194" s="43">
        <f>Tabla1[[#This Row],[Neto]]-Tabla1[[#This Row],[Costo Venta]]</f>
        <v>1632.29</v>
      </c>
    </row>
    <row r="1195" spans="1:16" x14ac:dyDescent="0.25">
      <c r="A1195" s="48">
        <v>45118</v>
      </c>
      <c r="B1195" s="1" t="s">
        <v>1</v>
      </c>
      <c r="C1195" s="1" t="s">
        <v>81</v>
      </c>
      <c r="D1195" s="1" t="s">
        <v>585</v>
      </c>
      <c r="E1195" s="1" t="s">
        <v>137</v>
      </c>
      <c r="F1195" s="1" t="s">
        <v>18</v>
      </c>
      <c r="G1195" s="2">
        <v>100</v>
      </c>
      <c r="H1195" s="51" t="s">
        <v>1148</v>
      </c>
      <c r="I1195" s="44">
        <f>Tabla1[[#This Row],[Descuento]]+Tabla1[[#This Row],[Neto]]</f>
        <v>1500</v>
      </c>
      <c r="J1195" s="9">
        <v>0</v>
      </c>
      <c r="K1195" s="9">
        <v>1500</v>
      </c>
      <c r="L1195" s="9">
        <v>117.0746</v>
      </c>
      <c r="M1195" s="24">
        <f>+Tabla1[[#This Row],[Costo Venta]]/Tabla1[[#This Row],[Cantidad]]</f>
        <v>1.1707460000000001</v>
      </c>
      <c r="N1195" s="3">
        <v>7.0000000000000007E-2</v>
      </c>
      <c r="O1195" s="8">
        <f>+Tabla1[[#This Row],[Conversión]]*Tabla1[[#This Row],[Cantidad]]</f>
        <v>7.0000000000000009</v>
      </c>
      <c r="P1195" s="43">
        <f>Tabla1[[#This Row],[Neto]]-Tabla1[[#This Row],[Costo Venta]]</f>
        <v>1382.9254000000001</v>
      </c>
    </row>
    <row r="1196" spans="1:16" x14ac:dyDescent="0.25">
      <c r="A1196" s="48">
        <v>45274</v>
      </c>
      <c r="B1196" s="1" t="s">
        <v>1</v>
      </c>
      <c r="C1196" s="1" t="s">
        <v>81</v>
      </c>
      <c r="D1196" s="1" t="s">
        <v>516</v>
      </c>
      <c r="E1196" s="1" t="s">
        <v>67</v>
      </c>
      <c r="F1196" s="1" t="s">
        <v>9</v>
      </c>
      <c r="G1196" s="2">
        <v>60</v>
      </c>
      <c r="H1196" s="51" t="s">
        <v>1148</v>
      </c>
      <c r="I1196" s="44">
        <f>Tabla1[[#This Row],[Descuento]]+Tabla1[[#This Row],[Neto]]</f>
        <v>952.80000000000007</v>
      </c>
      <c r="J1196" s="9">
        <v>333.48</v>
      </c>
      <c r="K1196" s="9">
        <v>619.32000000000005</v>
      </c>
      <c r="L1196" s="9">
        <v>72.787559999999999</v>
      </c>
      <c r="M1196" s="24">
        <f>+Tabla1[[#This Row],[Costo Venta]]/Tabla1[[#This Row],[Cantidad]]</f>
        <v>1.2131259999999999</v>
      </c>
      <c r="N1196" s="3">
        <v>7.0000000000000007E-2</v>
      </c>
      <c r="O1196" s="8">
        <f>+Tabla1[[#This Row],[Conversión]]*Tabla1[[#This Row],[Cantidad]]</f>
        <v>4.2</v>
      </c>
      <c r="P1196" s="43">
        <f>Tabla1[[#This Row],[Neto]]-Tabla1[[#This Row],[Costo Venta]]</f>
        <v>546.53244000000007</v>
      </c>
    </row>
    <row r="1197" spans="1:16" x14ac:dyDescent="0.25">
      <c r="A1197" s="48">
        <v>45274</v>
      </c>
      <c r="B1197" s="1" t="s">
        <v>1</v>
      </c>
      <c r="C1197" s="1" t="s">
        <v>81</v>
      </c>
      <c r="D1197" s="1" t="s">
        <v>517</v>
      </c>
      <c r="E1197" s="1" t="s">
        <v>67</v>
      </c>
      <c r="F1197" s="1" t="s">
        <v>9</v>
      </c>
      <c r="G1197" s="2">
        <v>9</v>
      </c>
      <c r="H1197" s="51" t="s">
        <v>1148</v>
      </c>
      <c r="I1197" s="44">
        <f>Tabla1[[#This Row],[Descuento]]+Tabla1[[#This Row],[Neto]]</f>
        <v>142.9212</v>
      </c>
      <c r="J1197" s="9">
        <v>51.4512</v>
      </c>
      <c r="K1197" s="9">
        <v>91.47</v>
      </c>
      <c r="L1197" s="9">
        <v>10.918134</v>
      </c>
      <c r="M1197" s="24">
        <f>+Tabla1[[#This Row],[Costo Venta]]/Tabla1[[#This Row],[Cantidad]]</f>
        <v>1.2131259999999999</v>
      </c>
      <c r="N1197" s="3">
        <v>7.0000000000000007E-2</v>
      </c>
      <c r="O1197" s="8">
        <f>+Tabla1[[#This Row],[Conversión]]*Tabla1[[#This Row],[Cantidad]]</f>
        <v>0.63000000000000012</v>
      </c>
      <c r="P1197" s="43">
        <f>Tabla1[[#This Row],[Neto]]-Tabla1[[#This Row],[Costo Venta]]</f>
        <v>80.551866000000004</v>
      </c>
    </row>
    <row r="1198" spans="1:16" x14ac:dyDescent="0.25">
      <c r="A1198" s="48">
        <v>45343</v>
      </c>
      <c r="B1198" s="1" t="s">
        <v>1</v>
      </c>
      <c r="C1198" s="1" t="s">
        <v>81</v>
      </c>
      <c r="D1198" s="1" t="s">
        <v>1149</v>
      </c>
      <c r="E1198" s="1" t="s">
        <v>67</v>
      </c>
      <c r="F1198" s="1" t="s">
        <v>9</v>
      </c>
      <c r="G1198" s="2">
        <v>23</v>
      </c>
      <c r="H1198" s="51" t="s">
        <v>1148</v>
      </c>
      <c r="I1198" s="44">
        <f>Tabla1[[#This Row],[Descuento]]+Tabla1[[#This Row],[Neto]]</f>
        <v>365.24400000000003</v>
      </c>
      <c r="J1198" s="9">
        <v>127.834</v>
      </c>
      <c r="K1198" s="9">
        <v>237.41</v>
      </c>
      <c r="L1198" s="9">
        <v>31.554642999999999</v>
      </c>
      <c r="M1198" s="24">
        <f>+Tabla1[[#This Row],[Costo Venta]]/Tabla1[[#This Row],[Cantidad]]</f>
        <v>1.3719409999999999</v>
      </c>
      <c r="N1198" s="3">
        <v>7.0000000000000007E-2</v>
      </c>
      <c r="O1198" s="8">
        <f>+Tabla1[[#This Row],[Conversión]]*Tabla1[[#This Row],[Cantidad]]</f>
        <v>1.61</v>
      </c>
      <c r="P1198" s="43">
        <f>Tabla1[[#This Row],[Neto]]-Tabla1[[#This Row],[Costo Venta]]</f>
        <v>205.855357</v>
      </c>
    </row>
    <row r="1199" spans="1:16" x14ac:dyDescent="0.25">
      <c r="A1199" s="48">
        <v>45355</v>
      </c>
      <c r="B1199" s="1" t="s">
        <v>1</v>
      </c>
      <c r="C1199" s="1" t="s">
        <v>81</v>
      </c>
      <c r="D1199" s="1" t="s">
        <v>1150</v>
      </c>
      <c r="E1199" s="1" t="s">
        <v>67</v>
      </c>
      <c r="F1199" s="1" t="s">
        <v>9</v>
      </c>
      <c r="G1199" s="2">
        <v>23</v>
      </c>
      <c r="H1199" s="51" t="s">
        <v>1148</v>
      </c>
      <c r="I1199" s="44">
        <f>Tabla1[[#This Row],[Descuento]]+Tabla1[[#This Row],[Neto]]</f>
        <v>365.24400000000003</v>
      </c>
      <c r="J1199" s="9">
        <v>127.834</v>
      </c>
      <c r="K1199" s="9">
        <v>237.41</v>
      </c>
      <c r="L1199" s="9">
        <v>32.982529</v>
      </c>
      <c r="M1199" s="24">
        <f>+Tabla1[[#This Row],[Costo Venta]]/Tabla1[[#This Row],[Cantidad]]</f>
        <v>1.434023</v>
      </c>
      <c r="N1199" s="3">
        <v>7.0000000000000007E-2</v>
      </c>
      <c r="O1199" s="8">
        <f>+Tabla1[[#This Row],[Conversión]]*Tabla1[[#This Row],[Cantidad]]</f>
        <v>1.61</v>
      </c>
      <c r="P1199" s="43">
        <f>Tabla1[[#This Row],[Neto]]-Tabla1[[#This Row],[Costo Venta]]</f>
        <v>204.427471</v>
      </c>
    </row>
    <row r="1200" spans="1:16" x14ac:dyDescent="0.25">
      <c r="A1200" s="48">
        <v>45363</v>
      </c>
      <c r="B1200" s="1" t="s">
        <v>1</v>
      </c>
      <c r="C1200" s="1" t="s">
        <v>81</v>
      </c>
      <c r="D1200" s="1" t="s">
        <v>518</v>
      </c>
      <c r="E1200" s="1" t="s">
        <v>71</v>
      </c>
      <c r="F1200" s="1" t="s">
        <v>35</v>
      </c>
      <c r="G1200" s="2">
        <v>18</v>
      </c>
      <c r="H1200" s="51" t="s">
        <v>1148</v>
      </c>
      <c r="I1200" s="44">
        <f>Tabla1[[#This Row],[Descuento]]+Tabla1[[#This Row],[Neto]]</f>
        <v>285.84039999999999</v>
      </c>
      <c r="J1200" s="9">
        <v>88.610399999999998</v>
      </c>
      <c r="K1200" s="9">
        <v>197.23</v>
      </c>
      <c r="L1200" s="9">
        <v>26.534790000000001</v>
      </c>
      <c r="M1200" s="24">
        <f>+Tabla1[[#This Row],[Costo Venta]]/Tabla1[[#This Row],[Cantidad]]</f>
        <v>1.4741550000000001</v>
      </c>
      <c r="N1200" s="3">
        <v>7.0000000000000007E-2</v>
      </c>
      <c r="O1200" s="8">
        <f>+Tabla1[[#This Row],[Conversión]]*Tabla1[[#This Row],[Cantidad]]</f>
        <v>1.2600000000000002</v>
      </c>
      <c r="P1200" s="43">
        <f>Tabla1[[#This Row],[Neto]]-Tabla1[[#This Row],[Costo Venta]]</f>
        <v>170.69520999999997</v>
      </c>
    </row>
    <row r="1201" spans="1:16" x14ac:dyDescent="0.25">
      <c r="A1201" s="48">
        <v>45061</v>
      </c>
      <c r="B1201" s="1" t="s">
        <v>1</v>
      </c>
      <c r="C1201" s="1" t="s">
        <v>109</v>
      </c>
      <c r="D1201" s="1" t="s">
        <v>1151</v>
      </c>
      <c r="E1201" s="1" t="s">
        <v>67</v>
      </c>
      <c r="F1201" s="1" t="s">
        <v>9</v>
      </c>
      <c r="G1201" s="2">
        <v>34</v>
      </c>
      <c r="H1201" s="1" t="s">
        <v>1152</v>
      </c>
      <c r="I1201" s="52">
        <f>Tabla1[[#This Row],[Descuento]]+Tabla1[[#This Row],[Neto]]</f>
        <v>510</v>
      </c>
      <c r="J1201" s="9">
        <v>178.5</v>
      </c>
      <c r="K1201" s="9">
        <v>331.5</v>
      </c>
      <c r="L1201" s="9">
        <v>46.758091999999998</v>
      </c>
      <c r="M1201" s="24">
        <f>+Tabla1[[#This Row],[Costo Venta]]/Tabla1[[#This Row],[Cantidad]]</f>
        <v>1.375238</v>
      </c>
      <c r="N1201" s="3">
        <v>7.0000000000000007E-2</v>
      </c>
      <c r="O1201" s="8">
        <f>+Tabla1[[#This Row],[Conversión]]*Tabla1[[#This Row],[Cantidad]]</f>
        <v>2.3800000000000003</v>
      </c>
      <c r="P1201" s="43">
        <f>Tabla1[[#This Row],[Neto]]-Tabla1[[#This Row],[Costo Venta]]</f>
        <v>284.74190800000002</v>
      </c>
    </row>
    <row r="1202" spans="1:16" x14ac:dyDescent="0.25">
      <c r="A1202" s="48">
        <v>45029</v>
      </c>
      <c r="B1202" s="1" t="s">
        <v>1</v>
      </c>
      <c r="C1202" s="1" t="s">
        <v>109</v>
      </c>
      <c r="D1202" s="1" t="s">
        <v>1153</v>
      </c>
      <c r="E1202" s="1" t="s">
        <v>67</v>
      </c>
      <c r="F1202" s="1" t="s">
        <v>9</v>
      </c>
      <c r="G1202" s="2">
        <v>12</v>
      </c>
      <c r="H1202" s="51" t="s">
        <v>1154</v>
      </c>
      <c r="I1202" s="44">
        <f>Tabla1[[#This Row],[Descuento]]+Tabla1[[#This Row],[Neto]]</f>
        <v>180</v>
      </c>
      <c r="J1202" s="9">
        <v>63</v>
      </c>
      <c r="K1202" s="9">
        <v>117</v>
      </c>
      <c r="L1202" s="9">
        <v>10.383528</v>
      </c>
      <c r="M1202" s="24">
        <f>+Tabla1[[#This Row],[Costo Venta]]/Tabla1[[#This Row],[Cantidad]]</f>
        <v>0.86529400000000001</v>
      </c>
      <c r="N1202" s="3">
        <v>7.0000000000000007E-2</v>
      </c>
      <c r="O1202" s="8">
        <f>+Tabla1[[#This Row],[Conversión]]*Tabla1[[#This Row],[Cantidad]]</f>
        <v>0.84000000000000008</v>
      </c>
      <c r="P1202" s="43">
        <f>Tabla1[[#This Row],[Neto]]-Tabla1[[#This Row],[Costo Venta]]</f>
        <v>106.616472</v>
      </c>
    </row>
    <row r="1203" spans="1:16" x14ac:dyDescent="0.25">
      <c r="A1203" s="48">
        <v>45029</v>
      </c>
      <c r="B1203" s="1" t="s">
        <v>1</v>
      </c>
      <c r="C1203" s="1" t="s">
        <v>109</v>
      </c>
      <c r="D1203" s="1" t="s">
        <v>1155</v>
      </c>
      <c r="E1203" s="1" t="s">
        <v>67</v>
      </c>
      <c r="F1203" s="1" t="s">
        <v>9</v>
      </c>
      <c r="G1203" s="2">
        <v>12</v>
      </c>
      <c r="H1203" s="51" t="s">
        <v>1154</v>
      </c>
      <c r="I1203" s="44">
        <f>Tabla1[[#This Row],[Descuento]]+Tabla1[[#This Row],[Neto]]</f>
        <v>180</v>
      </c>
      <c r="J1203" s="9">
        <v>63</v>
      </c>
      <c r="K1203" s="9">
        <v>117</v>
      </c>
      <c r="L1203" s="9">
        <v>10.383528</v>
      </c>
      <c r="M1203" s="24">
        <f>+Tabla1[[#This Row],[Costo Venta]]/Tabla1[[#This Row],[Cantidad]]</f>
        <v>0.86529400000000001</v>
      </c>
      <c r="N1203" s="3">
        <v>7.0000000000000007E-2</v>
      </c>
      <c r="O1203" s="8">
        <f>+Tabla1[[#This Row],[Conversión]]*Tabla1[[#This Row],[Cantidad]]</f>
        <v>0.84000000000000008</v>
      </c>
      <c r="P1203" s="43">
        <f>Tabla1[[#This Row],[Neto]]-Tabla1[[#This Row],[Costo Venta]]</f>
        <v>106.616472</v>
      </c>
    </row>
    <row r="1204" spans="1:16" x14ac:dyDescent="0.25">
      <c r="A1204" s="48">
        <v>45029</v>
      </c>
      <c r="B1204" s="1" t="s">
        <v>1</v>
      </c>
      <c r="C1204" s="1" t="s">
        <v>109</v>
      </c>
      <c r="D1204" s="1" t="s">
        <v>1156</v>
      </c>
      <c r="E1204" s="1" t="s">
        <v>67</v>
      </c>
      <c r="F1204" s="1" t="s">
        <v>9</v>
      </c>
      <c r="G1204" s="2">
        <v>18</v>
      </c>
      <c r="H1204" s="51" t="s">
        <v>1154</v>
      </c>
      <c r="I1204" s="44">
        <f>Tabla1[[#This Row],[Descuento]]+Tabla1[[#This Row],[Neto]]</f>
        <v>270</v>
      </c>
      <c r="J1204" s="9">
        <v>94.5</v>
      </c>
      <c r="K1204" s="9">
        <v>175.5</v>
      </c>
      <c r="L1204" s="9">
        <v>15.575291999999999</v>
      </c>
      <c r="M1204" s="24">
        <f>+Tabla1[[#This Row],[Costo Venta]]/Tabla1[[#This Row],[Cantidad]]</f>
        <v>0.86529400000000001</v>
      </c>
      <c r="N1204" s="3">
        <v>7.0000000000000007E-2</v>
      </c>
      <c r="O1204" s="8">
        <f>+Tabla1[[#This Row],[Conversión]]*Tabla1[[#This Row],[Cantidad]]</f>
        <v>1.2600000000000002</v>
      </c>
      <c r="P1204" s="43">
        <f>Tabla1[[#This Row],[Neto]]-Tabla1[[#This Row],[Costo Venta]]</f>
        <v>159.92470800000001</v>
      </c>
    </row>
    <row r="1205" spans="1:16" x14ac:dyDescent="0.25">
      <c r="A1205" s="48">
        <v>45434</v>
      </c>
      <c r="B1205" s="1" t="s">
        <v>1</v>
      </c>
      <c r="C1205" s="1" t="s">
        <v>81</v>
      </c>
      <c r="D1205" s="1" t="s">
        <v>1157</v>
      </c>
      <c r="E1205" s="1" t="s">
        <v>67</v>
      </c>
      <c r="F1205" s="1" t="s">
        <v>9</v>
      </c>
      <c r="G1205" s="2">
        <v>26</v>
      </c>
      <c r="H1205" s="51" t="s">
        <v>1154</v>
      </c>
      <c r="I1205" s="44">
        <f>Tabla1[[#This Row],[Descuento]]+Tabla1[[#This Row],[Neto]]</f>
        <v>412.87800000000004</v>
      </c>
      <c r="J1205" s="9">
        <v>144.50800000000001</v>
      </c>
      <c r="K1205" s="9">
        <v>268.37</v>
      </c>
      <c r="L1205" s="9">
        <v>21.553349999999998</v>
      </c>
      <c r="M1205" s="24">
        <f>+Tabla1[[#This Row],[Costo Venta]]/Tabla1[[#This Row],[Cantidad]]</f>
        <v>0.82897499999999991</v>
      </c>
      <c r="N1205" s="3">
        <v>7.0000000000000007E-2</v>
      </c>
      <c r="O1205" s="8">
        <f>+Tabla1[[#This Row],[Conversión]]*Tabla1[[#This Row],[Cantidad]]</f>
        <v>1.8200000000000003</v>
      </c>
      <c r="P1205" s="43">
        <f>Tabla1[[#This Row],[Neto]]-Tabla1[[#This Row],[Costo Venta]]</f>
        <v>246.81665000000001</v>
      </c>
    </row>
    <row r="1206" spans="1:16" x14ac:dyDescent="0.25">
      <c r="A1206" s="48">
        <v>45448</v>
      </c>
      <c r="B1206" s="1" t="s">
        <v>1</v>
      </c>
      <c r="C1206" s="1" t="s">
        <v>81</v>
      </c>
      <c r="D1206" s="1" t="s">
        <v>538</v>
      </c>
      <c r="E1206" s="1" t="s">
        <v>67</v>
      </c>
      <c r="F1206" s="1" t="s">
        <v>9</v>
      </c>
      <c r="G1206" s="2">
        <v>41</v>
      </c>
      <c r="H1206" s="51" t="s">
        <v>1154</v>
      </c>
      <c r="I1206" s="44">
        <f>Tabla1[[#This Row],[Descuento]]+Tabla1[[#This Row],[Neto]]</f>
        <v>651.07799999999997</v>
      </c>
      <c r="J1206" s="9">
        <v>227.87799999999999</v>
      </c>
      <c r="K1206" s="9">
        <v>423.2</v>
      </c>
      <c r="L1206" s="9">
        <v>34.229013999999999</v>
      </c>
      <c r="M1206" s="24">
        <f>+Tabla1[[#This Row],[Costo Venta]]/Tabla1[[#This Row],[Cantidad]]</f>
        <v>0.83485399999999998</v>
      </c>
      <c r="N1206" s="3">
        <v>7.0000000000000007E-2</v>
      </c>
      <c r="O1206" s="8">
        <f>+Tabla1[[#This Row],[Conversión]]*Tabla1[[#This Row],[Cantidad]]</f>
        <v>2.87</v>
      </c>
      <c r="P1206" s="43">
        <f>Tabla1[[#This Row],[Neto]]-Tabla1[[#This Row],[Costo Venta]]</f>
        <v>388.97098599999998</v>
      </c>
    </row>
    <row r="1207" spans="1:16" x14ac:dyDescent="0.25">
      <c r="A1207" s="48">
        <v>45698</v>
      </c>
      <c r="B1207" s="1" t="s">
        <v>1</v>
      </c>
      <c r="C1207" s="1" t="s">
        <v>65</v>
      </c>
      <c r="D1207" s="1" t="s">
        <v>547</v>
      </c>
      <c r="E1207" s="1" t="s">
        <v>67</v>
      </c>
      <c r="F1207" s="1" t="s">
        <v>9</v>
      </c>
      <c r="G1207" s="2">
        <v>10</v>
      </c>
      <c r="H1207" s="51" t="s">
        <v>1154</v>
      </c>
      <c r="I1207" s="44">
        <f>Tabla1[[#This Row],[Descuento]]+Tabla1[[#This Row],[Neto]]</f>
        <v>158.80000000000001</v>
      </c>
      <c r="J1207" s="9">
        <v>71.459999999999994</v>
      </c>
      <c r="K1207" s="9">
        <v>87.34</v>
      </c>
      <c r="L1207" s="9">
        <v>8.3414099999999998</v>
      </c>
      <c r="M1207" s="24">
        <f>+Tabla1[[#This Row],[Costo Venta]]/Tabla1[[#This Row],[Cantidad]]</f>
        <v>0.83414100000000002</v>
      </c>
      <c r="N1207" s="3">
        <v>7.0000000000000007E-2</v>
      </c>
      <c r="O1207" s="8">
        <f>+Tabla1[[#This Row],[Conversión]]*Tabla1[[#This Row],[Cantidad]]</f>
        <v>0.70000000000000007</v>
      </c>
      <c r="P1207" s="43">
        <f>Tabla1[[#This Row],[Neto]]-Tabla1[[#This Row],[Costo Venta]]</f>
        <v>78.998590000000007</v>
      </c>
    </row>
    <row r="1208" spans="1:16" x14ac:dyDescent="0.25">
      <c r="A1208" s="48">
        <v>45908</v>
      </c>
      <c r="B1208" s="1" t="s">
        <v>1</v>
      </c>
      <c r="C1208" s="1" t="s">
        <v>65</v>
      </c>
      <c r="D1208" s="1" t="s">
        <v>552</v>
      </c>
      <c r="E1208" s="1" t="s">
        <v>67</v>
      </c>
      <c r="F1208" s="1" t="s">
        <v>9</v>
      </c>
      <c r="G1208" s="2">
        <v>46</v>
      </c>
      <c r="H1208" s="51" t="s">
        <v>1154</v>
      </c>
      <c r="I1208" s="44">
        <f>Tabla1[[#This Row],[Descuento]]+Tabla1[[#This Row],[Neto]]</f>
        <v>730.476</v>
      </c>
      <c r="J1208" s="9">
        <v>328.71600000000001</v>
      </c>
      <c r="K1208" s="9">
        <v>401.76</v>
      </c>
      <c r="L1208" s="9">
        <v>38.066518000000002</v>
      </c>
      <c r="M1208" s="24">
        <f>+Tabla1[[#This Row],[Costo Venta]]/Tabla1[[#This Row],[Cantidad]]</f>
        <v>0.82753300000000007</v>
      </c>
      <c r="N1208" s="3">
        <v>7.0000000000000007E-2</v>
      </c>
      <c r="O1208" s="8">
        <f>+Tabla1[[#This Row],[Conversión]]*Tabla1[[#This Row],[Cantidad]]</f>
        <v>3.22</v>
      </c>
      <c r="P1208" s="43">
        <f>Tabla1[[#This Row],[Neto]]-Tabla1[[#This Row],[Costo Venta]]</f>
        <v>363.69348200000002</v>
      </c>
    </row>
    <row r="1209" spans="1:16" x14ac:dyDescent="0.25">
      <c r="A1209" s="48">
        <v>45419</v>
      </c>
      <c r="B1209" s="1" t="s">
        <v>1</v>
      </c>
      <c r="C1209" s="1" t="s">
        <v>81</v>
      </c>
      <c r="D1209" s="1" t="s">
        <v>310</v>
      </c>
      <c r="E1209" s="1" t="s">
        <v>71</v>
      </c>
      <c r="F1209" s="1" t="s">
        <v>31</v>
      </c>
      <c r="G1209" s="2">
        <v>90</v>
      </c>
      <c r="H1209" s="1" t="s">
        <v>1158</v>
      </c>
      <c r="I1209" s="44">
        <f>Tabla1[[#This Row],[Descuento]]+Tabla1[[#This Row],[Neto]]</f>
        <v>1789.2</v>
      </c>
      <c r="J1209" s="9">
        <v>626.22</v>
      </c>
      <c r="K1209" s="9">
        <v>1162.98</v>
      </c>
      <c r="L1209" s="9">
        <v>87.66</v>
      </c>
      <c r="M1209" s="24">
        <f>+Tabla1[[#This Row],[Costo Venta]]/Tabla1[[#This Row],[Cantidad]]</f>
        <v>0.97399999999999998</v>
      </c>
      <c r="N1209" s="3">
        <v>0.125</v>
      </c>
      <c r="O1209" s="8">
        <f>+Tabla1[[#This Row],[Conversión]]*Tabla1[[#This Row],[Cantidad]]</f>
        <v>11.25</v>
      </c>
      <c r="P1209" s="43">
        <f>Tabla1[[#This Row],[Neto]]-Tabla1[[#This Row],[Costo Venta]]</f>
        <v>1075.32</v>
      </c>
    </row>
    <row r="1210" spans="1:16" x14ac:dyDescent="0.25">
      <c r="A1210" s="48">
        <v>45425</v>
      </c>
      <c r="B1210" s="1" t="s">
        <v>1</v>
      </c>
      <c r="C1210" s="1" t="s">
        <v>81</v>
      </c>
      <c r="D1210" s="1" t="s">
        <v>1159</v>
      </c>
      <c r="E1210" s="1" t="s">
        <v>71</v>
      </c>
      <c r="F1210" s="1" t="s">
        <v>31</v>
      </c>
      <c r="G1210" s="2">
        <v>2</v>
      </c>
      <c r="H1210" s="1" t="s">
        <v>1158</v>
      </c>
      <c r="I1210" s="44">
        <f>Tabla1[[#This Row],[Descuento]]+Tabla1[[#This Row],[Neto]]</f>
        <v>39.756</v>
      </c>
      <c r="J1210" s="9">
        <v>13.916</v>
      </c>
      <c r="K1210" s="9">
        <v>25.84</v>
      </c>
      <c r="L1210" s="9">
        <v>2.1859999999999999</v>
      </c>
      <c r="M1210" s="24">
        <f>+Tabla1[[#This Row],[Costo Venta]]/Tabla1[[#This Row],[Cantidad]]</f>
        <v>1.093</v>
      </c>
      <c r="N1210" s="3">
        <v>0.125</v>
      </c>
      <c r="O1210" s="8">
        <f>+Tabla1[[#This Row],[Conversión]]*Tabla1[[#This Row],[Cantidad]]</f>
        <v>0.25</v>
      </c>
      <c r="P1210" s="43">
        <f>Tabla1[[#This Row],[Neto]]-Tabla1[[#This Row],[Costo Venta]]</f>
        <v>23.654</v>
      </c>
    </row>
    <row r="1211" spans="1:16" x14ac:dyDescent="0.25">
      <c r="A1211" s="48">
        <v>45245</v>
      </c>
      <c r="B1211" s="1" t="s">
        <v>1</v>
      </c>
      <c r="C1211" s="1" t="s">
        <v>214</v>
      </c>
      <c r="D1211" s="1" t="s">
        <v>1160</v>
      </c>
      <c r="E1211" s="1" t="s">
        <v>71</v>
      </c>
      <c r="F1211" s="1" t="s">
        <v>22</v>
      </c>
      <c r="G1211" s="2">
        <v>6</v>
      </c>
      <c r="H1211" s="1" t="s">
        <v>1161</v>
      </c>
      <c r="I1211" s="44">
        <f>Tabla1[[#This Row],[Descuento]]+Tabla1[[#This Row],[Neto]]</f>
        <v>119.28</v>
      </c>
      <c r="J1211" s="9">
        <v>0</v>
      </c>
      <c r="K1211" s="9">
        <v>119.28</v>
      </c>
      <c r="L1211" s="9">
        <v>7.8</v>
      </c>
      <c r="M1211" s="24">
        <f>+Tabla1[[#This Row],[Costo Venta]]/Tabla1[[#This Row],[Cantidad]]</f>
        <v>1.3</v>
      </c>
      <c r="N1211" s="3">
        <v>0.125</v>
      </c>
      <c r="O1211" s="8">
        <f>+Tabla1[[#This Row],[Conversión]]*Tabla1[[#This Row],[Cantidad]]</f>
        <v>0.75</v>
      </c>
      <c r="P1211" s="43">
        <f>Tabla1[[#This Row],[Neto]]-Tabla1[[#This Row],[Costo Venta]]</f>
        <v>111.48</v>
      </c>
    </row>
    <row r="1212" spans="1:16" x14ac:dyDescent="0.25">
      <c r="A1212" s="48">
        <v>45393</v>
      </c>
      <c r="B1212" s="1" t="s">
        <v>1</v>
      </c>
      <c r="C1212" s="1" t="s">
        <v>29</v>
      </c>
      <c r="D1212" s="1" t="s">
        <v>587</v>
      </c>
      <c r="E1212" s="1" t="s">
        <v>67</v>
      </c>
      <c r="F1212" s="1" t="s">
        <v>9</v>
      </c>
      <c r="G1212" s="2">
        <v>174</v>
      </c>
      <c r="H1212" s="1" t="s">
        <v>1161</v>
      </c>
      <c r="I1212" s="44">
        <f>Tabla1[[#This Row],[Descuento]]+Tabla1[[#This Row],[Neto]]</f>
        <v>3459.1219999999998</v>
      </c>
      <c r="J1212" s="9">
        <v>1210.692</v>
      </c>
      <c r="K1212" s="9">
        <v>2248.4299999999998</v>
      </c>
      <c r="L1212" s="9">
        <v>216.08450999999999</v>
      </c>
      <c r="M1212" s="24">
        <f>+Tabla1[[#This Row],[Costo Venta]]/Tabla1[[#This Row],[Cantidad]]</f>
        <v>1.241865</v>
      </c>
      <c r="N1212" s="3">
        <v>0.125</v>
      </c>
      <c r="O1212" s="8">
        <f>+Tabla1[[#This Row],[Conversión]]*Tabla1[[#This Row],[Cantidad]]</f>
        <v>21.75</v>
      </c>
      <c r="P1212" s="43">
        <f>Tabla1[[#This Row],[Neto]]-Tabla1[[#This Row],[Costo Venta]]</f>
        <v>2032.3454899999999</v>
      </c>
    </row>
    <row r="1213" spans="1:16" x14ac:dyDescent="0.25">
      <c r="A1213" s="48">
        <v>45628</v>
      </c>
      <c r="B1213" s="1" t="s">
        <v>1</v>
      </c>
      <c r="C1213" s="1" t="s">
        <v>65</v>
      </c>
      <c r="D1213" s="1" t="s">
        <v>546</v>
      </c>
      <c r="E1213" s="1" t="s">
        <v>67</v>
      </c>
      <c r="F1213" s="1" t="s">
        <v>20</v>
      </c>
      <c r="G1213" s="2">
        <v>70</v>
      </c>
      <c r="H1213" s="1" t="s">
        <v>1162</v>
      </c>
      <c r="I1213" s="44">
        <f>Tabla1[[#This Row],[Descuento]]+Tabla1[[#This Row],[Neto]]</f>
        <v>1391.6</v>
      </c>
      <c r="J1213" s="9">
        <v>626.22</v>
      </c>
      <c r="K1213" s="9">
        <v>765.38</v>
      </c>
      <c r="L1213" s="9">
        <v>361.93612000000002</v>
      </c>
      <c r="M1213" s="24">
        <f>+Tabla1[[#This Row],[Costo Venta]]/Tabla1[[#This Row],[Cantidad]]</f>
        <v>5.1705160000000001</v>
      </c>
      <c r="N1213" s="3">
        <v>0.125</v>
      </c>
      <c r="O1213" s="8">
        <f>+Tabla1[[#This Row],[Conversión]]*Tabla1[[#This Row],[Cantidad]]</f>
        <v>8.75</v>
      </c>
      <c r="P1213" s="43">
        <f>Tabla1[[#This Row],[Neto]]-Tabla1[[#This Row],[Costo Venta]]</f>
        <v>403.44387999999998</v>
      </c>
    </row>
    <row r="1214" spans="1:16" x14ac:dyDescent="0.25">
      <c r="A1214" s="48">
        <v>45825</v>
      </c>
      <c r="B1214" s="1" t="s">
        <v>1</v>
      </c>
      <c r="C1214" s="1" t="s">
        <v>65</v>
      </c>
      <c r="D1214" s="1" t="s">
        <v>1163</v>
      </c>
      <c r="E1214" s="1" t="s">
        <v>67</v>
      </c>
      <c r="F1214" s="1" t="s">
        <v>44</v>
      </c>
      <c r="G1214" s="2">
        <v>1</v>
      </c>
      <c r="H1214" s="1" t="s">
        <v>1162</v>
      </c>
      <c r="I1214" s="44">
        <f>Tabla1[[#This Row],[Descuento]]+Tabla1[[#This Row],[Neto]]</f>
        <v>19.878</v>
      </c>
      <c r="J1214" s="9">
        <v>6.9580000000000002</v>
      </c>
      <c r="K1214" s="9">
        <v>12.92</v>
      </c>
      <c r="L1214" s="9">
        <v>4.8583869999999996</v>
      </c>
      <c r="M1214" s="24">
        <f>+Tabla1[[#This Row],[Costo Venta]]/Tabla1[[#This Row],[Cantidad]]</f>
        <v>4.8583869999999996</v>
      </c>
      <c r="N1214" s="3">
        <v>0.125</v>
      </c>
      <c r="O1214" s="8">
        <f>+Tabla1[[#This Row],[Conversión]]*Tabla1[[#This Row],[Cantidad]]</f>
        <v>0.125</v>
      </c>
      <c r="P1214" s="43">
        <f>Tabla1[[#This Row],[Neto]]-Tabla1[[#This Row],[Costo Venta]]</f>
        <v>8.0616130000000013</v>
      </c>
    </row>
    <row r="1215" spans="1:16" x14ac:dyDescent="0.25">
      <c r="A1215" s="48">
        <v>44987</v>
      </c>
      <c r="B1215" s="1" t="s">
        <v>481</v>
      </c>
      <c r="C1215" s="1" t="s">
        <v>109</v>
      </c>
      <c r="D1215" s="1" t="s">
        <v>1164</v>
      </c>
      <c r="E1215" s="1" t="s">
        <v>132</v>
      </c>
      <c r="F1215" s="1" t="s">
        <v>795</v>
      </c>
      <c r="G1215" s="2">
        <v>1</v>
      </c>
      <c r="H1215" s="1" t="s">
        <v>1165</v>
      </c>
      <c r="I1215" s="44">
        <f>Tabla1[[#This Row],[Descuento]]+Tabla1[[#This Row],[Neto]]</f>
        <v>13</v>
      </c>
      <c r="J1215" s="9">
        <v>0</v>
      </c>
      <c r="K1215" s="9">
        <v>13</v>
      </c>
      <c r="L1215" s="9">
        <v>0</v>
      </c>
      <c r="M1215" s="24">
        <f>+Tabla1[[#This Row],[Costo Venta]]/Tabla1[[#This Row],[Cantidad]]</f>
        <v>0</v>
      </c>
      <c r="N1215" s="3">
        <v>1</v>
      </c>
      <c r="O1215" s="8">
        <f>+Tabla1[[#This Row],[Conversión]]*Tabla1[[#This Row],[Cantidad]]</f>
        <v>1</v>
      </c>
      <c r="P1215" s="43">
        <f>Tabla1[[#This Row],[Neto]]-Tabla1[[#This Row],[Costo Venta]]</f>
        <v>13</v>
      </c>
    </row>
    <row r="1216" spans="1:16" x14ac:dyDescent="0.25">
      <c r="A1216" s="48">
        <v>44980</v>
      </c>
      <c r="B1216" s="1" t="s">
        <v>1166</v>
      </c>
      <c r="C1216" s="1" t="s">
        <v>143</v>
      </c>
      <c r="D1216" s="1" t="s">
        <v>1167</v>
      </c>
      <c r="E1216" s="1" t="s">
        <v>71</v>
      </c>
      <c r="F1216" s="1" t="s">
        <v>1168</v>
      </c>
      <c r="G1216" s="2">
        <v>50</v>
      </c>
      <c r="H1216" s="1" t="s">
        <v>1169</v>
      </c>
      <c r="I1216" s="44">
        <f>Tabla1[[#This Row],[Descuento]]+Tabla1[[#This Row],[Neto]]</f>
        <v>44.64</v>
      </c>
      <c r="J1216" s="9">
        <v>0</v>
      </c>
      <c r="K1216" s="9">
        <v>44.64</v>
      </c>
      <c r="L1216" s="9">
        <v>0.5</v>
      </c>
      <c r="M1216" s="24">
        <f>+Tabla1[[#This Row],[Costo Venta]]/Tabla1[[#This Row],[Cantidad]]</f>
        <v>0.01</v>
      </c>
      <c r="N1216" s="3">
        <v>1</v>
      </c>
      <c r="O1216" s="8">
        <f>+Tabla1[[#This Row],[Conversión]]*Tabla1[[#This Row],[Cantidad]]</f>
        <v>50</v>
      </c>
      <c r="P1216" s="43">
        <f>Tabla1[[#This Row],[Neto]]-Tabla1[[#This Row],[Costo Venta]]</f>
        <v>44.14</v>
      </c>
    </row>
    <row r="1217" spans="1:16" x14ac:dyDescent="0.25">
      <c r="A1217" s="48">
        <v>44980</v>
      </c>
      <c r="B1217" s="1" t="s">
        <v>1166</v>
      </c>
      <c r="C1217" s="1" t="s">
        <v>143</v>
      </c>
      <c r="D1217" s="1" t="s">
        <v>1170</v>
      </c>
      <c r="E1217" s="1" t="s">
        <v>71</v>
      </c>
      <c r="F1217" s="1" t="s">
        <v>1168</v>
      </c>
      <c r="G1217" s="2">
        <v>80</v>
      </c>
      <c r="H1217" s="1" t="s">
        <v>1169</v>
      </c>
      <c r="I1217" s="44">
        <f>Tabla1[[#This Row],[Descuento]]+Tabla1[[#This Row],[Neto]]</f>
        <v>71.430000000000007</v>
      </c>
      <c r="J1217" s="9">
        <v>0</v>
      </c>
      <c r="K1217" s="9">
        <v>71.430000000000007</v>
      </c>
      <c r="L1217" s="9">
        <v>0.8</v>
      </c>
      <c r="M1217" s="24">
        <f>+Tabla1[[#This Row],[Costo Venta]]/Tabla1[[#This Row],[Cantidad]]</f>
        <v>0.01</v>
      </c>
      <c r="N1217" s="3">
        <v>1</v>
      </c>
      <c r="O1217" s="8">
        <f>+Tabla1[[#This Row],[Conversión]]*Tabla1[[#This Row],[Cantidad]]</f>
        <v>80</v>
      </c>
      <c r="P1217" s="43">
        <f>Tabla1[[#This Row],[Neto]]-Tabla1[[#This Row],[Costo Venta]]</f>
        <v>70.63000000000001</v>
      </c>
    </row>
    <row r="1218" spans="1:16" x14ac:dyDescent="0.25">
      <c r="A1218" s="48">
        <v>44981</v>
      </c>
      <c r="B1218" s="1" t="s">
        <v>1166</v>
      </c>
      <c r="C1218" s="1" t="s">
        <v>143</v>
      </c>
      <c r="D1218" s="1" t="s">
        <v>1171</v>
      </c>
      <c r="E1218" s="1" t="s">
        <v>71</v>
      </c>
      <c r="F1218" s="1" t="s">
        <v>1172</v>
      </c>
      <c r="G1218" s="2">
        <v>200</v>
      </c>
      <c r="H1218" s="1" t="s">
        <v>1169</v>
      </c>
      <c r="I1218" s="44">
        <f>Tabla1[[#This Row],[Descuento]]+Tabla1[[#This Row],[Neto]]</f>
        <v>178.57</v>
      </c>
      <c r="J1218" s="9">
        <v>0</v>
      </c>
      <c r="K1218" s="9">
        <v>178.57</v>
      </c>
      <c r="L1218" s="9">
        <v>2</v>
      </c>
      <c r="M1218" s="24">
        <f>+Tabla1[[#This Row],[Costo Venta]]/Tabla1[[#This Row],[Cantidad]]</f>
        <v>0.01</v>
      </c>
      <c r="N1218" s="3">
        <v>1</v>
      </c>
      <c r="O1218" s="8">
        <f>+Tabla1[[#This Row],[Conversión]]*Tabla1[[#This Row],[Cantidad]]</f>
        <v>200</v>
      </c>
      <c r="P1218" s="43">
        <f>Tabla1[[#This Row],[Neto]]-Tabla1[[#This Row],[Costo Venta]]</f>
        <v>176.57</v>
      </c>
    </row>
    <row r="1219" spans="1:16" x14ac:dyDescent="0.25">
      <c r="A1219" s="48">
        <v>44994</v>
      </c>
      <c r="B1219" s="1" t="s">
        <v>1166</v>
      </c>
      <c r="C1219" s="1" t="s">
        <v>143</v>
      </c>
      <c r="D1219" s="1" t="s">
        <v>1173</v>
      </c>
      <c r="E1219" s="1" t="s">
        <v>71</v>
      </c>
      <c r="F1219" s="1" t="s">
        <v>143</v>
      </c>
      <c r="G1219" s="2">
        <v>33</v>
      </c>
      <c r="H1219" s="1" t="s">
        <v>1169</v>
      </c>
      <c r="I1219" s="44">
        <f>Tabla1[[#This Row],[Descuento]]+Tabla1[[#This Row],[Neto]]</f>
        <v>29.46</v>
      </c>
      <c r="J1219" s="9">
        <v>0</v>
      </c>
      <c r="K1219" s="9">
        <v>29.46</v>
      </c>
      <c r="L1219" s="9">
        <v>0.33</v>
      </c>
      <c r="M1219" s="24">
        <f>+Tabla1[[#This Row],[Costo Venta]]/Tabla1[[#This Row],[Cantidad]]</f>
        <v>0.01</v>
      </c>
      <c r="N1219" s="3">
        <v>1</v>
      </c>
      <c r="O1219" s="8">
        <f>+Tabla1[[#This Row],[Conversión]]*Tabla1[[#This Row],[Cantidad]]</f>
        <v>33</v>
      </c>
      <c r="P1219" s="43">
        <f>Tabla1[[#This Row],[Neto]]-Tabla1[[#This Row],[Costo Venta]]</f>
        <v>29.130000000000003</v>
      </c>
    </row>
    <row r="1220" spans="1:16" x14ac:dyDescent="0.25">
      <c r="A1220" s="48">
        <v>44987</v>
      </c>
      <c r="B1220" s="1" t="s">
        <v>686</v>
      </c>
      <c r="C1220" s="1" t="s">
        <v>109</v>
      </c>
      <c r="D1220" s="1" t="s">
        <v>1174</v>
      </c>
      <c r="E1220" s="1" t="s">
        <v>67</v>
      </c>
      <c r="F1220" s="1" t="s">
        <v>20</v>
      </c>
      <c r="G1220" s="2">
        <v>2.5</v>
      </c>
      <c r="H1220" s="1" t="s">
        <v>1175</v>
      </c>
      <c r="I1220" s="44">
        <f>Tabla1[[#This Row],[Descuento]]+Tabla1[[#This Row],[Neto]]</f>
        <v>122.50274999999999</v>
      </c>
      <c r="J1220" s="9">
        <v>42.862749999999998</v>
      </c>
      <c r="K1220" s="9">
        <v>79.64</v>
      </c>
      <c r="L1220" s="9">
        <v>18.899999999999999</v>
      </c>
      <c r="M1220" s="24">
        <f>+Tabla1[[#This Row],[Costo Venta]]/Tabla1[[#This Row],[Cantidad]]</f>
        <v>7.56</v>
      </c>
      <c r="N1220" s="3">
        <v>1</v>
      </c>
      <c r="O1220" s="8">
        <f>+Tabla1[[#This Row],[Conversión]]*Tabla1[[#This Row],[Cantidad]]</f>
        <v>2.5</v>
      </c>
      <c r="P1220" s="43">
        <f>Tabla1[[#This Row],[Neto]]-Tabla1[[#This Row],[Costo Venta]]</f>
        <v>60.74</v>
      </c>
    </row>
    <row r="1221" spans="1:16" x14ac:dyDescent="0.25">
      <c r="A1221" s="48">
        <v>45006</v>
      </c>
      <c r="B1221" s="1" t="s">
        <v>686</v>
      </c>
      <c r="C1221" s="1" t="s">
        <v>109</v>
      </c>
      <c r="D1221" s="1" t="s">
        <v>1176</v>
      </c>
      <c r="E1221" s="1" t="s">
        <v>67</v>
      </c>
      <c r="F1221" s="1" t="s">
        <v>20</v>
      </c>
      <c r="G1221" s="2">
        <v>1</v>
      </c>
      <c r="H1221" s="1" t="s">
        <v>1175</v>
      </c>
      <c r="I1221" s="44">
        <f>Tabla1[[#This Row],[Descuento]]+Tabla1[[#This Row],[Neto]]</f>
        <v>49</v>
      </c>
      <c r="J1221" s="9">
        <v>17.149999999999999</v>
      </c>
      <c r="K1221" s="9">
        <v>31.85</v>
      </c>
      <c r="L1221" s="9">
        <v>7.8533330000000001</v>
      </c>
      <c r="M1221" s="24">
        <f>+Tabla1[[#This Row],[Costo Venta]]/Tabla1[[#This Row],[Cantidad]]</f>
        <v>7.8533330000000001</v>
      </c>
      <c r="N1221" s="3">
        <v>1</v>
      </c>
      <c r="O1221" s="8">
        <f>+Tabla1[[#This Row],[Conversión]]*Tabla1[[#This Row],[Cantidad]]</f>
        <v>1</v>
      </c>
      <c r="P1221" s="43">
        <f>Tabla1[[#This Row],[Neto]]-Tabla1[[#This Row],[Costo Venta]]</f>
        <v>23.996667000000002</v>
      </c>
    </row>
    <row r="1222" spans="1:16" x14ac:dyDescent="0.25">
      <c r="A1222" s="48">
        <v>45048</v>
      </c>
      <c r="B1222" s="1" t="s">
        <v>686</v>
      </c>
      <c r="C1222" s="1" t="s">
        <v>109</v>
      </c>
      <c r="D1222" s="1" t="s">
        <v>1177</v>
      </c>
      <c r="E1222" s="1" t="s">
        <v>67</v>
      </c>
      <c r="F1222" s="1" t="s">
        <v>20</v>
      </c>
      <c r="G1222" s="2">
        <v>22</v>
      </c>
      <c r="H1222" s="1" t="s">
        <v>1175</v>
      </c>
      <c r="I1222" s="44">
        <f>Tabla1[[#This Row],[Descuento]]+Tabla1[[#This Row],[Neto]]</f>
        <v>1078</v>
      </c>
      <c r="J1222" s="9">
        <v>377.3</v>
      </c>
      <c r="K1222" s="9">
        <v>700.7</v>
      </c>
      <c r="L1222" s="9">
        <v>190.24799200000001</v>
      </c>
      <c r="M1222" s="24">
        <f>+Tabla1[[#This Row],[Costo Venta]]/Tabla1[[#This Row],[Cantidad]]</f>
        <v>8.6476360000000003</v>
      </c>
      <c r="N1222" s="3">
        <v>1</v>
      </c>
      <c r="O1222" s="8">
        <f>+Tabla1[[#This Row],[Conversión]]*Tabla1[[#This Row],[Cantidad]]</f>
        <v>22</v>
      </c>
      <c r="P1222" s="43">
        <f>Tabla1[[#This Row],[Neto]]-Tabla1[[#This Row],[Costo Venta]]</f>
        <v>510.45200800000003</v>
      </c>
    </row>
    <row r="1223" spans="1:16" x14ac:dyDescent="0.25">
      <c r="A1223" s="48">
        <v>45048</v>
      </c>
      <c r="B1223" s="1" t="s">
        <v>686</v>
      </c>
      <c r="C1223" s="1" t="s">
        <v>109</v>
      </c>
      <c r="D1223" s="1" t="s">
        <v>1178</v>
      </c>
      <c r="E1223" s="1" t="s">
        <v>71</v>
      </c>
      <c r="F1223" s="1" t="s">
        <v>1179</v>
      </c>
      <c r="G1223" s="2">
        <v>10</v>
      </c>
      <c r="H1223" s="1" t="s">
        <v>1175</v>
      </c>
      <c r="I1223" s="44">
        <f>Tabla1[[#This Row],[Descuento]]+Tabla1[[#This Row],[Neto]]</f>
        <v>490</v>
      </c>
      <c r="J1223" s="9">
        <v>171.5</v>
      </c>
      <c r="K1223" s="9">
        <v>318.5</v>
      </c>
      <c r="L1223" s="9">
        <v>86.47636</v>
      </c>
      <c r="M1223" s="24">
        <f>+Tabla1[[#This Row],[Costo Venta]]/Tabla1[[#This Row],[Cantidad]]</f>
        <v>8.6476360000000003</v>
      </c>
      <c r="N1223" s="3">
        <v>1</v>
      </c>
      <c r="O1223" s="8">
        <f>+Tabla1[[#This Row],[Conversión]]*Tabla1[[#This Row],[Cantidad]]</f>
        <v>10</v>
      </c>
      <c r="P1223" s="43">
        <f>Tabla1[[#This Row],[Neto]]-Tabla1[[#This Row],[Costo Venta]]</f>
        <v>232.02364</v>
      </c>
    </row>
    <row r="1224" spans="1:16" x14ac:dyDescent="0.25">
      <c r="A1224" s="48">
        <v>45048</v>
      </c>
      <c r="B1224" s="1" t="s">
        <v>686</v>
      </c>
      <c r="C1224" s="1" t="s">
        <v>109</v>
      </c>
      <c r="D1224" s="1" t="s">
        <v>1180</v>
      </c>
      <c r="E1224" s="1" t="s">
        <v>67</v>
      </c>
      <c r="F1224" s="1" t="s">
        <v>20</v>
      </c>
      <c r="G1224" s="2">
        <v>8</v>
      </c>
      <c r="H1224" s="1" t="s">
        <v>1175</v>
      </c>
      <c r="I1224" s="44">
        <f>Tabla1[[#This Row],[Descuento]]+Tabla1[[#This Row],[Neto]]</f>
        <v>392</v>
      </c>
      <c r="J1224" s="9">
        <v>137.19999999999999</v>
      </c>
      <c r="K1224" s="9">
        <v>254.8</v>
      </c>
      <c r="L1224" s="9">
        <v>69.181088000000003</v>
      </c>
      <c r="M1224" s="24">
        <f>+Tabla1[[#This Row],[Costo Venta]]/Tabla1[[#This Row],[Cantidad]]</f>
        <v>8.6476360000000003</v>
      </c>
      <c r="N1224" s="3">
        <v>1</v>
      </c>
      <c r="O1224" s="8">
        <f>+Tabla1[[#This Row],[Conversión]]*Tabla1[[#This Row],[Cantidad]]</f>
        <v>8</v>
      </c>
      <c r="P1224" s="43">
        <f>Tabla1[[#This Row],[Neto]]-Tabla1[[#This Row],[Costo Venta]]</f>
        <v>185.61891200000002</v>
      </c>
    </row>
    <row r="1225" spans="1:16" x14ac:dyDescent="0.25">
      <c r="A1225" s="48">
        <v>45119</v>
      </c>
      <c r="B1225" s="1" t="s">
        <v>686</v>
      </c>
      <c r="C1225" s="1" t="s">
        <v>109</v>
      </c>
      <c r="D1225" s="1" t="s">
        <v>1181</v>
      </c>
      <c r="E1225" s="1" t="s">
        <v>67</v>
      </c>
      <c r="F1225" s="1" t="s">
        <v>20</v>
      </c>
      <c r="G1225" s="2">
        <v>38</v>
      </c>
      <c r="H1225" s="1" t="s">
        <v>1175</v>
      </c>
      <c r="I1225" s="44">
        <f>Tabla1[[#This Row],[Descuento]]+Tabla1[[#This Row],[Neto]]</f>
        <v>1862</v>
      </c>
      <c r="J1225" s="9">
        <v>651.70000000000005</v>
      </c>
      <c r="K1225" s="9">
        <v>1210.3</v>
      </c>
      <c r="L1225" s="9">
        <v>315.59478799999999</v>
      </c>
      <c r="M1225" s="24">
        <f>+Tabla1[[#This Row],[Costo Venta]]/Tabla1[[#This Row],[Cantidad]]</f>
        <v>8.3051259999999996</v>
      </c>
      <c r="N1225" s="3">
        <v>1</v>
      </c>
      <c r="O1225" s="8">
        <f>+Tabla1[[#This Row],[Conversión]]*Tabla1[[#This Row],[Cantidad]]</f>
        <v>38</v>
      </c>
      <c r="P1225" s="43">
        <f>Tabla1[[#This Row],[Neto]]-Tabla1[[#This Row],[Costo Venta]]</f>
        <v>894.70521199999996</v>
      </c>
    </row>
    <row r="1226" spans="1:16" x14ac:dyDescent="0.25">
      <c r="A1226" s="48">
        <v>45166</v>
      </c>
      <c r="B1226" s="1" t="s">
        <v>686</v>
      </c>
      <c r="C1226" s="1" t="s">
        <v>81</v>
      </c>
      <c r="D1226" s="1" t="s">
        <v>1128</v>
      </c>
      <c r="E1226" s="1" t="s">
        <v>71</v>
      </c>
      <c r="F1226" s="1" t="s">
        <v>1129</v>
      </c>
      <c r="G1226" s="2">
        <v>13</v>
      </c>
      <c r="H1226" s="1" t="s">
        <v>1175</v>
      </c>
      <c r="I1226" s="44">
        <f>Tabla1[[#This Row],[Descuento]]+Tabla1[[#This Row],[Neto]]</f>
        <v>643.23800000000006</v>
      </c>
      <c r="J1226" s="9">
        <v>128.648</v>
      </c>
      <c r="K1226" s="9">
        <v>514.59</v>
      </c>
      <c r="L1226" s="9">
        <v>107.966638</v>
      </c>
      <c r="M1226" s="24">
        <f>+Tabla1[[#This Row],[Costo Venta]]/Tabla1[[#This Row],[Cantidad]]</f>
        <v>8.3051259999999996</v>
      </c>
      <c r="N1226" s="3">
        <v>1</v>
      </c>
      <c r="O1226" s="8">
        <f>+Tabla1[[#This Row],[Conversión]]*Tabla1[[#This Row],[Cantidad]]</f>
        <v>13</v>
      </c>
      <c r="P1226" s="43">
        <f>Tabla1[[#This Row],[Neto]]-Tabla1[[#This Row],[Costo Venta]]</f>
        <v>406.62336200000004</v>
      </c>
    </row>
    <row r="1227" spans="1:16" x14ac:dyDescent="0.25">
      <c r="A1227" s="48">
        <v>45243</v>
      </c>
      <c r="B1227" s="1" t="s">
        <v>686</v>
      </c>
      <c r="C1227" s="1" t="s">
        <v>81</v>
      </c>
      <c r="D1227" s="1" t="s">
        <v>1182</v>
      </c>
      <c r="E1227" s="1" t="s">
        <v>67</v>
      </c>
      <c r="F1227" s="1" t="s">
        <v>20</v>
      </c>
      <c r="G1227" s="2">
        <v>4.5</v>
      </c>
      <c r="H1227" s="1" t="s">
        <v>1175</v>
      </c>
      <c r="I1227" s="44">
        <f>Tabla1[[#This Row],[Descuento]]+Tabla1[[#This Row],[Neto]]</f>
        <v>222.661</v>
      </c>
      <c r="J1227" s="9">
        <v>77.930999999999997</v>
      </c>
      <c r="K1227" s="9">
        <v>144.72999999999999</v>
      </c>
      <c r="L1227" s="9">
        <v>31.166572500000001</v>
      </c>
      <c r="M1227" s="24">
        <f>+Tabla1[[#This Row],[Costo Venta]]/Tabla1[[#This Row],[Cantidad]]</f>
        <v>6.9259050000000002</v>
      </c>
      <c r="N1227" s="3">
        <v>1</v>
      </c>
      <c r="O1227" s="8">
        <f>+Tabla1[[#This Row],[Conversión]]*Tabla1[[#This Row],[Cantidad]]</f>
        <v>4.5</v>
      </c>
      <c r="P1227" s="43">
        <f>Tabla1[[#This Row],[Neto]]-Tabla1[[#This Row],[Costo Venta]]</f>
        <v>113.56342749999999</v>
      </c>
    </row>
    <row r="1228" spans="1:16" x14ac:dyDescent="0.25">
      <c r="A1228" s="48">
        <v>45272</v>
      </c>
      <c r="B1228" s="1" t="s">
        <v>686</v>
      </c>
      <c r="C1228" s="1" t="s">
        <v>81</v>
      </c>
      <c r="D1228" s="1" t="s">
        <v>1183</v>
      </c>
      <c r="E1228" s="1" t="s">
        <v>67</v>
      </c>
      <c r="F1228" s="1" t="s">
        <v>20</v>
      </c>
      <c r="G1228" s="2">
        <v>24</v>
      </c>
      <c r="H1228" s="1" t="s">
        <v>1175</v>
      </c>
      <c r="I1228" s="44">
        <f>Tabla1[[#This Row],[Descuento]]+Tabla1[[#This Row],[Neto]]</f>
        <v>1187.5219999999999</v>
      </c>
      <c r="J1228" s="9">
        <v>415.63200000000001</v>
      </c>
      <c r="K1228" s="9">
        <v>771.89</v>
      </c>
      <c r="L1228" s="9">
        <v>191.257488</v>
      </c>
      <c r="M1228" s="24">
        <f>+Tabla1[[#This Row],[Costo Venta]]/Tabla1[[#This Row],[Cantidad]]</f>
        <v>7.9690620000000001</v>
      </c>
      <c r="N1228" s="3">
        <v>1</v>
      </c>
      <c r="O1228" s="8">
        <f>+Tabla1[[#This Row],[Conversión]]*Tabla1[[#This Row],[Cantidad]]</f>
        <v>24</v>
      </c>
      <c r="P1228" s="43">
        <f>Tabla1[[#This Row],[Neto]]-Tabla1[[#This Row],[Costo Venta]]</f>
        <v>580.63251200000002</v>
      </c>
    </row>
    <row r="1229" spans="1:16" x14ac:dyDescent="0.25">
      <c r="A1229" s="48">
        <v>45275</v>
      </c>
      <c r="B1229" s="1" t="s">
        <v>686</v>
      </c>
      <c r="C1229" s="1" t="s">
        <v>81</v>
      </c>
      <c r="D1229" s="1" t="s">
        <v>1184</v>
      </c>
      <c r="E1229" s="1" t="s">
        <v>67</v>
      </c>
      <c r="F1229" s="1" t="s">
        <v>20</v>
      </c>
      <c r="G1229" s="2">
        <v>11.5</v>
      </c>
      <c r="H1229" s="1" t="s">
        <v>1175</v>
      </c>
      <c r="I1229" s="44">
        <f>Tabla1[[#This Row],[Descuento]]+Tabla1[[#This Row],[Neto]]</f>
        <v>569.01700000000005</v>
      </c>
      <c r="J1229" s="9">
        <v>199.15700000000001</v>
      </c>
      <c r="K1229" s="9">
        <v>369.86</v>
      </c>
      <c r="L1229" s="9">
        <v>91.644212999999993</v>
      </c>
      <c r="M1229" s="24">
        <f>+Tabla1[[#This Row],[Costo Venta]]/Tabla1[[#This Row],[Cantidad]]</f>
        <v>7.9690619999999992</v>
      </c>
      <c r="N1229" s="3">
        <v>1</v>
      </c>
      <c r="O1229" s="8">
        <f>+Tabla1[[#This Row],[Conversión]]*Tabla1[[#This Row],[Cantidad]]</f>
        <v>11.5</v>
      </c>
      <c r="P1229" s="43">
        <f>Tabla1[[#This Row],[Neto]]-Tabla1[[#This Row],[Costo Venta]]</f>
        <v>278.21578700000003</v>
      </c>
    </row>
    <row r="1230" spans="1:16" x14ac:dyDescent="0.25">
      <c r="A1230" s="48">
        <v>45341</v>
      </c>
      <c r="B1230" s="1" t="s">
        <v>686</v>
      </c>
      <c r="C1230" s="1" t="s">
        <v>29</v>
      </c>
      <c r="D1230" s="1" t="s">
        <v>1185</v>
      </c>
      <c r="E1230" s="1" t="s">
        <v>71</v>
      </c>
      <c r="F1230" s="1" t="s">
        <v>1186</v>
      </c>
      <c r="G1230" s="2">
        <v>6.5</v>
      </c>
      <c r="H1230" s="1" t="s">
        <v>1175</v>
      </c>
      <c r="I1230" s="44">
        <f>Tabla1[[#This Row],[Descuento]]+Tabla1[[#This Row],[Neto]]</f>
        <v>337.22</v>
      </c>
      <c r="J1230" s="9">
        <v>0</v>
      </c>
      <c r="K1230" s="9">
        <v>337.22</v>
      </c>
      <c r="L1230" s="9">
        <v>48.200106499999997</v>
      </c>
      <c r="M1230" s="24">
        <f>+Tabla1[[#This Row],[Costo Venta]]/Tabla1[[#This Row],[Cantidad]]</f>
        <v>7.4154009999999992</v>
      </c>
      <c r="N1230" s="3">
        <v>1</v>
      </c>
      <c r="O1230" s="8">
        <f>+Tabla1[[#This Row],[Conversión]]*Tabla1[[#This Row],[Cantidad]]</f>
        <v>6.5</v>
      </c>
      <c r="P1230" s="43">
        <f>Tabla1[[#This Row],[Neto]]-Tabla1[[#This Row],[Costo Venta]]</f>
        <v>289.01989350000002</v>
      </c>
    </row>
    <row r="1231" spans="1:16" x14ac:dyDescent="0.25">
      <c r="A1231" s="48">
        <v>45370</v>
      </c>
      <c r="B1231" s="1" t="s">
        <v>686</v>
      </c>
      <c r="C1231" s="1" t="s">
        <v>29</v>
      </c>
      <c r="D1231" s="1" t="s">
        <v>1187</v>
      </c>
      <c r="E1231" s="1" t="s">
        <v>67</v>
      </c>
      <c r="F1231" s="1" t="s">
        <v>20</v>
      </c>
      <c r="G1231" s="2">
        <v>7</v>
      </c>
      <c r="H1231" s="1" t="s">
        <v>1175</v>
      </c>
      <c r="I1231" s="44">
        <f>Tabla1[[#This Row],[Descuento]]+Tabla1[[#This Row],[Neto]]</f>
        <v>346.35599999999999</v>
      </c>
      <c r="J1231" s="9">
        <v>121.226</v>
      </c>
      <c r="K1231" s="9">
        <v>225.13</v>
      </c>
      <c r="L1231" s="9">
        <v>48.971243999999999</v>
      </c>
      <c r="M1231" s="24">
        <f>+Tabla1[[#This Row],[Costo Venta]]/Tabla1[[#This Row],[Cantidad]]</f>
        <v>6.9958919999999996</v>
      </c>
      <c r="N1231" s="3">
        <v>1</v>
      </c>
      <c r="O1231" s="8">
        <f>+Tabla1[[#This Row],[Conversión]]*Tabla1[[#This Row],[Cantidad]]</f>
        <v>7</v>
      </c>
      <c r="P1231" s="43">
        <f>Tabla1[[#This Row],[Neto]]-Tabla1[[#This Row],[Costo Venta]]</f>
        <v>176.15875599999998</v>
      </c>
    </row>
    <row r="1232" spans="1:16" x14ac:dyDescent="0.25">
      <c r="A1232" s="48">
        <v>45399</v>
      </c>
      <c r="B1232" s="1" t="s">
        <v>686</v>
      </c>
      <c r="C1232" s="1" t="s">
        <v>29</v>
      </c>
      <c r="D1232" s="1" t="s">
        <v>1188</v>
      </c>
      <c r="E1232" s="1" t="s">
        <v>67</v>
      </c>
      <c r="F1232" s="1" t="s">
        <v>20</v>
      </c>
      <c r="G1232" s="2">
        <v>1.5</v>
      </c>
      <c r="H1232" s="1" t="s">
        <v>1175</v>
      </c>
      <c r="I1232" s="44">
        <f>Tabla1[[#This Row],[Descuento]]+Tabla1[[#This Row],[Neto]]</f>
        <v>74.216999999999999</v>
      </c>
      <c r="J1232" s="9">
        <v>25.977</v>
      </c>
      <c r="K1232" s="9">
        <v>48.24</v>
      </c>
      <c r="L1232" s="9">
        <v>10.544128499999999</v>
      </c>
      <c r="M1232" s="24">
        <f>+Tabla1[[#This Row],[Costo Venta]]/Tabla1[[#This Row],[Cantidad]]</f>
        <v>7.0294189999999999</v>
      </c>
      <c r="N1232" s="3">
        <v>1</v>
      </c>
      <c r="O1232" s="8">
        <f>+Tabla1[[#This Row],[Conversión]]*Tabla1[[#This Row],[Cantidad]]</f>
        <v>1.5</v>
      </c>
      <c r="P1232" s="43">
        <f>Tabla1[[#This Row],[Neto]]-Tabla1[[#This Row],[Costo Venta]]</f>
        <v>37.695871500000003</v>
      </c>
    </row>
    <row r="1233" spans="1:16" x14ac:dyDescent="0.25">
      <c r="A1233" s="48">
        <v>45482</v>
      </c>
      <c r="B1233" s="1" t="s">
        <v>686</v>
      </c>
      <c r="C1233" s="1" t="s">
        <v>65</v>
      </c>
      <c r="D1233" s="1" t="s">
        <v>1189</v>
      </c>
      <c r="E1233" s="1" t="s">
        <v>67</v>
      </c>
      <c r="F1233" s="1" t="s">
        <v>20</v>
      </c>
      <c r="G1233" s="2">
        <v>1</v>
      </c>
      <c r="H1233" s="1" t="s">
        <v>1175</v>
      </c>
      <c r="I1233" s="44">
        <f>Tabla1[[#This Row],[Descuento]]+Tabla1[[#This Row],[Neto]]</f>
        <v>49.477999999999994</v>
      </c>
      <c r="J1233" s="9">
        <v>17.318000000000001</v>
      </c>
      <c r="K1233" s="9">
        <v>32.159999999999997</v>
      </c>
      <c r="L1233" s="9">
        <v>7.440766</v>
      </c>
      <c r="M1233" s="24">
        <f>+Tabla1[[#This Row],[Costo Venta]]/Tabla1[[#This Row],[Cantidad]]</f>
        <v>7.440766</v>
      </c>
      <c r="N1233" s="3">
        <v>1</v>
      </c>
      <c r="O1233" s="8">
        <f>+Tabla1[[#This Row],[Conversión]]*Tabla1[[#This Row],[Cantidad]]</f>
        <v>1</v>
      </c>
      <c r="P1233" s="43">
        <f>Tabla1[[#This Row],[Neto]]-Tabla1[[#This Row],[Costo Venta]]</f>
        <v>24.719233999999997</v>
      </c>
    </row>
    <row r="1234" spans="1:16" x14ac:dyDescent="0.25">
      <c r="A1234" s="48">
        <v>45539</v>
      </c>
      <c r="B1234" s="1" t="s">
        <v>686</v>
      </c>
      <c r="C1234" s="1" t="s">
        <v>143</v>
      </c>
      <c r="D1234" s="1" t="s">
        <v>1190</v>
      </c>
      <c r="E1234" s="1" t="s">
        <v>67</v>
      </c>
      <c r="F1234" s="1" t="s">
        <v>1191</v>
      </c>
      <c r="G1234" s="2">
        <v>40</v>
      </c>
      <c r="H1234" s="1" t="s">
        <v>1175</v>
      </c>
      <c r="I1234" s="44">
        <f>Tabla1[[#This Row],[Descuento]]+Tabla1[[#This Row],[Neto]]</f>
        <v>1979.2</v>
      </c>
      <c r="J1234" s="9">
        <v>692.72</v>
      </c>
      <c r="K1234" s="9">
        <v>1286.48</v>
      </c>
      <c r="L1234" s="9">
        <v>296.77996000000002</v>
      </c>
      <c r="M1234" s="24">
        <f>+Tabla1[[#This Row],[Costo Venta]]/Tabla1[[#This Row],[Cantidad]]</f>
        <v>7.4194990000000001</v>
      </c>
      <c r="N1234" s="3">
        <v>1</v>
      </c>
      <c r="O1234" s="8">
        <f>+Tabla1[[#This Row],[Conversión]]*Tabla1[[#This Row],[Cantidad]]</f>
        <v>40</v>
      </c>
      <c r="P1234" s="43">
        <f>Tabla1[[#This Row],[Neto]]-Tabla1[[#This Row],[Costo Venta]]</f>
        <v>989.70003999999994</v>
      </c>
    </row>
    <row r="1235" spans="1:16" x14ac:dyDescent="0.25">
      <c r="A1235" s="48">
        <v>45649</v>
      </c>
      <c r="B1235" s="1" t="s">
        <v>686</v>
      </c>
      <c r="C1235" s="1" t="s">
        <v>65</v>
      </c>
      <c r="D1235" s="1" t="s">
        <v>1192</v>
      </c>
      <c r="E1235" s="1" t="s">
        <v>67</v>
      </c>
      <c r="F1235" s="1" t="s">
        <v>20</v>
      </c>
      <c r="G1235" s="2">
        <v>17</v>
      </c>
      <c r="H1235" s="1" t="s">
        <v>1175</v>
      </c>
      <c r="I1235" s="44">
        <f>Tabla1[[#This Row],[Descuento]]+Tabla1[[#This Row],[Neto]]</f>
        <v>841.15599999999995</v>
      </c>
      <c r="J1235" s="9">
        <v>294.40600000000001</v>
      </c>
      <c r="K1235" s="9">
        <v>546.75</v>
      </c>
      <c r="L1235" s="9">
        <v>113.985629</v>
      </c>
      <c r="M1235" s="24">
        <f>+Tabla1[[#This Row],[Costo Venta]]/Tabla1[[#This Row],[Cantidad]]</f>
        <v>6.7050369999999999</v>
      </c>
      <c r="N1235" s="3">
        <v>1</v>
      </c>
      <c r="O1235" s="8">
        <f>+Tabla1[[#This Row],[Conversión]]*Tabla1[[#This Row],[Cantidad]]</f>
        <v>17</v>
      </c>
      <c r="P1235" s="43">
        <f>Tabla1[[#This Row],[Neto]]-Tabla1[[#This Row],[Costo Venta]]</f>
        <v>432.76437099999998</v>
      </c>
    </row>
    <row r="1236" spans="1:16" x14ac:dyDescent="0.25">
      <c r="A1236" s="48">
        <v>45649</v>
      </c>
      <c r="B1236" s="1" t="s">
        <v>686</v>
      </c>
      <c r="C1236" s="1" t="s">
        <v>65</v>
      </c>
      <c r="D1236" s="1" t="s">
        <v>1193</v>
      </c>
      <c r="E1236" s="1" t="s">
        <v>67</v>
      </c>
      <c r="F1236" s="1" t="s">
        <v>20</v>
      </c>
      <c r="G1236" s="2">
        <v>4</v>
      </c>
      <c r="H1236" s="1" t="s">
        <v>1175</v>
      </c>
      <c r="I1236" s="44">
        <f>Tabla1[[#This Row],[Descuento]]+Tabla1[[#This Row],[Neto]]</f>
        <v>197.92200000000003</v>
      </c>
      <c r="J1236" s="9">
        <v>69.272000000000006</v>
      </c>
      <c r="K1236" s="9">
        <v>128.65</v>
      </c>
      <c r="L1236" s="9">
        <v>26.820148</v>
      </c>
      <c r="M1236" s="24">
        <f>+Tabla1[[#This Row],[Costo Venta]]/Tabla1[[#This Row],[Cantidad]]</f>
        <v>6.7050369999999999</v>
      </c>
      <c r="N1236" s="3">
        <v>1</v>
      </c>
      <c r="O1236" s="8">
        <f>+Tabla1[[#This Row],[Conversión]]*Tabla1[[#This Row],[Cantidad]]</f>
        <v>4</v>
      </c>
      <c r="P1236" s="43">
        <f>Tabla1[[#This Row],[Neto]]-Tabla1[[#This Row],[Costo Venta]]</f>
        <v>101.829852</v>
      </c>
    </row>
    <row r="1237" spans="1:16" x14ac:dyDescent="0.25">
      <c r="A1237" s="48">
        <v>45649</v>
      </c>
      <c r="B1237" s="1" t="s">
        <v>686</v>
      </c>
      <c r="C1237" s="1" t="s">
        <v>65</v>
      </c>
      <c r="D1237" s="1" t="s">
        <v>1194</v>
      </c>
      <c r="E1237" s="1" t="s">
        <v>67</v>
      </c>
      <c r="F1237" s="1" t="s">
        <v>20</v>
      </c>
      <c r="G1237" s="2">
        <v>4</v>
      </c>
      <c r="H1237" s="1" t="s">
        <v>1175</v>
      </c>
      <c r="I1237" s="44">
        <f>Tabla1[[#This Row],[Descuento]]+Tabla1[[#This Row],[Neto]]</f>
        <v>197.92200000000003</v>
      </c>
      <c r="J1237" s="9">
        <v>69.272000000000006</v>
      </c>
      <c r="K1237" s="9">
        <v>128.65</v>
      </c>
      <c r="L1237" s="9">
        <v>26.820148</v>
      </c>
      <c r="M1237" s="24">
        <f>+Tabla1[[#This Row],[Costo Venta]]/Tabla1[[#This Row],[Cantidad]]</f>
        <v>6.7050369999999999</v>
      </c>
      <c r="N1237" s="3">
        <v>1</v>
      </c>
      <c r="O1237" s="8">
        <f>+Tabla1[[#This Row],[Conversión]]*Tabla1[[#This Row],[Cantidad]]</f>
        <v>4</v>
      </c>
      <c r="P1237" s="43">
        <f>Tabla1[[#This Row],[Neto]]-Tabla1[[#This Row],[Costo Venta]]</f>
        <v>101.829852</v>
      </c>
    </row>
    <row r="1238" spans="1:16" x14ac:dyDescent="0.25">
      <c r="A1238" s="48">
        <v>45699</v>
      </c>
      <c r="B1238" s="1" t="s">
        <v>686</v>
      </c>
      <c r="C1238" s="1" t="s">
        <v>65</v>
      </c>
      <c r="D1238" s="1" t="s">
        <v>1195</v>
      </c>
      <c r="E1238" s="1" t="s">
        <v>67</v>
      </c>
      <c r="F1238" s="1" t="s">
        <v>9</v>
      </c>
      <c r="G1238" s="2">
        <v>1</v>
      </c>
      <c r="H1238" s="1" t="s">
        <v>1175</v>
      </c>
      <c r="I1238" s="44">
        <f>Tabla1[[#This Row],[Descuento]]+Tabla1[[#This Row],[Neto]]</f>
        <v>49.475999999999999</v>
      </c>
      <c r="J1238" s="9">
        <v>22.265999999999998</v>
      </c>
      <c r="K1238" s="9">
        <v>27.21</v>
      </c>
      <c r="L1238" s="9">
        <v>6.7281779999999998</v>
      </c>
      <c r="M1238" s="24">
        <f>+Tabla1[[#This Row],[Costo Venta]]/Tabla1[[#This Row],[Cantidad]]</f>
        <v>6.7281779999999998</v>
      </c>
      <c r="N1238" s="3">
        <v>1</v>
      </c>
      <c r="O1238" s="8">
        <f>+Tabla1[[#This Row],[Conversión]]*Tabla1[[#This Row],[Cantidad]]</f>
        <v>1</v>
      </c>
      <c r="P1238" s="43">
        <f>Tabla1[[#This Row],[Neto]]-Tabla1[[#This Row],[Costo Venta]]</f>
        <v>20.481822000000001</v>
      </c>
    </row>
    <row r="1239" spans="1:16" x14ac:dyDescent="0.25">
      <c r="A1239" s="48">
        <v>45873</v>
      </c>
      <c r="B1239" s="1" t="s">
        <v>686</v>
      </c>
      <c r="C1239" s="1" t="s">
        <v>65</v>
      </c>
      <c r="D1239" s="1" t="s">
        <v>1196</v>
      </c>
      <c r="E1239" s="1" t="s">
        <v>67</v>
      </c>
      <c r="F1239" s="1" t="s">
        <v>20</v>
      </c>
      <c r="G1239" s="2">
        <v>23</v>
      </c>
      <c r="H1239" s="1" t="s">
        <v>1175</v>
      </c>
      <c r="I1239" s="44">
        <f>Tabla1[[#This Row],[Descuento]]+Tabla1[[#This Row],[Neto]]</f>
        <v>1138.0419999999999</v>
      </c>
      <c r="J1239" s="9">
        <v>341.41199999999998</v>
      </c>
      <c r="K1239" s="9">
        <v>796.63</v>
      </c>
      <c r="L1239" s="9">
        <v>154.31438299999999</v>
      </c>
      <c r="M1239" s="24">
        <f>+Tabla1[[#This Row],[Costo Venta]]/Tabla1[[#This Row],[Cantidad]]</f>
        <v>6.7093210000000001</v>
      </c>
      <c r="N1239" s="3">
        <v>1</v>
      </c>
      <c r="O1239" s="8">
        <f>+Tabla1[[#This Row],[Conversión]]*Tabla1[[#This Row],[Cantidad]]</f>
        <v>23</v>
      </c>
      <c r="P1239" s="43">
        <f>Tabla1[[#This Row],[Neto]]-Tabla1[[#This Row],[Costo Venta]]</f>
        <v>642.31561699999997</v>
      </c>
    </row>
    <row r="1240" spans="1:16" x14ac:dyDescent="0.25">
      <c r="A1240" s="48">
        <v>44965</v>
      </c>
      <c r="B1240" s="1" t="s">
        <v>686</v>
      </c>
      <c r="C1240" s="1" t="s">
        <v>65</v>
      </c>
      <c r="D1240" s="1" t="s">
        <v>141</v>
      </c>
      <c r="E1240" s="1" t="s">
        <v>132</v>
      </c>
      <c r="F1240" s="1" t="s">
        <v>142</v>
      </c>
      <c r="G1240" s="2">
        <v>14</v>
      </c>
      <c r="H1240" s="1" t="s">
        <v>1197</v>
      </c>
      <c r="I1240" s="44">
        <f>Tabla1[[#This Row],[Descuento]]+Tabla1[[#This Row],[Neto]]</f>
        <v>686</v>
      </c>
      <c r="J1240" s="9">
        <v>54.88</v>
      </c>
      <c r="K1240" s="9">
        <v>631.12</v>
      </c>
      <c r="L1240" s="9">
        <v>137.928</v>
      </c>
      <c r="M1240" s="24">
        <f>+Tabla1[[#This Row],[Costo Venta]]/Tabla1[[#This Row],[Cantidad]]</f>
        <v>9.8520000000000003</v>
      </c>
      <c r="N1240" s="3">
        <v>1</v>
      </c>
      <c r="O1240" s="8">
        <f>+Tabla1[[#This Row],[Conversión]]*Tabla1[[#This Row],[Cantidad]]</f>
        <v>14</v>
      </c>
      <c r="P1240" s="43">
        <f>Tabla1[[#This Row],[Neto]]-Tabla1[[#This Row],[Costo Venta]]</f>
        <v>493.19200000000001</v>
      </c>
    </row>
    <row r="1241" spans="1:16" x14ac:dyDescent="0.25">
      <c r="A1241" s="48">
        <v>45169</v>
      </c>
      <c r="B1241" s="1" t="s">
        <v>686</v>
      </c>
      <c r="C1241" s="1" t="s">
        <v>81</v>
      </c>
      <c r="D1241" s="1" t="s">
        <v>534</v>
      </c>
      <c r="E1241" s="1" t="s">
        <v>67</v>
      </c>
      <c r="F1241" s="1" t="s">
        <v>9</v>
      </c>
      <c r="G1241" s="2">
        <v>15</v>
      </c>
      <c r="H1241" s="1" t="s">
        <v>1197</v>
      </c>
      <c r="I1241" s="44">
        <f>Tabla1[[#This Row],[Descuento]]+Tabla1[[#This Row],[Neto]]</f>
        <v>742.20299999999997</v>
      </c>
      <c r="J1241" s="9">
        <v>270.90300000000002</v>
      </c>
      <c r="K1241" s="9">
        <v>471.3</v>
      </c>
      <c r="L1241" s="9">
        <v>125.62857</v>
      </c>
      <c r="M1241" s="24">
        <f>+Tabla1[[#This Row],[Costo Venta]]/Tabla1[[#This Row],[Cantidad]]</f>
        <v>8.3752379999999995</v>
      </c>
      <c r="N1241" s="3">
        <v>1</v>
      </c>
      <c r="O1241" s="8">
        <f>+Tabla1[[#This Row],[Conversión]]*Tabla1[[#This Row],[Cantidad]]</f>
        <v>15</v>
      </c>
      <c r="P1241" s="43">
        <f>Tabla1[[#This Row],[Neto]]-Tabla1[[#This Row],[Costo Venta]]</f>
        <v>345.67142999999999</v>
      </c>
    </row>
    <row r="1242" spans="1:16" x14ac:dyDescent="0.25">
      <c r="A1242" s="48">
        <v>45405</v>
      </c>
      <c r="B1242" s="1" t="s">
        <v>686</v>
      </c>
      <c r="C1242" s="1" t="s">
        <v>81</v>
      </c>
      <c r="D1242" s="1" t="s">
        <v>1198</v>
      </c>
      <c r="E1242" s="1" t="s">
        <v>67</v>
      </c>
      <c r="F1242" s="1" t="s">
        <v>9</v>
      </c>
      <c r="G1242" s="2">
        <v>35</v>
      </c>
      <c r="H1242" s="1" t="s">
        <v>1197</v>
      </c>
      <c r="I1242" s="44">
        <f>Tabla1[[#This Row],[Descuento]]+Tabla1[[#This Row],[Neto]]</f>
        <v>1731.8000000000002</v>
      </c>
      <c r="J1242" s="9">
        <v>606.13</v>
      </c>
      <c r="K1242" s="9">
        <v>1125.67</v>
      </c>
      <c r="L1242" s="9">
        <v>271.30015500000002</v>
      </c>
      <c r="M1242" s="24">
        <f>+Tabla1[[#This Row],[Costo Venta]]/Tabla1[[#This Row],[Cantidad]]</f>
        <v>7.7514330000000005</v>
      </c>
      <c r="N1242" s="3">
        <v>1</v>
      </c>
      <c r="O1242" s="8">
        <f>+Tabla1[[#This Row],[Conversión]]*Tabla1[[#This Row],[Cantidad]]</f>
        <v>35</v>
      </c>
      <c r="P1242" s="43">
        <f>Tabla1[[#This Row],[Neto]]-Tabla1[[#This Row],[Costo Venta]]</f>
        <v>854.36984500000005</v>
      </c>
    </row>
    <row r="1243" spans="1:16" x14ac:dyDescent="0.25">
      <c r="A1243" s="48">
        <v>45454</v>
      </c>
      <c r="B1243" s="1" t="s">
        <v>686</v>
      </c>
      <c r="C1243" s="1" t="s">
        <v>81</v>
      </c>
      <c r="D1243" s="1" t="s">
        <v>1199</v>
      </c>
      <c r="E1243" s="1" t="s">
        <v>67</v>
      </c>
      <c r="F1243" s="1" t="s">
        <v>9</v>
      </c>
      <c r="G1243" s="2">
        <v>3.5</v>
      </c>
      <c r="H1243" s="1" t="s">
        <v>1197</v>
      </c>
      <c r="I1243" s="44">
        <f>Tabla1[[#This Row],[Descuento]]+Tabla1[[#This Row],[Neto]]</f>
        <v>173.18099999999998</v>
      </c>
      <c r="J1243" s="9">
        <v>77.930999999999997</v>
      </c>
      <c r="K1243" s="9">
        <v>95.25</v>
      </c>
      <c r="L1243" s="9">
        <v>27.130015499999999</v>
      </c>
      <c r="M1243" s="24">
        <f>+Tabla1[[#This Row],[Costo Venta]]/Tabla1[[#This Row],[Cantidad]]</f>
        <v>7.7514329999999996</v>
      </c>
      <c r="N1243" s="3">
        <v>1</v>
      </c>
      <c r="O1243" s="8">
        <f>+Tabla1[[#This Row],[Conversión]]*Tabla1[[#This Row],[Cantidad]]</f>
        <v>3.5</v>
      </c>
      <c r="P1243" s="43">
        <f>Tabla1[[#This Row],[Neto]]-Tabla1[[#This Row],[Costo Venta]]</f>
        <v>68.119984500000001</v>
      </c>
    </row>
    <row r="1244" spans="1:16" x14ac:dyDescent="0.25">
      <c r="A1244" s="48">
        <v>45724</v>
      </c>
      <c r="B1244" s="1" t="s">
        <v>686</v>
      </c>
      <c r="C1244" s="1" t="s">
        <v>65</v>
      </c>
      <c r="D1244" s="1" t="s">
        <v>658</v>
      </c>
      <c r="E1244" s="1" t="s">
        <v>71</v>
      </c>
      <c r="F1244" s="1" t="s">
        <v>376</v>
      </c>
      <c r="G1244" s="2">
        <v>114.5</v>
      </c>
      <c r="H1244" s="1" t="s">
        <v>1197</v>
      </c>
      <c r="I1244" s="44">
        <f>Tabla1[[#This Row],[Descuento]]+Tabla1[[#This Row],[Neto]]</f>
        <v>5665.4650000000001</v>
      </c>
      <c r="J1244" s="9">
        <v>1416.365</v>
      </c>
      <c r="K1244" s="9">
        <v>4249.1000000000004</v>
      </c>
      <c r="L1244" s="9">
        <v>887.53907849999996</v>
      </c>
      <c r="M1244" s="24">
        <f>+Tabla1[[#This Row],[Costo Venta]]/Tabla1[[#This Row],[Cantidad]]</f>
        <v>7.7514329999999996</v>
      </c>
      <c r="N1244" s="3">
        <v>1</v>
      </c>
      <c r="O1244" s="8">
        <f>+Tabla1[[#This Row],[Conversión]]*Tabla1[[#This Row],[Cantidad]]</f>
        <v>114.5</v>
      </c>
      <c r="P1244" s="43">
        <f>Tabla1[[#This Row],[Neto]]-Tabla1[[#This Row],[Costo Venta]]</f>
        <v>3361.5609215000004</v>
      </c>
    </row>
    <row r="1245" spans="1:16" x14ac:dyDescent="0.25">
      <c r="A1245" s="48">
        <v>45782</v>
      </c>
      <c r="B1245" s="1" t="s">
        <v>686</v>
      </c>
      <c r="C1245" s="1" t="s">
        <v>65</v>
      </c>
      <c r="D1245" s="1" t="s">
        <v>375</v>
      </c>
      <c r="E1245" s="1" t="s">
        <v>71</v>
      </c>
      <c r="F1245" s="1" t="s">
        <v>376</v>
      </c>
      <c r="G1245" s="2">
        <v>7</v>
      </c>
      <c r="H1245" s="1" t="s">
        <v>1197</v>
      </c>
      <c r="I1245" s="44">
        <f>Tabla1[[#This Row],[Descuento]]+Tabla1[[#This Row],[Neto]]</f>
        <v>346.36</v>
      </c>
      <c r="J1245" s="9">
        <v>86.59</v>
      </c>
      <c r="K1245" s="9">
        <v>259.77</v>
      </c>
      <c r="L1245" s="9">
        <v>59.536000999999999</v>
      </c>
      <c r="M1245" s="24">
        <f>+Tabla1[[#This Row],[Costo Venta]]/Tabla1[[#This Row],[Cantidad]]</f>
        <v>8.5051430000000003</v>
      </c>
      <c r="N1245" s="3">
        <v>1</v>
      </c>
      <c r="O1245" s="8">
        <f>+Tabla1[[#This Row],[Conversión]]*Tabla1[[#This Row],[Cantidad]]</f>
        <v>7</v>
      </c>
      <c r="P1245" s="43">
        <f>Tabla1[[#This Row],[Neto]]-Tabla1[[#This Row],[Costo Venta]]</f>
        <v>200.23399899999998</v>
      </c>
    </row>
    <row r="1246" spans="1:16" x14ac:dyDescent="0.25">
      <c r="A1246" s="48">
        <v>45897</v>
      </c>
      <c r="B1246" s="1" t="s">
        <v>686</v>
      </c>
      <c r="C1246" s="1" t="s">
        <v>65</v>
      </c>
      <c r="D1246" s="1" t="s">
        <v>396</v>
      </c>
      <c r="E1246" s="1" t="s">
        <v>71</v>
      </c>
      <c r="F1246" s="1" t="s">
        <v>397</v>
      </c>
      <c r="G1246" s="2">
        <v>2</v>
      </c>
      <c r="H1246" s="1" t="s">
        <v>1197</v>
      </c>
      <c r="I1246" s="44">
        <f>Tabla1[[#This Row],[Descuento]]+Tabla1[[#This Row],[Neto]]</f>
        <v>98.96</v>
      </c>
      <c r="J1246" s="9">
        <v>0</v>
      </c>
      <c r="K1246" s="9">
        <v>98.96</v>
      </c>
      <c r="L1246" s="9">
        <v>18.125086</v>
      </c>
      <c r="M1246" s="24">
        <f>+Tabla1[[#This Row],[Costo Venta]]/Tabla1[[#This Row],[Cantidad]]</f>
        <v>9.0625429999999998</v>
      </c>
      <c r="N1246" s="3">
        <v>1</v>
      </c>
      <c r="O1246" s="8">
        <f>+Tabla1[[#This Row],[Conversión]]*Tabla1[[#This Row],[Cantidad]]</f>
        <v>2</v>
      </c>
      <c r="P1246" s="43">
        <f>Tabla1[[#This Row],[Neto]]-Tabla1[[#This Row],[Costo Venta]]</f>
        <v>80.834913999999998</v>
      </c>
    </row>
    <row r="1247" spans="1:16" x14ac:dyDescent="0.25">
      <c r="A1247" s="48">
        <v>45078</v>
      </c>
      <c r="B1247" s="1" t="s">
        <v>686</v>
      </c>
      <c r="C1247" s="1" t="s">
        <v>109</v>
      </c>
      <c r="D1247" s="1" t="s">
        <v>1200</v>
      </c>
      <c r="E1247" s="1" t="s">
        <v>67</v>
      </c>
      <c r="F1247" s="1" t="s">
        <v>20</v>
      </c>
      <c r="G1247" s="2">
        <v>3</v>
      </c>
      <c r="H1247" s="1" t="s">
        <v>1201</v>
      </c>
      <c r="I1247" s="44">
        <f>Tabla1[[#This Row],[Descuento]]+Tabla1[[#This Row],[Neto]]</f>
        <v>147</v>
      </c>
      <c r="J1247" s="9">
        <v>51.45</v>
      </c>
      <c r="K1247" s="9">
        <v>95.55</v>
      </c>
      <c r="L1247" s="9">
        <v>16.181667000000001</v>
      </c>
      <c r="M1247" s="24">
        <f>+Tabla1[[#This Row],[Costo Venta]]/Tabla1[[#This Row],[Cantidad]]</f>
        <v>5.3938890000000006</v>
      </c>
      <c r="N1247" s="3">
        <v>1</v>
      </c>
      <c r="O1247" s="8">
        <f>+Tabla1[[#This Row],[Conversión]]*Tabla1[[#This Row],[Cantidad]]</f>
        <v>3</v>
      </c>
      <c r="P1247" s="43">
        <f>Tabla1[[#This Row],[Neto]]-Tabla1[[#This Row],[Costo Venta]]</f>
        <v>79.368332999999993</v>
      </c>
    </row>
    <row r="1248" spans="1:16" x14ac:dyDescent="0.25">
      <c r="A1248" s="48">
        <v>45078</v>
      </c>
      <c r="B1248" s="1" t="s">
        <v>686</v>
      </c>
      <c r="C1248" s="1" t="s">
        <v>109</v>
      </c>
      <c r="D1248" s="1" t="s">
        <v>1045</v>
      </c>
      <c r="E1248" s="1" t="s">
        <v>67</v>
      </c>
      <c r="F1248" s="1" t="s">
        <v>20</v>
      </c>
      <c r="G1248" s="2">
        <v>12.5</v>
      </c>
      <c r="H1248" s="1" t="s">
        <v>1201</v>
      </c>
      <c r="I1248" s="44">
        <f>Tabla1[[#This Row],[Descuento]]+Tabla1[[#This Row],[Neto]]</f>
        <v>612.495</v>
      </c>
      <c r="J1248" s="9">
        <v>214.375</v>
      </c>
      <c r="K1248" s="9">
        <v>398.12</v>
      </c>
      <c r="L1248" s="9">
        <v>67.423612500000004</v>
      </c>
      <c r="M1248" s="24">
        <f>+Tabla1[[#This Row],[Costo Venta]]/Tabla1[[#This Row],[Cantidad]]</f>
        <v>5.3938890000000006</v>
      </c>
      <c r="N1248" s="3">
        <v>1</v>
      </c>
      <c r="O1248" s="8">
        <f>+Tabla1[[#This Row],[Conversión]]*Tabla1[[#This Row],[Cantidad]]</f>
        <v>12.5</v>
      </c>
      <c r="P1248" s="43">
        <f>Tabla1[[#This Row],[Neto]]-Tabla1[[#This Row],[Costo Venta]]</f>
        <v>330.69638750000001</v>
      </c>
    </row>
    <row r="1249" spans="1:16" x14ac:dyDescent="0.25">
      <c r="A1249" s="48">
        <v>45078</v>
      </c>
      <c r="B1249" s="1" t="s">
        <v>686</v>
      </c>
      <c r="C1249" s="1" t="s">
        <v>81</v>
      </c>
      <c r="D1249" s="1" t="s">
        <v>851</v>
      </c>
      <c r="E1249" s="1" t="s">
        <v>132</v>
      </c>
      <c r="F1249" s="1" t="s">
        <v>852</v>
      </c>
      <c r="G1249" s="2">
        <v>12</v>
      </c>
      <c r="H1249" s="1" t="s">
        <v>1201</v>
      </c>
      <c r="I1249" s="44">
        <f>Tabla1[[#This Row],[Descuento]]+Tabla1[[#This Row],[Neto]]</f>
        <v>588</v>
      </c>
      <c r="J1249" s="9">
        <v>58.8</v>
      </c>
      <c r="K1249" s="9">
        <v>529.20000000000005</v>
      </c>
      <c r="L1249" s="9">
        <v>64.726668000000004</v>
      </c>
      <c r="M1249" s="24">
        <f>+Tabla1[[#This Row],[Costo Venta]]/Tabla1[[#This Row],[Cantidad]]</f>
        <v>5.3938890000000006</v>
      </c>
      <c r="N1249" s="3">
        <v>1</v>
      </c>
      <c r="O1249" s="8">
        <f>+Tabla1[[#This Row],[Conversión]]*Tabla1[[#This Row],[Cantidad]]</f>
        <v>12</v>
      </c>
      <c r="P1249" s="43">
        <f>Tabla1[[#This Row],[Neto]]-Tabla1[[#This Row],[Costo Venta]]</f>
        <v>464.47333200000003</v>
      </c>
    </row>
    <row r="1250" spans="1:16" x14ac:dyDescent="0.25">
      <c r="A1250" s="48">
        <v>45093</v>
      </c>
      <c r="B1250" s="1" t="s">
        <v>686</v>
      </c>
      <c r="C1250" s="1" t="s">
        <v>109</v>
      </c>
      <c r="D1250" s="1" t="s">
        <v>197</v>
      </c>
      <c r="E1250" s="1" t="s">
        <v>67</v>
      </c>
      <c r="F1250" s="1" t="s">
        <v>198</v>
      </c>
      <c r="G1250" s="2">
        <v>25</v>
      </c>
      <c r="H1250" s="1" t="s">
        <v>1201</v>
      </c>
      <c r="I1250" s="44">
        <f>Tabla1[[#This Row],[Descuento]]+Tabla1[[#This Row],[Neto]]</f>
        <v>1225</v>
      </c>
      <c r="J1250" s="9">
        <v>367.5</v>
      </c>
      <c r="K1250" s="9">
        <v>857.5</v>
      </c>
      <c r="L1250" s="9">
        <v>152.50475</v>
      </c>
      <c r="M1250" s="24">
        <f>+Tabla1[[#This Row],[Costo Venta]]/Tabla1[[#This Row],[Cantidad]]</f>
        <v>6.1001900000000004</v>
      </c>
      <c r="N1250" s="3">
        <v>1</v>
      </c>
      <c r="O1250" s="8">
        <f>+Tabla1[[#This Row],[Conversión]]*Tabla1[[#This Row],[Cantidad]]</f>
        <v>25</v>
      </c>
      <c r="P1250" s="43">
        <f>Tabla1[[#This Row],[Neto]]-Tabla1[[#This Row],[Costo Venta]]</f>
        <v>704.99524999999994</v>
      </c>
    </row>
    <row r="1251" spans="1:16" x14ac:dyDescent="0.25">
      <c r="A1251" s="48">
        <v>45093</v>
      </c>
      <c r="B1251" s="1" t="s">
        <v>686</v>
      </c>
      <c r="C1251" s="1" t="s">
        <v>109</v>
      </c>
      <c r="D1251" s="1" t="s">
        <v>1202</v>
      </c>
      <c r="E1251" s="1" t="s">
        <v>67</v>
      </c>
      <c r="F1251" s="1" t="s">
        <v>198</v>
      </c>
      <c r="G1251" s="2">
        <v>7</v>
      </c>
      <c r="H1251" s="1" t="s">
        <v>1201</v>
      </c>
      <c r="I1251" s="44">
        <f>Tabla1[[#This Row],[Descuento]]+Tabla1[[#This Row],[Neto]]</f>
        <v>343</v>
      </c>
      <c r="J1251" s="9">
        <v>102.9</v>
      </c>
      <c r="K1251" s="9">
        <v>240.1</v>
      </c>
      <c r="L1251" s="9">
        <v>42.701329999999999</v>
      </c>
      <c r="M1251" s="24">
        <f>+Tabla1[[#This Row],[Costo Venta]]/Tabla1[[#This Row],[Cantidad]]</f>
        <v>6.1001899999999996</v>
      </c>
      <c r="N1251" s="3">
        <v>1</v>
      </c>
      <c r="O1251" s="8">
        <f>+Tabla1[[#This Row],[Conversión]]*Tabla1[[#This Row],[Cantidad]]</f>
        <v>7</v>
      </c>
      <c r="P1251" s="43">
        <f>Tabla1[[#This Row],[Neto]]-Tabla1[[#This Row],[Costo Venta]]</f>
        <v>197.39866999999998</v>
      </c>
    </row>
    <row r="1252" spans="1:16" x14ac:dyDescent="0.25">
      <c r="A1252" s="48">
        <v>45104</v>
      </c>
      <c r="B1252" s="1" t="s">
        <v>686</v>
      </c>
      <c r="C1252" s="1" t="s">
        <v>109</v>
      </c>
      <c r="D1252" s="1" t="s">
        <v>1203</v>
      </c>
      <c r="E1252" s="1" t="s">
        <v>67</v>
      </c>
      <c r="F1252" s="1" t="s">
        <v>9</v>
      </c>
      <c r="G1252" s="2">
        <v>15</v>
      </c>
      <c r="H1252" s="1" t="s">
        <v>1201</v>
      </c>
      <c r="I1252" s="44">
        <f>Tabla1[[#This Row],[Descuento]]+Tabla1[[#This Row],[Neto]]</f>
        <v>735</v>
      </c>
      <c r="J1252" s="9">
        <v>257.25</v>
      </c>
      <c r="K1252" s="9">
        <v>477.75</v>
      </c>
      <c r="L1252" s="9">
        <v>89.564999999999998</v>
      </c>
      <c r="M1252" s="24">
        <f>+Tabla1[[#This Row],[Costo Venta]]/Tabla1[[#This Row],[Cantidad]]</f>
        <v>5.9710000000000001</v>
      </c>
      <c r="N1252" s="3">
        <v>1</v>
      </c>
      <c r="O1252" s="8">
        <f>+Tabla1[[#This Row],[Conversión]]*Tabla1[[#This Row],[Cantidad]]</f>
        <v>15</v>
      </c>
      <c r="P1252" s="43">
        <f>Tabla1[[#This Row],[Neto]]-Tabla1[[#This Row],[Costo Venta]]</f>
        <v>388.185</v>
      </c>
    </row>
    <row r="1253" spans="1:16" x14ac:dyDescent="0.25">
      <c r="A1253" s="48">
        <v>45110</v>
      </c>
      <c r="B1253" s="1" t="s">
        <v>686</v>
      </c>
      <c r="C1253" s="1" t="s">
        <v>109</v>
      </c>
      <c r="D1253" s="1" t="s">
        <v>1204</v>
      </c>
      <c r="E1253" s="1" t="s">
        <v>67</v>
      </c>
      <c r="F1253" s="1" t="s">
        <v>20</v>
      </c>
      <c r="G1253" s="2">
        <v>8</v>
      </c>
      <c r="H1253" s="1" t="s">
        <v>1201</v>
      </c>
      <c r="I1253" s="44">
        <f>Tabla1[[#This Row],[Descuento]]+Tabla1[[#This Row],[Neto]]</f>
        <v>392</v>
      </c>
      <c r="J1253" s="9">
        <v>137.19999999999999</v>
      </c>
      <c r="K1253" s="9">
        <v>254.8</v>
      </c>
      <c r="L1253" s="9">
        <v>47.768000000000001</v>
      </c>
      <c r="M1253" s="24">
        <f>+Tabla1[[#This Row],[Costo Venta]]/Tabla1[[#This Row],[Cantidad]]</f>
        <v>5.9710000000000001</v>
      </c>
      <c r="N1253" s="3">
        <v>1</v>
      </c>
      <c r="O1253" s="8">
        <f>+Tabla1[[#This Row],[Conversión]]*Tabla1[[#This Row],[Cantidad]]</f>
        <v>8</v>
      </c>
      <c r="P1253" s="43">
        <f>Tabla1[[#This Row],[Neto]]-Tabla1[[#This Row],[Costo Venta]]</f>
        <v>207.03200000000001</v>
      </c>
    </row>
    <row r="1254" spans="1:16" x14ac:dyDescent="0.25">
      <c r="A1254" s="48">
        <v>45146</v>
      </c>
      <c r="B1254" s="1" t="s">
        <v>686</v>
      </c>
      <c r="C1254" s="1" t="s">
        <v>81</v>
      </c>
      <c r="D1254" s="1" t="s">
        <v>224</v>
      </c>
      <c r="E1254" s="1" t="s">
        <v>71</v>
      </c>
      <c r="F1254" s="1" t="s">
        <v>225</v>
      </c>
      <c r="G1254" s="2">
        <v>26</v>
      </c>
      <c r="H1254" s="1" t="s">
        <v>1201</v>
      </c>
      <c r="I1254" s="44">
        <f>Tabla1[[#This Row],[Descuento]]+Tabla1[[#This Row],[Neto]]</f>
        <v>1274</v>
      </c>
      <c r="J1254" s="9">
        <v>382.2</v>
      </c>
      <c r="K1254" s="9">
        <v>891.8</v>
      </c>
      <c r="L1254" s="9">
        <v>119.580916</v>
      </c>
      <c r="M1254" s="24">
        <f>+Tabla1[[#This Row],[Costo Venta]]/Tabla1[[#This Row],[Cantidad]]</f>
        <v>4.5992660000000001</v>
      </c>
      <c r="N1254" s="3">
        <v>1</v>
      </c>
      <c r="O1254" s="8">
        <f>+Tabla1[[#This Row],[Conversión]]*Tabla1[[#This Row],[Cantidad]]</f>
        <v>26</v>
      </c>
      <c r="P1254" s="43">
        <f>Tabla1[[#This Row],[Neto]]-Tabla1[[#This Row],[Costo Venta]]</f>
        <v>772.21908399999995</v>
      </c>
    </row>
    <row r="1255" spans="1:16" x14ac:dyDescent="0.25">
      <c r="A1255" s="48">
        <v>45161</v>
      </c>
      <c r="B1255" s="1" t="s">
        <v>686</v>
      </c>
      <c r="C1255" s="1" t="s">
        <v>81</v>
      </c>
      <c r="D1255" s="1" t="s">
        <v>1127</v>
      </c>
      <c r="E1255" s="1" t="s">
        <v>71</v>
      </c>
      <c r="F1255" s="1" t="s">
        <v>225</v>
      </c>
      <c r="G1255" s="2">
        <v>2</v>
      </c>
      <c r="H1255" s="1" t="s">
        <v>1201</v>
      </c>
      <c r="I1255" s="44">
        <f>Tabla1[[#This Row],[Descuento]]+Tabla1[[#This Row],[Neto]]</f>
        <v>98.957999999999998</v>
      </c>
      <c r="J1255" s="9">
        <v>29.687999999999999</v>
      </c>
      <c r="K1255" s="9">
        <v>69.27</v>
      </c>
      <c r="L1255" s="9">
        <v>8.0727919999999997</v>
      </c>
      <c r="M1255" s="24">
        <f>+Tabla1[[#This Row],[Costo Venta]]/Tabla1[[#This Row],[Cantidad]]</f>
        <v>4.0363959999999999</v>
      </c>
      <c r="N1255" s="3">
        <v>1</v>
      </c>
      <c r="O1255" s="8">
        <f>+Tabla1[[#This Row],[Conversión]]*Tabla1[[#This Row],[Cantidad]]</f>
        <v>2</v>
      </c>
      <c r="P1255" s="43">
        <f>Tabla1[[#This Row],[Neto]]-Tabla1[[#This Row],[Costo Venta]]</f>
        <v>61.197207999999996</v>
      </c>
    </row>
    <row r="1256" spans="1:16" x14ac:dyDescent="0.25">
      <c r="A1256" s="48">
        <v>45198</v>
      </c>
      <c r="B1256" s="1" t="s">
        <v>686</v>
      </c>
      <c r="C1256" s="1" t="s">
        <v>81</v>
      </c>
      <c r="D1256" s="1" t="s">
        <v>1205</v>
      </c>
      <c r="E1256" s="1" t="s">
        <v>67</v>
      </c>
      <c r="F1256" s="1" t="s">
        <v>9</v>
      </c>
      <c r="G1256" s="2">
        <v>20</v>
      </c>
      <c r="H1256" s="1" t="s">
        <v>1201</v>
      </c>
      <c r="I1256" s="44">
        <f>Tabla1[[#This Row],[Descuento]]+Tabla1[[#This Row],[Neto]]</f>
        <v>989.6</v>
      </c>
      <c r="J1256" s="9">
        <v>346.36</v>
      </c>
      <c r="K1256" s="9">
        <v>643.24</v>
      </c>
      <c r="L1256" s="9">
        <v>80.954939999999993</v>
      </c>
      <c r="M1256" s="24">
        <f>+Tabla1[[#This Row],[Costo Venta]]/Tabla1[[#This Row],[Cantidad]]</f>
        <v>4.0477469999999993</v>
      </c>
      <c r="N1256" s="3">
        <v>1</v>
      </c>
      <c r="O1256" s="8">
        <f>+Tabla1[[#This Row],[Conversión]]*Tabla1[[#This Row],[Cantidad]]</f>
        <v>20</v>
      </c>
      <c r="P1256" s="43">
        <f>Tabla1[[#This Row],[Neto]]-Tabla1[[#This Row],[Costo Venta]]</f>
        <v>562.28506000000004</v>
      </c>
    </row>
    <row r="1257" spans="1:16" x14ac:dyDescent="0.25">
      <c r="A1257" s="48">
        <v>45215</v>
      </c>
      <c r="B1257" s="1" t="s">
        <v>686</v>
      </c>
      <c r="C1257" s="1" t="s">
        <v>81</v>
      </c>
      <c r="D1257" s="1" t="s">
        <v>1206</v>
      </c>
      <c r="E1257" s="1" t="s">
        <v>132</v>
      </c>
      <c r="F1257" s="1" t="s">
        <v>1207</v>
      </c>
      <c r="G1257" s="2">
        <v>30</v>
      </c>
      <c r="H1257" s="1" t="s">
        <v>1201</v>
      </c>
      <c r="I1257" s="44">
        <f>Tabla1[[#This Row],[Descuento]]+Tabla1[[#This Row],[Neto]]</f>
        <v>1470</v>
      </c>
      <c r="J1257" s="9">
        <v>220.5</v>
      </c>
      <c r="K1257" s="9">
        <v>1249.5</v>
      </c>
      <c r="L1257" s="9">
        <v>117.43335</v>
      </c>
      <c r="M1257" s="24">
        <f>+Tabla1[[#This Row],[Costo Venta]]/Tabla1[[#This Row],[Cantidad]]</f>
        <v>3.9144450000000002</v>
      </c>
      <c r="N1257" s="3">
        <v>1</v>
      </c>
      <c r="O1257" s="8">
        <f>+Tabla1[[#This Row],[Conversión]]*Tabla1[[#This Row],[Cantidad]]</f>
        <v>30</v>
      </c>
      <c r="P1257" s="43">
        <f>Tabla1[[#This Row],[Neto]]-Tabla1[[#This Row],[Costo Venta]]</f>
        <v>1132.06665</v>
      </c>
    </row>
    <row r="1258" spans="1:16" x14ac:dyDescent="0.25">
      <c r="A1258" s="48">
        <v>45422</v>
      </c>
      <c r="B1258" s="1" t="s">
        <v>686</v>
      </c>
      <c r="C1258" s="1" t="s">
        <v>65</v>
      </c>
      <c r="D1258" s="1" t="s">
        <v>704</v>
      </c>
      <c r="E1258" s="1" t="s">
        <v>71</v>
      </c>
      <c r="F1258" s="1" t="s">
        <v>705</v>
      </c>
      <c r="G1258" s="2">
        <v>10</v>
      </c>
      <c r="H1258" s="1" t="s">
        <v>1201</v>
      </c>
      <c r="I1258" s="44">
        <f>Tabla1[[#This Row],[Descuento]]+Tabla1[[#This Row],[Neto]]</f>
        <v>494.8</v>
      </c>
      <c r="J1258" s="9">
        <v>148.44</v>
      </c>
      <c r="K1258" s="9">
        <v>346.36</v>
      </c>
      <c r="L1258" s="9">
        <v>36.152169999999998</v>
      </c>
      <c r="M1258" s="24">
        <f>+Tabla1[[#This Row],[Costo Venta]]/Tabla1[[#This Row],[Cantidad]]</f>
        <v>3.6152169999999999</v>
      </c>
      <c r="N1258" s="3">
        <v>1</v>
      </c>
      <c r="O1258" s="8">
        <f>+Tabla1[[#This Row],[Conversión]]*Tabla1[[#This Row],[Cantidad]]</f>
        <v>10</v>
      </c>
      <c r="P1258" s="43">
        <f>Tabla1[[#This Row],[Neto]]-Tabla1[[#This Row],[Costo Venta]]</f>
        <v>310.20783</v>
      </c>
    </row>
    <row r="1259" spans="1:16" x14ac:dyDescent="0.25">
      <c r="A1259" s="48">
        <v>45483</v>
      </c>
      <c r="B1259" s="1" t="s">
        <v>686</v>
      </c>
      <c r="C1259" s="1" t="s">
        <v>65</v>
      </c>
      <c r="D1259" s="1" t="s">
        <v>810</v>
      </c>
      <c r="E1259" s="1" t="s">
        <v>71</v>
      </c>
      <c r="F1259" s="1" t="s">
        <v>811</v>
      </c>
      <c r="G1259" s="2">
        <v>31</v>
      </c>
      <c r="H1259" s="1" t="s">
        <v>1201</v>
      </c>
      <c r="I1259" s="44">
        <f>Tabla1[[#This Row],[Descuento]]+Tabla1[[#This Row],[Neto]]</f>
        <v>1533.8779999999999</v>
      </c>
      <c r="J1259" s="9">
        <v>153.38800000000001</v>
      </c>
      <c r="K1259" s="9">
        <v>1380.49</v>
      </c>
      <c r="L1259" s="9">
        <v>104.91959300000001</v>
      </c>
      <c r="M1259" s="24">
        <f>+Tabla1[[#This Row],[Costo Venta]]/Tabla1[[#This Row],[Cantidad]]</f>
        <v>3.384503</v>
      </c>
      <c r="N1259" s="3">
        <v>1</v>
      </c>
      <c r="O1259" s="8">
        <f>+Tabla1[[#This Row],[Conversión]]*Tabla1[[#This Row],[Cantidad]]</f>
        <v>31</v>
      </c>
      <c r="P1259" s="43">
        <f>Tabla1[[#This Row],[Neto]]-Tabla1[[#This Row],[Costo Venta]]</f>
        <v>1275.5704069999999</v>
      </c>
    </row>
    <row r="1260" spans="1:16" x14ac:dyDescent="0.25">
      <c r="A1260" s="48">
        <v>45572</v>
      </c>
      <c r="B1260" s="1" t="s">
        <v>686</v>
      </c>
      <c r="C1260" s="1" t="s">
        <v>65</v>
      </c>
      <c r="D1260" s="1" t="s">
        <v>1208</v>
      </c>
      <c r="E1260" s="1" t="s">
        <v>67</v>
      </c>
      <c r="F1260" s="1" t="s">
        <v>20</v>
      </c>
      <c r="G1260" s="2">
        <v>30</v>
      </c>
      <c r="H1260" s="1" t="s">
        <v>1201</v>
      </c>
      <c r="I1260" s="44">
        <f>Tabla1[[#This Row],[Descuento]]+Tabla1[[#This Row],[Neto]]</f>
        <v>1484.4</v>
      </c>
      <c r="J1260" s="9">
        <v>519.54</v>
      </c>
      <c r="K1260" s="9">
        <v>964.86</v>
      </c>
      <c r="L1260" s="9">
        <v>96.980760000000004</v>
      </c>
      <c r="M1260" s="24">
        <f>+Tabla1[[#This Row],[Costo Venta]]/Tabla1[[#This Row],[Cantidad]]</f>
        <v>3.2326920000000001</v>
      </c>
      <c r="N1260" s="3">
        <v>1</v>
      </c>
      <c r="O1260" s="8">
        <f>+Tabla1[[#This Row],[Conversión]]*Tabla1[[#This Row],[Cantidad]]</f>
        <v>30</v>
      </c>
      <c r="P1260" s="43">
        <f>Tabla1[[#This Row],[Neto]]-Tabla1[[#This Row],[Costo Venta]]</f>
        <v>867.87923999999998</v>
      </c>
    </row>
    <row r="1261" spans="1:16" x14ac:dyDescent="0.25">
      <c r="A1261" s="48">
        <v>45686</v>
      </c>
      <c r="B1261" s="1" t="s">
        <v>686</v>
      </c>
      <c r="C1261" s="1" t="s">
        <v>65</v>
      </c>
      <c r="D1261" s="1" t="s">
        <v>1209</v>
      </c>
      <c r="E1261" s="1" t="s">
        <v>67</v>
      </c>
      <c r="F1261" s="1" t="s">
        <v>20</v>
      </c>
      <c r="G1261" s="2">
        <v>3</v>
      </c>
      <c r="H1261" s="1" t="s">
        <v>1201</v>
      </c>
      <c r="I1261" s="44">
        <f>Tabla1[[#This Row],[Descuento]]+Tabla1[[#This Row],[Neto]]</f>
        <v>148.44399999999999</v>
      </c>
      <c r="J1261" s="9">
        <v>51.954000000000001</v>
      </c>
      <c r="K1261" s="9">
        <v>96.49</v>
      </c>
      <c r="L1261" s="9">
        <v>9.6944700000000008</v>
      </c>
      <c r="M1261" s="24">
        <f>+Tabla1[[#This Row],[Costo Venta]]/Tabla1[[#This Row],[Cantidad]]</f>
        <v>3.2314900000000004</v>
      </c>
      <c r="N1261" s="3">
        <v>1</v>
      </c>
      <c r="O1261" s="8">
        <f>+Tabla1[[#This Row],[Conversión]]*Tabla1[[#This Row],[Cantidad]]</f>
        <v>3</v>
      </c>
      <c r="P1261" s="43">
        <f>Tabla1[[#This Row],[Neto]]-Tabla1[[#This Row],[Costo Venta]]</f>
        <v>86.795529999999999</v>
      </c>
    </row>
    <row r="1262" spans="1:16" x14ac:dyDescent="0.25">
      <c r="A1262" s="48">
        <v>45747</v>
      </c>
      <c r="B1262" s="1" t="s">
        <v>686</v>
      </c>
      <c r="C1262" s="1" t="s">
        <v>65</v>
      </c>
      <c r="D1262" s="1" t="s">
        <v>1210</v>
      </c>
      <c r="E1262" s="1" t="s">
        <v>67</v>
      </c>
      <c r="F1262" s="1" t="s">
        <v>20</v>
      </c>
      <c r="G1262" s="2">
        <v>3</v>
      </c>
      <c r="H1262" s="1" t="s">
        <v>1201</v>
      </c>
      <c r="I1262" s="44">
        <f>Tabla1[[#This Row],[Descuento]]+Tabla1[[#This Row],[Neto]]</f>
        <v>148.44399999999999</v>
      </c>
      <c r="J1262" s="9">
        <v>51.954000000000001</v>
      </c>
      <c r="K1262" s="9">
        <v>96.49</v>
      </c>
      <c r="L1262" s="9">
        <v>9.6944700000000008</v>
      </c>
      <c r="M1262" s="24">
        <f>+Tabla1[[#This Row],[Costo Venta]]/Tabla1[[#This Row],[Cantidad]]</f>
        <v>3.2314900000000004</v>
      </c>
      <c r="N1262" s="3">
        <v>1</v>
      </c>
      <c r="O1262" s="8">
        <f>+Tabla1[[#This Row],[Conversión]]*Tabla1[[#This Row],[Cantidad]]</f>
        <v>3</v>
      </c>
      <c r="P1262" s="43">
        <f>Tabla1[[#This Row],[Neto]]-Tabla1[[#This Row],[Costo Venta]]</f>
        <v>86.795529999999999</v>
      </c>
    </row>
    <row r="1263" spans="1:16" x14ac:dyDescent="0.25">
      <c r="A1263" s="48">
        <v>45833</v>
      </c>
      <c r="B1263" s="1" t="s">
        <v>686</v>
      </c>
      <c r="C1263" s="1" t="s">
        <v>65</v>
      </c>
      <c r="D1263" s="1" t="s">
        <v>1211</v>
      </c>
      <c r="E1263" s="1" t="s">
        <v>67</v>
      </c>
      <c r="F1263" s="1" t="s">
        <v>9</v>
      </c>
      <c r="G1263" s="2">
        <v>17</v>
      </c>
      <c r="H1263" s="1" t="s">
        <v>1201</v>
      </c>
      <c r="I1263" s="44">
        <f>Tabla1[[#This Row],[Descuento]]+Tabla1[[#This Row],[Neto]]</f>
        <v>841.16200000000003</v>
      </c>
      <c r="J1263" s="9">
        <v>378.52199999999999</v>
      </c>
      <c r="K1263" s="9">
        <v>462.64</v>
      </c>
      <c r="L1263" s="9">
        <v>54.925384999999999</v>
      </c>
      <c r="M1263" s="24">
        <f>+Tabla1[[#This Row],[Costo Venta]]/Tabla1[[#This Row],[Cantidad]]</f>
        <v>3.2309049999999999</v>
      </c>
      <c r="N1263" s="3">
        <v>1</v>
      </c>
      <c r="O1263" s="8">
        <f>+Tabla1[[#This Row],[Conversión]]*Tabla1[[#This Row],[Cantidad]]</f>
        <v>17</v>
      </c>
      <c r="P1263" s="43">
        <f>Tabla1[[#This Row],[Neto]]-Tabla1[[#This Row],[Costo Venta]]</f>
        <v>407.71461499999998</v>
      </c>
    </row>
    <row r="1264" spans="1:16" x14ac:dyDescent="0.25">
      <c r="A1264" s="48">
        <v>45841</v>
      </c>
      <c r="B1264" s="1" t="s">
        <v>686</v>
      </c>
      <c r="C1264" s="1" t="s">
        <v>65</v>
      </c>
      <c r="D1264" s="1" t="s">
        <v>1212</v>
      </c>
      <c r="E1264" s="1" t="s">
        <v>67</v>
      </c>
      <c r="F1264" s="1" t="s">
        <v>20</v>
      </c>
      <c r="G1264" s="2">
        <v>16.5</v>
      </c>
      <c r="H1264" s="1" t="s">
        <v>1201</v>
      </c>
      <c r="I1264" s="44">
        <f>Tabla1[[#This Row],[Descuento]]+Tabla1[[#This Row],[Neto]]</f>
        <v>816.41599999999994</v>
      </c>
      <c r="J1264" s="9">
        <v>244.92599999999999</v>
      </c>
      <c r="K1264" s="9">
        <v>571.49</v>
      </c>
      <c r="L1264" s="9">
        <v>53.272180499999997</v>
      </c>
      <c r="M1264" s="24">
        <f>+Tabla1[[#This Row],[Costo Venta]]/Tabla1[[#This Row],[Cantidad]]</f>
        <v>3.2286169999999998</v>
      </c>
      <c r="N1264" s="3">
        <v>1</v>
      </c>
      <c r="O1264" s="8">
        <f>+Tabla1[[#This Row],[Conversión]]*Tabla1[[#This Row],[Cantidad]]</f>
        <v>16.5</v>
      </c>
      <c r="P1264" s="43">
        <f>Tabla1[[#This Row],[Neto]]-Tabla1[[#This Row],[Costo Venta]]</f>
        <v>518.21781950000002</v>
      </c>
    </row>
    <row r="1265" spans="1:16" x14ac:dyDescent="0.25">
      <c r="A1265" s="48">
        <v>45867</v>
      </c>
      <c r="B1265" s="1" t="s">
        <v>686</v>
      </c>
      <c r="C1265" s="1" t="s">
        <v>65</v>
      </c>
      <c r="D1265" s="1" t="s">
        <v>1213</v>
      </c>
      <c r="E1265" s="1" t="s">
        <v>67</v>
      </c>
      <c r="F1265" s="1" t="s">
        <v>20</v>
      </c>
      <c r="G1265" s="2">
        <v>20</v>
      </c>
      <c r="H1265" s="1" t="s">
        <v>1201</v>
      </c>
      <c r="I1265" s="44">
        <f>Tabla1[[#This Row],[Descuento]]+Tabla1[[#This Row],[Neto]]</f>
        <v>989.6</v>
      </c>
      <c r="J1265" s="9">
        <v>296.88</v>
      </c>
      <c r="K1265" s="9">
        <v>692.72</v>
      </c>
      <c r="L1265" s="9">
        <v>64.580299999999994</v>
      </c>
      <c r="M1265" s="24">
        <f>+Tabla1[[#This Row],[Costo Venta]]/Tabla1[[#This Row],[Cantidad]]</f>
        <v>3.2290149999999995</v>
      </c>
      <c r="N1265" s="3">
        <v>1</v>
      </c>
      <c r="O1265" s="8">
        <f>+Tabla1[[#This Row],[Conversión]]*Tabla1[[#This Row],[Cantidad]]</f>
        <v>20</v>
      </c>
      <c r="P1265" s="43">
        <f>Tabla1[[#This Row],[Neto]]-Tabla1[[#This Row],[Costo Venta]]</f>
        <v>628.13970000000006</v>
      </c>
    </row>
    <row r="1266" spans="1:16" x14ac:dyDescent="0.25">
      <c r="A1266" s="48">
        <v>45881</v>
      </c>
      <c r="B1266" s="1" t="s">
        <v>686</v>
      </c>
      <c r="C1266" s="1" t="s">
        <v>65</v>
      </c>
      <c r="D1266" s="1" t="s">
        <v>1214</v>
      </c>
      <c r="E1266" s="1" t="s">
        <v>67</v>
      </c>
      <c r="F1266" s="1" t="s">
        <v>20</v>
      </c>
      <c r="G1266" s="2">
        <v>4</v>
      </c>
      <c r="H1266" s="1" t="s">
        <v>1201</v>
      </c>
      <c r="I1266" s="44">
        <f>Tabla1[[#This Row],[Descuento]]+Tabla1[[#This Row],[Neto]]</f>
        <v>197.916</v>
      </c>
      <c r="J1266" s="9">
        <v>59.375999999999998</v>
      </c>
      <c r="K1266" s="9">
        <v>138.54</v>
      </c>
      <c r="L1266" s="9">
        <v>12.914911999999999</v>
      </c>
      <c r="M1266" s="24">
        <f>+Tabla1[[#This Row],[Costo Venta]]/Tabla1[[#This Row],[Cantidad]]</f>
        <v>3.2287279999999998</v>
      </c>
      <c r="N1266" s="3">
        <v>1</v>
      </c>
      <c r="O1266" s="8">
        <f>+Tabla1[[#This Row],[Conversión]]*Tabla1[[#This Row],[Cantidad]]</f>
        <v>4</v>
      </c>
      <c r="P1266" s="43">
        <f>Tabla1[[#This Row],[Neto]]-Tabla1[[#This Row],[Costo Venta]]</f>
        <v>125.62508799999999</v>
      </c>
    </row>
    <row r="1267" spans="1:16" x14ac:dyDescent="0.25">
      <c r="A1267" s="48">
        <v>45926</v>
      </c>
      <c r="B1267" s="1" t="s">
        <v>686</v>
      </c>
      <c r="C1267" s="1" t="s">
        <v>65</v>
      </c>
      <c r="D1267" s="1" t="s">
        <v>1215</v>
      </c>
      <c r="E1267" s="1" t="s">
        <v>67</v>
      </c>
      <c r="F1267" s="1" t="s">
        <v>20</v>
      </c>
      <c r="G1267" s="2">
        <v>66</v>
      </c>
      <c r="H1267" s="1" t="s">
        <v>1201</v>
      </c>
      <c r="I1267" s="44">
        <f>Tabla1[[#This Row],[Descuento]]+Tabla1[[#This Row],[Neto]]</f>
        <v>3265.6840000000002</v>
      </c>
      <c r="J1267" s="9">
        <v>979.70399999999995</v>
      </c>
      <c r="K1267" s="9">
        <v>2285.98</v>
      </c>
      <c r="L1267" s="9">
        <v>206.00949600000001</v>
      </c>
      <c r="M1267" s="24">
        <f>+Tabla1[[#This Row],[Costo Venta]]/Tabla1[[#This Row],[Cantidad]]</f>
        <v>3.121356</v>
      </c>
      <c r="N1267" s="3">
        <v>1</v>
      </c>
      <c r="O1267" s="8">
        <f>+Tabla1[[#This Row],[Conversión]]*Tabla1[[#This Row],[Cantidad]]</f>
        <v>66</v>
      </c>
      <c r="P1267" s="43">
        <f>Tabla1[[#This Row],[Neto]]-Tabla1[[#This Row],[Costo Venta]]</f>
        <v>2079.9705039999999</v>
      </c>
    </row>
    <row r="1268" spans="1:16" x14ac:dyDescent="0.25">
      <c r="A1268" s="48">
        <v>45222</v>
      </c>
      <c r="B1268" s="1" t="s">
        <v>686</v>
      </c>
      <c r="C1268" s="1" t="s">
        <v>81</v>
      </c>
      <c r="D1268" s="1" t="s">
        <v>1216</v>
      </c>
      <c r="E1268" s="1" t="s">
        <v>71</v>
      </c>
      <c r="F1268" s="1" t="s">
        <v>10</v>
      </c>
      <c r="G1268" s="2">
        <v>12</v>
      </c>
      <c r="H1268" s="1" t="s">
        <v>1217</v>
      </c>
      <c r="I1268" s="44">
        <f>Tabla1[[#This Row],[Descuento]]+Tabla1[[#This Row],[Neto]]</f>
        <v>593.75599999999997</v>
      </c>
      <c r="J1268" s="9">
        <v>207.816</v>
      </c>
      <c r="K1268" s="9">
        <v>385.94</v>
      </c>
      <c r="L1268" s="9">
        <v>71.546952000000005</v>
      </c>
      <c r="M1268" s="24">
        <f>+Tabla1[[#This Row],[Costo Venta]]/Tabla1[[#This Row],[Cantidad]]</f>
        <v>5.9622460000000004</v>
      </c>
      <c r="N1268" s="3">
        <v>1</v>
      </c>
      <c r="O1268" s="8">
        <f>+Tabla1[[#This Row],[Conversión]]*Tabla1[[#This Row],[Cantidad]]</f>
        <v>12</v>
      </c>
      <c r="P1268" s="43">
        <f>Tabla1[[#This Row],[Neto]]-Tabla1[[#This Row],[Costo Venta]]</f>
        <v>314.39304800000002</v>
      </c>
    </row>
    <row r="1269" spans="1:16" x14ac:dyDescent="0.25">
      <c r="A1269" s="48">
        <v>45281</v>
      </c>
      <c r="B1269" s="1" t="s">
        <v>686</v>
      </c>
      <c r="C1269" s="1" t="s">
        <v>214</v>
      </c>
      <c r="D1269" s="1" t="s">
        <v>908</v>
      </c>
      <c r="E1269" s="1" t="s">
        <v>71</v>
      </c>
      <c r="F1269" s="1" t="s">
        <v>619</v>
      </c>
      <c r="G1269" s="2">
        <v>8</v>
      </c>
      <c r="H1269" s="1" t="s">
        <v>1217</v>
      </c>
      <c r="I1269" s="44">
        <f>Tabla1[[#This Row],[Descuento]]+Tabla1[[#This Row],[Neto]]</f>
        <v>395.83599999999996</v>
      </c>
      <c r="J1269" s="9">
        <v>59.375999999999998</v>
      </c>
      <c r="K1269" s="9">
        <v>336.46</v>
      </c>
      <c r="L1269" s="9">
        <v>46.686120000000003</v>
      </c>
      <c r="M1269" s="24">
        <f>+Tabla1[[#This Row],[Costo Venta]]/Tabla1[[#This Row],[Cantidad]]</f>
        <v>5.8357650000000003</v>
      </c>
      <c r="N1269" s="3">
        <v>1</v>
      </c>
      <c r="O1269" s="8">
        <f>+Tabla1[[#This Row],[Conversión]]*Tabla1[[#This Row],[Cantidad]]</f>
        <v>8</v>
      </c>
      <c r="P1269" s="43">
        <f>Tabla1[[#This Row],[Neto]]-Tabla1[[#This Row],[Costo Venta]]</f>
        <v>289.77387999999996</v>
      </c>
    </row>
    <row r="1270" spans="1:16" x14ac:dyDescent="0.25">
      <c r="A1270" s="48">
        <v>45481</v>
      </c>
      <c r="B1270" s="1" t="s">
        <v>686</v>
      </c>
      <c r="C1270" s="1" t="s">
        <v>65</v>
      </c>
      <c r="D1270" s="1" t="s">
        <v>1218</v>
      </c>
      <c r="E1270" s="1" t="s">
        <v>71</v>
      </c>
      <c r="F1270" s="1" t="s">
        <v>1219</v>
      </c>
      <c r="G1270" s="2">
        <v>21</v>
      </c>
      <c r="H1270" s="1" t="s">
        <v>1217</v>
      </c>
      <c r="I1270" s="44">
        <f>Tabla1[[#This Row],[Descuento]]+Tabla1[[#This Row],[Neto]]</f>
        <v>1039.0820000000001</v>
      </c>
      <c r="J1270" s="9">
        <v>155.86199999999999</v>
      </c>
      <c r="K1270" s="9">
        <v>883.22</v>
      </c>
      <c r="L1270" s="9">
        <v>122.55106499999999</v>
      </c>
      <c r="M1270" s="24">
        <f>+Tabla1[[#This Row],[Costo Venta]]/Tabla1[[#This Row],[Cantidad]]</f>
        <v>5.8357649999999994</v>
      </c>
      <c r="N1270" s="3">
        <v>1</v>
      </c>
      <c r="O1270" s="8">
        <f>+Tabla1[[#This Row],[Conversión]]*Tabla1[[#This Row],[Cantidad]]</f>
        <v>21</v>
      </c>
      <c r="P1270" s="43">
        <f>Tabla1[[#This Row],[Neto]]-Tabla1[[#This Row],[Costo Venta]]</f>
        <v>760.66893500000003</v>
      </c>
    </row>
    <row r="1271" spans="1:16" x14ac:dyDescent="0.25">
      <c r="A1271" s="48">
        <v>45202</v>
      </c>
      <c r="B1271" s="1" t="s">
        <v>686</v>
      </c>
      <c r="C1271" s="1" t="s">
        <v>29</v>
      </c>
      <c r="D1271" s="1" t="s">
        <v>245</v>
      </c>
      <c r="E1271" s="1" t="s">
        <v>71</v>
      </c>
      <c r="F1271" s="1" t="s">
        <v>246</v>
      </c>
      <c r="G1271" s="2">
        <v>8</v>
      </c>
      <c r="H1271" s="1" t="s">
        <v>1220</v>
      </c>
      <c r="I1271" s="44">
        <f>Tabla1[[#This Row],[Descuento]]+Tabla1[[#This Row],[Neto]]</f>
        <v>395.83599999999996</v>
      </c>
      <c r="J1271" s="9">
        <v>59.375999999999998</v>
      </c>
      <c r="K1271" s="9">
        <v>336.46</v>
      </c>
      <c r="L1271" s="9">
        <v>57.457776000000003</v>
      </c>
      <c r="M1271" s="24">
        <f>+Tabla1[[#This Row],[Costo Venta]]/Tabla1[[#This Row],[Cantidad]]</f>
        <v>7.1822220000000003</v>
      </c>
      <c r="N1271" s="3">
        <v>1</v>
      </c>
      <c r="O1271" s="8">
        <f>+Tabla1[[#This Row],[Conversión]]*Tabla1[[#This Row],[Cantidad]]</f>
        <v>8</v>
      </c>
      <c r="P1271" s="43">
        <f>Tabla1[[#This Row],[Neto]]-Tabla1[[#This Row],[Costo Venta]]</f>
        <v>279.00222399999996</v>
      </c>
    </row>
    <row r="1272" spans="1:16" x14ac:dyDescent="0.25">
      <c r="A1272" s="48">
        <v>45433</v>
      </c>
      <c r="B1272" s="1" t="s">
        <v>686</v>
      </c>
      <c r="C1272" s="1" t="s">
        <v>29</v>
      </c>
      <c r="D1272" s="1" t="s">
        <v>1221</v>
      </c>
      <c r="E1272" s="1" t="s">
        <v>67</v>
      </c>
      <c r="F1272" s="1" t="s">
        <v>20</v>
      </c>
      <c r="G1272" s="2">
        <v>14.5</v>
      </c>
      <c r="H1272" s="1" t="s">
        <v>1220</v>
      </c>
      <c r="I1272" s="44">
        <f>Tabla1[[#This Row],[Descuento]]+Tabla1[[#This Row],[Neto]]</f>
        <v>717.46100000000001</v>
      </c>
      <c r="J1272" s="9">
        <v>251.11099999999999</v>
      </c>
      <c r="K1272" s="9">
        <v>466.35</v>
      </c>
      <c r="L1272" s="9">
        <v>88.140860000000004</v>
      </c>
      <c r="M1272" s="24">
        <f>+Tabla1[[#This Row],[Costo Venta]]/Tabla1[[#This Row],[Cantidad]]</f>
        <v>6.0786800000000003</v>
      </c>
      <c r="N1272" s="3">
        <v>1</v>
      </c>
      <c r="O1272" s="8">
        <f>+Tabla1[[#This Row],[Conversión]]*Tabla1[[#This Row],[Cantidad]]</f>
        <v>14.5</v>
      </c>
      <c r="P1272" s="43">
        <f>Tabla1[[#This Row],[Neto]]-Tabla1[[#This Row],[Costo Venta]]</f>
        <v>378.20914000000005</v>
      </c>
    </row>
    <row r="1273" spans="1:16" x14ac:dyDescent="0.25">
      <c r="A1273" s="48">
        <v>45832</v>
      </c>
      <c r="B1273" s="1" t="s">
        <v>686</v>
      </c>
      <c r="C1273" s="1" t="s">
        <v>65</v>
      </c>
      <c r="D1273" s="1" t="s">
        <v>1222</v>
      </c>
      <c r="E1273" s="1" t="s">
        <v>67</v>
      </c>
      <c r="F1273" s="1" t="s">
        <v>44</v>
      </c>
      <c r="G1273" s="2">
        <v>12</v>
      </c>
      <c r="H1273" s="1" t="s">
        <v>1220</v>
      </c>
      <c r="I1273" s="44">
        <f>Tabla1[[#This Row],[Descuento]]+Tabla1[[#This Row],[Neto]]</f>
        <v>593.75599999999997</v>
      </c>
      <c r="J1273" s="9">
        <v>207.816</v>
      </c>
      <c r="K1273" s="9">
        <v>385.94</v>
      </c>
      <c r="L1273" s="9">
        <v>73.287335999999996</v>
      </c>
      <c r="M1273" s="24">
        <f>+Tabla1[[#This Row],[Costo Venta]]/Tabla1[[#This Row],[Cantidad]]</f>
        <v>6.107278</v>
      </c>
      <c r="N1273" s="3">
        <v>1</v>
      </c>
      <c r="O1273" s="8">
        <f>+Tabla1[[#This Row],[Conversión]]*Tabla1[[#This Row],[Cantidad]]</f>
        <v>12</v>
      </c>
      <c r="P1273" s="43">
        <f>Tabla1[[#This Row],[Neto]]-Tabla1[[#This Row],[Costo Venta]]</f>
        <v>312.65266400000002</v>
      </c>
    </row>
    <row r="1274" spans="1:16" x14ac:dyDescent="0.25">
      <c r="A1274" s="48">
        <v>44958</v>
      </c>
      <c r="B1274" s="1" t="s">
        <v>686</v>
      </c>
      <c r="C1274" s="1" t="s">
        <v>109</v>
      </c>
      <c r="D1274" s="1" t="s">
        <v>136</v>
      </c>
      <c r="E1274" s="1" t="s">
        <v>137</v>
      </c>
      <c r="F1274" s="1" t="s">
        <v>138</v>
      </c>
      <c r="G1274" s="2">
        <v>31</v>
      </c>
      <c r="H1274" s="1" t="s">
        <v>1223</v>
      </c>
      <c r="I1274" s="44">
        <f>Tabla1[[#This Row],[Descuento]]+Tabla1[[#This Row],[Neto]]</f>
        <v>1519</v>
      </c>
      <c r="J1274" s="9">
        <v>151.9</v>
      </c>
      <c r="K1274" s="9">
        <v>1367.1</v>
      </c>
      <c r="L1274" s="9">
        <v>234.05</v>
      </c>
      <c r="M1274" s="24">
        <f>+Tabla1[[#This Row],[Costo Venta]]/Tabla1[[#This Row],[Cantidad]]</f>
        <v>7.5500000000000007</v>
      </c>
      <c r="N1274" s="3">
        <v>1</v>
      </c>
      <c r="O1274" s="8">
        <f>+Tabla1[[#This Row],[Conversión]]*Tabla1[[#This Row],[Cantidad]]</f>
        <v>31</v>
      </c>
      <c r="P1274" s="43">
        <f>Tabla1[[#This Row],[Neto]]-Tabla1[[#This Row],[Costo Venta]]</f>
        <v>1133.05</v>
      </c>
    </row>
    <row r="1275" spans="1:16" x14ac:dyDescent="0.25">
      <c r="A1275" s="48">
        <v>44979</v>
      </c>
      <c r="B1275" s="1" t="s">
        <v>686</v>
      </c>
      <c r="C1275" s="1" t="s">
        <v>115</v>
      </c>
      <c r="D1275" s="1" t="s">
        <v>1224</v>
      </c>
      <c r="E1275" s="1" t="s">
        <v>71</v>
      </c>
      <c r="F1275" s="1" t="s">
        <v>1225</v>
      </c>
      <c r="G1275" s="2">
        <v>6.5</v>
      </c>
      <c r="H1275" s="1" t="s">
        <v>1223</v>
      </c>
      <c r="I1275" s="44">
        <f>Tabla1[[#This Row],[Descuento]]+Tabla1[[#This Row],[Neto]]</f>
        <v>318.5</v>
      </c>
      <c r="J1275" s="9">
        <v>0</v>
      </c>
      <c r="K1275" s="9">
        <v>318.5</v>
      </c>
      <c r="L1275" s="9">
        <v>49.075000000000003</v>
      </c>
      <c r="M1275" s="24">
        <f>+Tabla1[[#This Row],[Costo Venta]]/Tabla1[[#This Row],[Cantidad]]</f>
        <v>7.5500000000000007</v>
      </c>
      <c r="N1275" s="3">
        <v>1</v>
      </c>
      <c r="O1275" s="8">
        <f>+Tabla1[[#This Row],[Conversión]]*Tabla1[[#This Row],[Cantidad]]</f>
        <v>6.5</v>
      </c>
      <c r="P1275" s="43">
        <f>Tabla1[[#This Row],[Neto]]-Tabla1[[#This Row],[Costo Venta]]</f>
        <v>269.42500000000001</v>
      </c>
    </row>
    <row r="1276" spans="1:16" x14ac:dyDescent="0.25">
      <c r="A1276" s="48">
        <v>45448</v>
      </c>
      <c r="B1276" s="1" t="s">
        <v>481</v>
      </c>
      <c r="C1276" s="1" t="s">
        <v>143</v>
      </c>
      <c r="D1276" s="1" t="s">
        <v>869</v>
      </c>
      <c r="E1276" s="1" t="s">
        <v>71</v>
      </c>
      <c r="F1276" s="1" t="s">
        <v>870</v>
      </c>
      <c r="G1276" s="2">
        <v>1</v>
      </c>
      <c r="H1276" s="1" t="s">
        <v>1226</v>
      </c>
      <c r="I1276" s="44">
        <f>Tabla1[[#This Row],[Descuento]]+Tabla1[[#This Row],[Neto]]</f>
        <v>12.43</v>
      </c>
      <c r="J1276" s="9">
        <v>0</v>
      </c>
      <c r="K1276" s="9">
        <v>12.43</v>
      </c>
      <c r="L1276" s="9">
        <v>0</v>
      </c>
      <c r="M1276" s="24">
        <f>+Tabla1[[#This Row],[Costo Venta]]/Tabla1[[#This Row],[Cantidad]]</f>
        <v>0</v>
      </c>
      <c r="N1276" s="3">
        <v>1</v>
      </c>
      <c r="O1276" s="8">
        <f>+Tabla1[[#This Row],[Conversión]]*Tabla1[[#This Row],[Cantidad]]</f>
        <v>1</v>
      </c>
      <c r="P1276" s="43">
        <f>Tabla1[[#This Row],[Neto]]-Tabla1[[#This Row],[Costo Venta]]</f>
        <v>12.43</v>
      </c>
    </row>
    <row r="1277" spans="1:16" x14ac:dyDescent="0.25">
      <c r="A1277" s="48">
        <v>45573</v>
      </c>
      <c r="B1277" s="1" t="s">
        <v>481</v>
      </c>
      <c r="C1277" s="1" t="s">
        <v>65</v>
      </c>
      <c r="D1277" s="1" t="s">
        <v>336</v>
      </c>
      <c r="E1277" s="1" t="s">
        <v>67</v>
      </c>
      <c r="F1277" s="1" t="s">
        <v>198</v>
      </c>
      <c r="G1277" s="2">
        <v>5</v>
      </c>
      <c r="H1277" s="1" t="s">
        <v>1226</v>
      </c>
      <c r="I1277" s="44">
        <f>Tabla1[[#This Row],[Descuento]]+Tabla1[[#This Row],[Neto]]</f>
        <v>56</v>
      </c>
      <c r="J1277" s="9">
        <v>0</v>
      </c>
      <c r="K1277" s="9">
        <v>56</v>
      </c>
      <c r="L1277" s="9">
        <v>0</v>
      </c>
      <c r="M1277" s="24">
        <f>+Tabla1[[#This Row],[Costo Venta]]/Tabla1[[#This Row],[Cantidad]]</f>
        <v>0</v>
      </c>
      <c r="N1277" s="3">
        <v>1</v>
      </c>
      <c r="O1277" s="8">
        <f>+Tabla1[[#This Row],[Conversión]]*Tabla1[[#This Row],[Cantidad]]</f>
        <v>5</v>
      </c>
      <c r="P1277" s="43">
        <f>Tabla1[[#This Row],[Neto]]-Tabla1[[#This Row],[Costo Venta]]</f>
        <v>56</v>
      </c>
    </row>
    <row r="1278" spans="1:16" x14ac:dyDescent="0.25">
      <c r="A1278" s="48">
        <v>45742</v>
      </c>
      <c r="B1278" s="1" t="s">
        <v>481</v>
      </c>
      <c r="C1278" s="1" t="s">
        <v>65</v>
      </c>
      <c r="D1278" s="1" t="s">
        <v>1227</v>
      </c>
      <c r="E1278" s="1" t="s">
        <v>71</v>
      </c>
      <c r="F1278" s="1" t="s">
        <v>1228</v>
      </c>
      <c r="G1278" s="2">
        <v>2</v>
      </c>
      <c r="H1278" s="1" t="s">
        <v>1226</v>
      </c>
      <c r="I1278" s="44">
        <f>Tabla1[[#This Row],[Descuento]]+Tabla1[[#This Row],[Neto]]</f>
        <v>35.799999999999997</v>
      </c>
      <c r="J1278" s="9">
        <v>0</v>
      </c>
      <c r="K1278" s="9">
        <v>35.799999999999997</v>
      </c>
      <c r="L1278" s="9">
        <v>0</v>
      </c>
      <c r="M1278" s="24">
        <f>+Tabla1[[#This Row],[Costo Venta]]/Tabla1[[#This Row],[Cantidad]]</f>
        <v>0</v>
      </c>
      <c r="N1278" s="3">
        <v>1</v>
      </c>
      <c r="O1278" s="8">
        <f>+Tabla1[[#This Row],[Conversión]]*Tabla1[[#This Row],[Cantidad]]</f>
        <v>2</v>
      </c>
      <c r="P1278" s="43">
        <f>Tabla1[[#This Row],[Neto]]-Tabla1[[#This Row],[Costo Venta]]</f>
        <v>35.799999999999997</v>
      </c>
    </row>
    <row r="1279" spans="1:16" x14ac:dyDescent="0.25">
      <c r="A1279" s="48">
        <v>45811</v>
      </c>
      <c r="B1279" s="1" t="s">
        <v>481</v>
      </c>
      <c r="C1279" s="1" t="s">
        <v>65</v>
      </c>
      <c r="D1279" s="1" t="s">
        <v>383</v>
      </c>
      <c r="E1279" s="1" t="s">
        <v>67</v>
      </c>
      <c r="F1279" s="1" t="s">
        <v>198</v>
      </c>
      <c r="G1279" s="2">
        <v>18</v>
      </c>
      <c r="H1279" s="1" t="s">
        <v>1229</v>
      </c>
      <c r="I1279" s="44">
        <f>Tabla1[[#This Row],[Descuento]]+Tabla1[[#This Row],[Neto]]</f>
        <v>230.4</v>
      </c>
      <c r="J1279" s="9">
        <v>0</v>
      </c>
      <c r="K1279" s="9">
        <v>230.4</v>
      </c>
      <c r="L1279" s="9">
        <v>128.34782999999999</v>
      </c>
      <c r="M1279" s="24">
        <f>+Tabla1[[#This Row],[Costo Venta]]/Tabla1[[#This Row],[Cantidad]]</f>
        <v>7.1304349999999994</v>
      </c>
      <c r="N1279" s="3">
        <v>1</v>
      </c>
      <c r="O1279" s="8">
        <f>+Tabla1[[#This Row],[Conversión]]*Tabla1[[#This Row],[Cantidad]]</f>
        <v>18</v>
      </c>
      <c r="P1279" s="43">
        <f>Tabla1[[#This Row],[Neto]]-Tabla1[[#This Row],[Costo Venta]]</f>
        <v>102.05217000000002</v>
      </c>
    </row>
    <row r="1280" spans="1:16" x14ac:dyDescent="0.25">
      <c r="A1280" s="48">
        <v>45863</v>
      </c>
      <c r="B1280" s="1" t="s">
        <v>481</v>
      </c>
      <c r="C1280" s="1" t="s">
        <v>65</v>
      </c>
      <c r="D1280" s="1" t="s">
        <v>390</v>
      </c>
      <c r="E1280" s="1" t="s">
        <v>71</v>
      </c>
      <c r="F1280" s="1" t="s">
        <v>391</v>
      </c>
      <c r="G1280" s="2">
        <v>45</v>
      </c>
      <c r="H1280" s="1" t="s">
        <v>1229</v>
      </c>
      <c r="I1280" s="44">
        <f>Tabla1[[#This Row],[Descuento]]+Tabla1[[#This Row],[Neto]]</f>
        <v>441</v>
      </c>
      <c r="J1280" s="9">
        <v>0</v>
      </c>
      <c r="K1280" s="9">
        <v>441</v>
      </c>
      <c r="L1280" s="9">
        <v>320.869575</v>
      </c>
      <c r="M1280" s="24">
        <f>+Tabla1[[#This Row],[Costo Venta]]/Tabla1[[#This Row],[Cantidad]]</f>
        <v>7.1304350000000003</v>
      </c>
      <c r="N1280" s="3">
        <v>1</v>
      </c>
      <c r="O1280" s="8">
        <f>+Tabla1[[#This Row],[Conversión]]*Tabla1[[#This Row],[Cantidad]]</f>
        <v>45</v>
      </c>
      <c r="P1280" s="43">
        <f>Tabla1[[#This Row],[Neto]]-Tabla1[[#This Row],[Costo Venta]]</f>
        <v>120.130425</v>
      </c>
    </row>
    <row r="1281" spans="1:16" x14ac:dyDescent="0.25">
      <c r="A1281" s="48">
        <v>45205</v>
      </c>
      <c r="B1281" s="1" t="s">
        <v>609</v>
      </c>
      <c r="C1281" s="1" t="s">
        <v>214</v>
      </c>
      <c r="D1281" s="1" t="s">
        <v>249</v>
      </c>
      <c r="E1281" s="1" t="s">
        <v>132</v>
      </c>
      <c r="F1281" s="1" t="s">
        <v>185</v>
      </c>
      <c r="G1281" s="2">
        <v>1</v>
      </c>
      <c r="H1281" s="1" t="s">
        <v>1230</v>
      </c>
      <c r="I1281" s="44">
        <f>Tabla1[[#This Row],[Descuento]]+Tabla1[[#This Row],[Neto]]</f>
        <v>40</v>
      </c>
      <c r="J1281" s="9">
        <v>0</v>
      </c>
      <c r="K1281" s="9">
        <v>40</v>
      </c>
      <c r="L1281" s="9"/>
      <c r="M1281" s="24">
        <f>+Tabla1[[#This Row],[Costo Venta]]/Tabla1[[#This Row],[Cantidad]]</f>
        <v>0</v>
      </c>
      <c r="N1281" s="3">
        <v>1</v>
      </c>
      <c r="O1281" s="8">
        <f>+Tabla1[[#This Row],[Conversión]]*Tabla1[[#This Row],[Cantidad]]</f>
        <v>1</v>
      </c>
      <c r="P1281" s="43">
        <f>Tabla1[[#This Row],[Neto]]-Tabla1[[#This Row],[Costo Venta]]</f>
        <v>40</v>
      </c>
    </row>
    <row r="1282" spans="1:16" x14ac:dyDescent="0.25">
      <c r="A1282" s="48">
        <v>45382</v>
      </c>
      <c r="B1282" s="1" t="s">
        <v>609</v>
      </c>
      <c r="C1282" s="1" t="s">
        <v>65</v>
      </c>
      <c r="D1282" s="1" t="s">
        <v>306</v>
      </c>
      <c r="E1282" s="1" t="s">
        <v>71</v>
      </c>
      <c r="F1282" s="1" t="s">
        <v>307</v>
      </c>
      <c r="G1282" s="2">
        <v>57.9</v>
      </c>
      <c r="H1282" s="1" t="s">
        <v>1230</v>
      </c>
      <c r="I1282" s="44">
        <f>Tabla1[[#This Row],[Descuento]]+Tabla1[[#This Row],[Neto]]</f>
        <v>579</v>
      </c>
      <c r="J1282" s="9">
        <v>0</v>
      </c>
      <c r="K1282" s="9">
        <v>579</v>
      </c>
      <c r="L1282" s="9"/>
      <c r="M1282" s="24">
        <f>+Tabla1[[#This Row],[Costo Venta]]/Tabla1[[#This Row],[Cantidad]]</f>
        <v>0</v>
      </c>
      <c r="N1282" s="3">
        <v>1</v>
      </c>
      <c r="O1282" s="8">
        <f>+Tabla1[[#This Row],[Conversión]]*Tabla1[[#This Row],[Cantidad]]</f>
        <v>57.9</v>
      </c>
      <c r="P1282" s="43">
        <f>Tabla1[[#This Row],[Neto]]-Tabla1[[#This Row],[Costo Venta]]</f>
        <v>579</v>
      </c>
    </row>
    <row r="1283" spans="1:16" x14ac:dyDescent="0.25">
      <c r="A1283" s="48">
        <v>45382</v>
      </c>
      <c r="B1283" s="1" t="s">
        <v>609</v>
      </c>
      <c r="C1283" s="1" t="s">
        <v>65</v>
      </c>
      <c r="D1283" s="1" t="s">
        <v>306</v>
      </c>
      <c r="E1283" s="1" t="s">
        <v>71</v>
      </c>
      <c r="F1283" s="1" t="s">
        <v>307</v>
      </c>
      <c r="G1283" s="2">
        <v>57.9</v>
      </c>
      <c r="H1283" s="1" t="s">
        <v>1230</v>
      </c>
      <c r="I1283" s="44">
        <f>Tabla1[[#This Row],[Descuento]]+Tabla1[[#This Row],[Neto]]</f>
        <v>347.4</v>
      </c>
      <c r="J1283" s="9">
        <v>0</v>
      </c>
      <c r="K1283" s="9">
        <v>347.4</v>
      </c>
      <c r="L1283" s="9"/>
      <c r="M1283" s="24">
        <f>+Tabla1[[#This Row],[Costo Venta]]/Tabla1[[#This Row],[Cantidad]]</f>
        <v>0</v>
      </c>
      <c r="N1283" s="3">
        <v>1</v>
      </c>
      <c r="O1283" s="8">
        <f>+Tabla1[[#This Row],[Conversión]]*Tabla1[[#This Row],[Cantidad]]</f>
        <v>57.9</v>
      </c>
      <c r="P1283" s="43">
        <f>Tabla1[[#This Row],[Neto]]-Tabla1[[#This Row],[Costo Venta]]</f>
        <v>347.4</v>
      </c>
    </row>
    <row r="1284" spans="1:16" x14ac:dyDescent="0.25">
      <c r="A1284" s="48">
        <v>45382</v>
      </c>
      <c r="B1284" s="1" t="s">
        <v>609</v>
      </c>
      <c r="C1284" s="1" t="s">
        <v>65</v>
      </c>
      <c r="D1284" s="1" t="s">
        <v>306</v>
      </c>
      <c r="E1284" s="1" t="s">
        <v>71</v>
      </c>
      <c r="F1284" s="1" t="s">
        <v>307</v>
      </c>
      <c r="G1284" s="2">
        <v>57.9</v>
      </c>
      <c r="H1284" s="1" t="s">
        <v>1230</v>
      </c>
      <c r="I1284" s="44">
        <f>Tabla1[[#This Row],[Descuento]]+Tabla1[[#This Row],[Neto]]</f>
        <v>694.8</v>
      </c>
      <c r="J1284" s="9">
        <v>0</v>
      </c>
      <c r="K1284" s="9">
        <v>694.8</v>
      </c>
      <c r="L1284" s="9"/>
      <c r="M1284" s="24">
        <f>+Tabla1[[#This Row],[Costo Venta]]/Tabla1[[#This Row],[Cantidad]]</f>
        <v>0</v>
      </c>
      <c r="N1284" s="3">
        <v>1</v>
      </c>
      <c r="O1284" s="8">
        <f>+Tabla1[[#This Row],[Conversión]]*Tabla1[[#This Row],[Cantidad]]</f>
        <v>57.9</v>
      </c>
      <c r="P1284" s="43">
        <f>Tabla1[[#This Row],[Neto]]-Tabla1[[#This Row],[Costo Venta]]</f>
        <v>694.8</v>
      </c>
    </row>
    <row r="1285" spans="1:16" x14ac:dyDescent="0.25">
      <c r="A1285" s="48">
        <v>45382</v>
      </c>
      <c r="B1285" s="1" t="s">
        <v>609</v>
      </c>
      <c r="C1285" s="1" t="s">
        <v>65</v>
      </c>
      <c r="D1285" s="1" t="s">
        <v>306</v>
      </c>
      <c r="E1285" s="1" t="s">
        <v>71</v>
      </c>
      <c r="F1285" s="1" t="s">
        <v>307</v>
      </c>
      <c r="G1285" s="2">
        <v>1</v>
      </c>
      <c r="H1285" s="1" t="s">
        <v>1230</v>
      </c>
      <c r="I1285" s="44">
        <f>Tabla1[[#This Row],[Descuento]]+Tabla1[[#This Row],[Neto]]</f>
        <v>160</v>
      </c>
      <c r="J1285" s="9">
        <v>0</v>
      </c>
      <c r="K1285" s="9">
        <v>160</v>
      </c>
      <c r="L1285" s="9"/>
      <c r="M1285" s="24">
        <f>+Tabla1[[#This Row],[Costo Venta]]/Tabla1[[#This Row],[Cantidad]]</f>
        <v>0</v>
      </c>
      <c r="N1285" s="3">
        <v>1</v>
      </c>
      <c r="O1285" s="8">
        <f>+Tabla1[[#This Row],[Conversión]]*Tabla1[[#This Row],[Cantidad]]</f>
        <v>1</v>
      </c>
      <c r="P1285" s="43">
        <f>Tabla1[[#This Row],[Neto]]-Tabla1[[#This Row],[Costo Venta]]</f>
        <v>160</v>
      </c>
    </row>
    <row r="1286" spans="1:16" x14ac:dyDescent="0.25">
      <c r="A1286" s="48">
        <v>45382</v>
      </c>
      <c r="B1286" s="1" t="s">
        <v>609</v>
      </c>
      <c r="C1286" s="1" t="s">
        <v>65</v>
      </c>
      <c r="D1286" s="1" t="s">
        <v>306</v>
      </c>
      <c r="E1286" s="1" t="s">
        <v>71</v>
      </c>
      <c r="F1286" s="1" t="s">
        <v>307</v>
      </c>
      <c r="G1286" s="2">
        <v>9</v>
      </c>
      <c r="H1286" s="1" t="s">
        <v>1230</v>
      </c>
      <c r="I1286" s="44">
        <f>Tabla1[[#This Row],[Descuento]]+Tabla1[[#This Row],[Neto]]</f>
        <v>108</v>
      </c>
      <c r="J1286" s="9">
        <v>0</v>
      </c>
      <c r="K1286" s="9">
        <v>108</v>
      </c>
      <c r="L1286" s="9"/>
      <c r="M1286" s="24">
        <f>+Tabla1[[#This Row],[Costo Venta]]/Tabla1[[#This Row],[Cantidad]]</f>
        <v>0</v>
      </c>
      <c r="N1286" s="3">
        <v>1</v>
      </c>
      <c r="O1286" s="8">
        <f>+Tabla1[[#This Row],[Conversión]]*Tabla1[[#This Row],[Cantidad]]</f>
        <v>9</v>
      </c>
      <c r="P1286" s="43">
        <f>Tabla1[[#This Row],[Neto]]-Tabla1[[#This Row],[Costo Venta]]</f>
        <v>108</v>
      </c>
    </row>
    <row r="1287" spans="1:16" x14ac:dyDescent="0.25">
      <c r="A1287" s="48">
        <v>45407</v>
      </c>
      <c r="B1287" s="1" t="s">
        <v>609</v>
      </c>
      <c r="C1287" s="1" t="s">
        <v>81</v>
      </c>
      <c r="D1287" s="1" t="s">
        <v>1231</v>
      </c>
      <c r="E1287" s="1" t="s">
        <v>71</v>
      </c>
      <c r="F1287" s="1" t="s">
        <v>1228</v>
      </c>
      <c r="G1287" s="2">
        <v>1</v>
      </c>
      <c r="H1287" s="1" t="s">
        <v>1230</v>
      </c>
      <c r="I1287" s="44">
        <f>Tabla1[[#This Row],[Descuento]]+Tabla1[[#This Row],[Neto]]</f>
        <v>2202.86</v>
      </c>
      <c r="J1287" s="9">
        <v>0</v>
      </c>
      <c r="K1287" s="9">
        <v>2202.86</v>
      </c>
      <c r="L1287" s="9"/>
      <c r="M1287" s="24">
        <f>+Tabla1[[#This Row],[Costo Venta]]/Tabla1[[#This Row],[Cantidad]]</f>
        <v>0</v>
      </c>
      <c r="N1287" s="3">
        <v>1</v>
      </c>
      <c r="O1287" s="8">
        <f>+Tabla1[[#This Row],[Conversión]]*Tabla1[[#This Row],[Cantidad]]</f>
        <v>1</v>
      </c>
      <c r="P1287" s="43">
        <f>Tabla1[[#This Row],[Neto]]-Tabla1[[#This Row],[Costo Venta]]</f>
        <v>2202.86</v>
      </c>
    </row>
    <row r="1288" spans="1:16" x14ac:dyDescent="0.25">
      <c r="A1288" s="48">
        <v>45476</v>
      </c>
      <c r="B1288" s="1" t="s">
        <v>609</v>
      </c>
      <c r="C1288" s="1" t="s">
        <v>65</v>
      </c>
      <c r="D1288" s="1" t="s">
        <v>1232</v>
      </c>
      <c r="E1288" s="1" t="s">
        <v>71</v>
      </c>
      <c r="F1288" s="1" t="s">
        <v>1228</v>
      </c>
      <c r="G1288" s="2">
        <v>1</v>
      </c>
      <c r="H1288" s="1" t="s">
        <v>1230</v>
      </c>
      <c r="I1288" s="44">
        <f>Tabla1[[#This Row],[Descuento]]+Tabla1[[#This Row],[Neto]]</f>
        <v>1696.78</v>
      </c>
      <c r="J1288" s="9">
        <v>0</v>
      </c>
      <c r="K1288" s="9">
        <v>1696.78</v>
      </c>
      <c r="L1288" s="9"/>
      <c r="M1288" s="24">
        <f>+Tabla1[[#This Row],[Costo Venta]]/Tabla1[[#This Row],[Cantidad]]</f>
        <v>0</v>
      </c>
      <c r="N1288" s="3">
        <v>1</v>
      </c>
      <c r="O1288" s="8">
        <f>+Tabla1[[#This Row],[Conversión]]*Tabla1[[#This Row],[Cantidad]]</f>
        <v>1</v>
      </c>
      <c r="P1288" s="43">
        <f>Tabla1[[#This Row],[Neto]]-Tabla1[[#This Row],[Costo Venta]]</f>
        <v>1696.78</v>
      </c>
    </row>
    <row r="1289" spans="1:16" x14ac:dyDescent="0.25">
      <c r="A1289" s="48">
        <v>45495</v>
      </c>
      <c r="B1289" s="1" t="s">
        <v>609</v>
      </c>
      <c r="C1289" s="1" t="s">
        <v>65</v>
      </c>
      <c r="D1289" s="1" t="s">
        <v>1233</v>
      </c>
      <c r="E1289" s="1" t="s">
        <v>71</v>
      </c>
      <c r="F1289" s="1" t="s">
        <v>1228</v>
      </c>
      <c r="G1289" s="2">
        <v>1</v>
      </c>
      <c r="H1289" s="1" t="s">
        <v>1230</v>
      </c>
      <c r="I1289" s="44">
        <f>Tabla1[[#This Row],[Descuento]]+Tabla1[[#This Row],[Neto]]</f>
        <v>385.24</v>
      </c>
      <c r="J1289" s="9">
        <v>0</v>
      </c>
      <c r="K1289" s="9">
        <v>385.24</v>
      </c>
      <c r="L1289" s="9"/>
      <c r="M1289" s="24">
        <f>+Tabla1[[#This Row],[Costo Venta]]/Tabla1[[#This Row],[Cantidad]]</f>
        <v>0</v>
      </c>
      <c r="N1289" s="3">
        <v>1</v>
      </c>
      <c r="O1289" s="8">
        <f>+Tabla1[[#This Row],[Conversión]]*Tabla1[[#This Row],[Cantidad]]</f>
        <v>1</v>
      </c>
      <c r="P1289" s="43">
        <f>Tabla1[[#This Row],[Neto]]-Tabla1[[#This Row],[Costo Venta]]</f>
        <v>385.24</v>
      </c>
    </row>
    <row r="1290" spans="1:16" x14ac:dyDescent="0.25">
      <c r="A1290" s="48">
        <v>45505</v>
      </c>
      <c r="B1290" s="1" t="s">
        <v>609</v>
      </c>
      <c r="C1290" s="1" t="s">
        <v>65</v>
      </c>
      <c r="D1290" s="1" t="s">
        <v>1234</v>
      </c>
      <c r="E1290" s="1" t="s">
        <v>71</v>
      </c>
      <c r="F1290" s="1" t="s">
        <v>1228</v>
      </c>
      <c r="G1290" s="2">
        <v>1</v>
      </c>
      <c r="H1290" s="1" t="s">
        <v>1230</v>
      </c>
      <c r="I1290" s="44">
        <f>Tabla1[[#This Row],[Descuento]]+Tabla1[[#This Row],[Neto]]</f>
        <v>838.82</v>
      </c>
      <c r="J1290" s="9">
        <v>0</v>
      </c>
      <c r="K1290" s="9">
        <v>838.82</v>
      </c>
      <c r="L1290" s="9"/>
      <c r="M1290" s="24">
        <f>+Tabla1[[#This Row],[Costo Venta]]/Tabla1[[#This Row],[Cantidad]]</f>
        <v>0</v>
      </c>
      <c r="N1290" s="3">
        <v>1</v>
      </c>
      <c r="O1290" s="8">
        <f>+Tabla1[[#This Row],[Conversión]]*Tabla1[[#This Row],[Cantidad]]</f>
        <v>1</v>
      </c>
      <c r="P1290" s="43">
        <f>Tabla1[[#This Row],[Neto]]-Tabla1[[#This Row],[Costo Venta]]</f>
        <v>838.82</v>
      </c>
    </row>
    <row r="1291" spans="1:16" x14ac:dyDescent="0.25">
      <c r="A1291" s="48">
        <v>45180</v>
      </c>
      <c r="B1291" s="1" t="s">
        <v>108</v>
      </c>
      <c r="C1291" s="1" t="s">
        <v>214</v>
      </c>
      <c r="D1291" s="1" t="s">
        <v>1235</v>
      </c>
      <c r="E1291" s="1" t="s">
        <v>71</v>
      </c>
      <c r="F1291" s="1" t="s">
        <v>216</v>
      </c>
      <c r="G1291" s="2">
        <v>1</v>
      </c>
      <c r="H1291" s="1" t="s">
        <v>1236</v>
      </c>
      <c r="I1291" s="44">
        <f>Tabla1[[#This Row],[Descuento]]+Tabla1[[#This Row],[Neto]]</f>
        <v>28.56</v>
      </c>
      <c r="J1291" s="9">
        <v>0</v>
      </c>
      <c r="K1291" s="9">
        <v>28.56</v>
      </c>
      <c r="L1291" s="9">
        <v>0</v>
      </c>
      <c r="M1291" s="24">
        <f>+Tabla1[[#This Row],[Costo Venta]]/Tabla1[[#This Row],[Cantidad]]</f>
        <v>0</v>
      </c>
      <c r="N1291" s="3">
        <v>1</v>
      </c>
      <c r="O1291" s="8">
        <f>+Tabla1[[#This Row],[Conversión]]*Tabla1[[#This Row],[Cantidad]]</f>
        <v>1</v>
      </c>
      <c r="P1291" s="43">
        <f>Tabla1[[#This Row],[Neto]]-Tabla1[[#This Row],[Costo Venta]]</f>
        <v>28.56</v>
      </c>
    </row>
    <row r="1292" spans="1:16" x14ac:dyDescent="0.25">
      <c r="A1292" s="48">
        <v>45176</v>
      </c>
      <c r="B1292" s="1" t="s">
        <v>735</v>
      </c>
      <c r="C1292" s="1" t="s">
        <v>214</v>
      </c>
      <c r="D1292" s="1" t="s">
        <v>1237</v>
      </c>
      <c r="E1292" s="1" t="s">
        <v>71</v>
      </c>
      <c r="F1292" s="1" t="s">
        <v>216</v>
      </c>
      <c r="G1292" s="2">
        <v>26</v>
      </c>
      <c r="H1292" s="1" t="s">
        <v>1238</v>
      </c>
      <c r="I1292" s="44">
        <f>Tabla1[[#This Row],[Descuento]]+Tabla1[[#This Row],[Neto]]</f>
        <v>1103.44</v>
      </c>
      <c r="J1292" s="9">
        <v>0</v>
      </c>
      <c r="K1292" s="9">
        <v>1103.44</v>
      </c>
      <c r="L1292" s="9">
        <v>81.980807999999996</v>
      </c>
      <c r="M1292" s="24">
        <f>+Tabla1[[#This Row],[Costo Venta]]/Tabla1[[#This Row],[Cantidad]]</f>
        <v>3.153108</v>
      </c>
      <c r="N1292" s="3">
        <v>1</v>
      </c>
      <c r="O1292" s="8">
        <f>+Tabla1[[#This Row],[Conversión]]*Tabla1[[#This Row],[Cantidad]]</f>
        <v>26</v>
      </c>
      <c r="P1292" s="43">
        <f>Tabla1[[#This Row],[Neto]]-Tabla1[[#This Row],[Costo Venta]]</f>
        <v>1021.459192</v>
      </c>
    </row>
    <row r="1293" spans="1:16" x14ac:dyDescent="0.25">
      <c r="A1293" s="48">
        <v>45807</v>
      </c>
      <c r="B1293" s="1" t="s">
        <v>735</v>
      </c>
      <c r="C1293" s="1" t="s">
        <v>65</v>
      </c>
      <c r="D1293" s="1" t="s">
        <v>664</v>
      </c>
      <c r="E1293" s="1" t="s">
        <v>67</v>
      </c>
      <c r="F1293" s="1" t="s">
        <v>41</v>
      </c>
      <c r="G1293" s="2">
        <v>15</v>
      </c>
      <c r="H1293" s="1" t="s">
        <v>1238</v>
      </c>
      <c r="I1293" s="44">
        <f>Tabla1[[#This Row],[Descuento]]+Tabla1[[#This Row],[Neto]]</f>
        <v>583.20000000000005</v>
      </c>
      <c r="J1293" s="9">
        <v>174.96</v>
      </c>
      <c r="K1293" s="9">
        <v>408.24</v>
      </c>
      <c r="L1293" s="9">
        <v>42.492465000000003</v>
      </c>
      <c r="M1293" s="24">
        <f>+Tabla1[[#This Row],[Costo Venta]]/Tabla1[[#This Row],[Cantidad]]</f>
        <v>2.8328310000000001</v>
      </c>
      <c r="N1293" s="3">
        <v>1</v>
      </c>
      <c r="O1293" s="8">
        <f>+Tabla1[[#This Row],[Conversión]]*Tabla1[[#This Row],[Cantidad]]</f>
        <v>15</v>
      </c>
      <c r="P1293" s="43">
        <f>Tabla1[[#This Row],[Neto]]-Tabla1[[#This Row],[Costo Venta]]</f>
        <v>365.74753500000003</v>
      </c>
    </row>
    <row r="1294" spans="1:16" x14ac:dyDescent="0.25">
      <c r="A1294" s="48">
        <v>45828</v>
      </c>
      <c r="B1294" s="1" t="s">
        <v>735</v>
      </c>
      <c r="C1294" s="1" t="s">
        <v>65</v>
      </c>
      <c r="D1294" s="1" t="s">
        <v>1239</v>
      </c>
      <c r="E1294" s="1" t="s">
        <v>67</v>
      </c>
      <c r="F1294" s="1" t="s">
        <v>9</v>
      </c>
      <c r="G1294" s="2">
        <v>2</v>
      </c>
      <c r="H1294" s="1" t="s">
        <v>1238</v>
      </c>
      <c r="I1294" s="44">
        <f>Tabla1[[#This Row],[Descuento]]+Tabla1[[#This Row],[Neto]]</f>
        <v>77.762</v>
      </c>
      <c r="J1294" s="9">
        <v>34.991999999999997</v>
      </c>
      <c r="K1294" s="9">
        <v>42.77</v>
      </c>
      <c r="L1294" s="9">
        <v>7.617604</v>
      </c>
      <c r="M1294" s="24">
        <f>+Tabla1[[#This Row],[Costo Venta]]/Tabla1[[#This Row],[Cantidad]]</f>
        <v>3.808802</v>
      </c>
      <c r="N1294" s="3">
        <v>1</v>
      </c>
      <c r="O1294" s="8">
        <f>+Tabla1[[#This Row],[Conversión]]*Tabla1[[#This Row],[Cantidad]]</f>
        <v>2</v>
      </c>
      <c r="P1294" s="43">
        <f>Tabla1[[#This Row],[Neto]]-Tabla1[[#This Row],[Costo Venta]]</f>
        <v>35.152396000000003</v>
      </c>
    </row>
    <row r="1295" spans="1:16" x14ac:dyDescent="0.25">
      <c r="A1295" s="48">
        <v>45855</v>
      </c>
      <c r="B1295" s="1" t="s">
        <v>735</v>
      </c>
      <c r="C1295" s="1" t="s">
        <v>65</v>
      </c>
      <c r="D1295" s="1" t="s">
        <v>388</v>
      </c>
      <c r="E1295" s="1" t="s">
        <v>67</v>
      </c>
      <c r="F1295" s="1" t="s">
        <v>198</v>
      </c>
      <c r="G1295" s="2">
        <v>7</v>
      </c>
      <c r="H1295" s="1" t="s">
        <v>1238</v>
      </c>
      <c r="I1295" s="44">
        <f>Tabla1[[#This Row],[Descuento]]+Tabla1[[#This Row],[Neto]]</f>
        <v>272.15800000000002</v>
      </c>
      <c r="J1295" s="9">
        <v>81.647999999999996</v>
      </c>
      <c r="K1295" s="9">
        <v>190.51</v>
      </c>
      <c r="L1295" s="9">
        <v>26.429872</v>
      </c>
      <c r="M1295" s="24">
        <f>+Tabla1[[#This Row],[Costo Venta]]/Tabla1[[#This Row],[Cantidad]]</f>
        <v>3.7756959999999999</v>
      </c>
      <c r="N1295" s="3">
        <v>1</v>
      </c>
      <c r="O1295" s="8">
        <f>+Tabla1[[#This Row],[Conversión]]*Tabla1[[#This Row],[Cantidad]]</f>
        <v>7</v>
      </c>
      <c r="P1295" s="43">
        <f>Tabla1[[#This Row],[Neto]]-Tabla1[[#This Row],[Costo Venta]]</f>
        <v>164.080128</v>
      </c>
    </row>
    <row r="1296" spans="1:16" x14ac:dyDescent="0.25">
      <c r="A1296" s="48">
        <v>45869</v>
      </c>
      <c r="B1296" s="1" t="s">
        <v>735</v>
      </c>
      <c r="C1296" s="1" t="s">
        <v>65</v>
      </c>
      <c r="D1296" s="1" t="s">
        <v>595</v>
      </c>
      <c r="E1296" s="1" t="s">
        <v>67</v>
      </c>
      <c r="F1296" s="1" t="s">
        <v>198</v>
      </c>
      <c r="G1296" s="2">
        <v>8</v>
      </c>
      <c r="H1296" s="1" t="s">
        <v>1238</v>
      </c>
      <c r="I1296" s="44">
        <f>Tabla1[[#This Row],[Descuento]]+Tabla1[[#This Row],[Neto]]</f>
        <v>311.04199999999997</v>
      </c>
      <c r="J1296" s="9">
        <v>93.311999999999998</v>
      </c>
      <c r="K1296" s="9">
        <v>217.73</v>
      </c>
      <c r="L1296" s="9">
        <v>26.226168000000001</v>
      </c>
      <c r="M1296" s="24">
        <f>+Tabla1[[#This Row],[Costo Venta]]/Tabla1[[#This Row],[Cantidad]]</f>
        <v>3.2782710000000002</v>
      </c>
      <c r="N1296" s="3">
        <v>1</v>
      </c>
      <c r="O1296" s="8">
        <f>+Tabla1[[#This Row],[Conversión]]*Tabla1[[#This Row],[Cantidad]]</f>
        <v>8</v>
      </c>
      <c r="P1296" s="43">
        <f>Tabla1[[#This Row],[Neto]]-Tabla1[[#This Row],[Costo Venta]]</f>
        <v>191.50383199999999</v>
      </c>
    </row>
    <row r="1297" spans="1:16" x14ac:dyDescent="0.25">
      <c r="A1297" s="48">
        <v>45869</v>
      </c>
      <c r="B1297" s="1" t="s">
        <v>735</v>
      </c>
      <c r="C1297" s="1" t="s">
        <v>65</v>
      </c>
      <c r="D1297" s="1" t="s">
        <v>645</v>
      </c>
      <c r="E1297" s="1" t="s">
        <v>67</v>
      </c>
      <c r="F1297" s="1" t="s">
        <v>44</v>
      </c>
      <c r="G1297" s="2">
        <v>8</v>
      </c>
      <c r="H1297" s="1" t="s">
        <v>1238</v>
      </c>
      <c r="I1297" s="44">
        <f>Tabla1[[#This Row],[Descuento]]+Tabla1[[#This Row],[Neto]]</f>
        <v>311.04399999999998</v>
      </c>
      <c r="J1297" s="9">
        <v>108.864</v>
      </c>
      <c r="K1297" s="9">
        <v>202.18</v>
      </c>
      <c r="L1297" s="9">
        <v>26.226168000000001</v>
      </c>
      <c r="M1297" s="24">
        <f>+Tabla1[[#This Row],[Costo Venta]]/Tabla1[[#This Row],[Cantidad]]</f>
        <v>3.2782710000000002</v>
      </c>
      <c r="N1297" s="3">
        <v>1</v>
      </c>
      <c r="O1297" s="8">
        <f>+Tabla1[[#This Row],[Conversión]]*Tabla1[[#This Row],[Cantidad]]</f>
        <v>8</v>
      </c>
      <c r="P1297" s="43">
        <f>Tabla1[[#This Row],[Neto]]-Tabla1[[#This Row],[Costo Venta]]</f>
        <v>175.95383200000001</v>
      </c>
    </row>
    <row r="1298" spans="1:16" x14ac:dyDescent="0.25">
      <c r="A1298" s="48">
        <v>45811</v>
      </c>
      <c r="B1298" s="1" t="s">
        <v>735</v>
      </c>
      <c r="C1298" s="1" t="s">
        <v>65</v>
      </c>
      <c r="D1298" s="1" t="s">
        <v>383</v>
      </c>
      <c r="E1298" s="1" t="s">
        <v>67</v>
      </c>
      <c r="F1298" s="1" t="s">
        <v>198</v>
      </c>
      <c r="G1298" s="2">
        <v>16</v>
      </c>
      <c r="H1298" s="1" t="s">
        <v>1240</v>
      </c>
      <c r="I1298" s="44">
        <f>Tabla1[[#This Row],[Descuento]]+Tabla1[[#This Row],[Neto]]</f>
        <v>622.08399999999995</v>
      </c>
      <c r="J1298" s="9">
        <v>186.624</v>
      </c>
      <c r="K1298" s="9">
        <v>435.46</v>
      </c>
      <c r="L1298" s="9">
        <v>15.4</v>
      </c>
      <c r="M1298" s="24">
        <f>+Tabla1[[#This Row],[Costo Venta]]/Tabla1[[#This Row],[Cantidad]]</f>
        <v>0.96250000000000002</v>
      </c>
      <c r="N1298" s="3">
        <v>1</v>
      </c>
      <c r="O1298" s="8">
        <f>+Tabla1[[#This Row],[Conversión]]*Tabla1[[#This Row],[Cantidad]]</f>
        <v>16</v>
      </c>
      <c r="P1298" s="43">
        <f>Tabla1[[#This Row],[Neto]]-Tabla1[[#This Row],[Costo Venta]]</f>
        <v>420.06</v>
      </c>
    </row>
    <row r="1299" spans="1:16" x14ac:dyDescent="0.25">
      <c r="A1299" s="48">
        <v>44942</v>
      </c>
      <c r="B1299" s="1" t="s">
        <v>686</v>
      </c>
      <c r="C1299" s="1" t="s">
        <v>65</v>
      </c>
      <c r="D1299" s="1" t="s">
        <v>937</v>
      </c>
      <c r="E1299" s="1" t="s">
        <v>132</v>
      </c>
      <c r="F1299" s="1" t="s">
        <v>938</v>
      </c>
      <c r="G1299" s="2">
        <v>9.1199999999999992</v>
      </c>
      <c r="H1299" s="1" t="s">
        <v>1241</v>
      </c>
      <c r="I1299" s="44">
        <f>Tabla1[[#This Row],[Descuento]]+Tabla1[[#This Row],[Neto]]</f>
        <v>446.88400000000001</v>
      </c>
      <c r="J1299" s="9">
        <v>22.344000000000001</v>
      </c>
      <c r="K1299" s="9">
        <v>424.54</v>
      </c>
      <c r="L1299" s="9">
        <v>57.60800304</v>
      </c>
      <c r="M1299" s="24">
        <f>+Tabla1[[#This Row],[Costo Venta]]/Tabla1[[#This Row],[Cantidad]]</f>
        <v>6.3166670000000007</v>
      </c>
      <c r="N1299" s="3">
        <v>1</v>
      </c>
      <c r="O1299" s="8">
        <f>+Tabla1[[#This Row],[Conversión]]*Tabla1[[#This Row],[Cantidad]]</f>
        <v>9.1199999999999992</v>
      </c>
      <c r="P1299" s="43">
        <f>Tabla1[[#This Row],[Neto]]-Tabla1[[#This Row],[Costo Venta]]</f>
        <v>366.93199695999999</v>
      </c>
    </row>
    <row r="1300" spans="1:16" x14ac:dyDescent="0.25">
      <c r="A1300" s="48">
        <v>45112</v>
      </c>
      <c r="B1300" s="1" t="s">
        <v>686</v>
      </c>
      <c r="C1300" s="1" t="s">
        <v>81</v>
      </c>
      <c r="D1300" s="1" t="s">
        <v>205</v>
      </c>
      <c r="E1300" s="1" t="s">
        <v>71</v>
      </c>
      <c r="F1300" s="1" t="s">
        <v>206</v>
      </c>
      <c r="G1300" s="2">
        <v>20.16</v>
      </c>
      <c r="H1300" s="1" t="s">
        <v>1241</v>
      </c>
      <c r="I1300" s="44">
        <f>Tabla1[[#This Row],[Descuento]]+Tabla1[[#This Row],[Neto]]</f>
        <v>987.8420000000001</v>
      </c>
      <c r="J1300" s="9">
        <v>49.392000000000003</v>
      </c>
      <c r="K1300" s="9">
        <v>938.45</v>
      </c>
      <c r="L1300" s="9">
        <v>127.80923903999999</v>
      </c>
      <c r="M1300" s="24">
        <f>+Tabla1[[#This Row],[Costo Venta]]/Tabla1[[#This Row],[Cantidad]]</f>
        <v>6.3397439999999996</v>
      </c>
      <c r="N1300" s="3">
        <v>1</v>
      </c>
      <c r="O1300" s="8">
        <f>+Tabla1[[#This Row],[Conversión]]*Tabla1[[#This Row],[Cantidad]]</f>
        <v>20.16</v>
      </c>
      <c r="P1300" s="43">
        <f>Tabla1[[#This Row],[Neto]]-Tabla1[[#This Row],[Costo Venta]]</f>
        <v>810.64076096000008</v>
      </c>
    </row>
    <row r="1301" spans="1:16" x14ac:dyDescent="0.25">
      <c r="A1301" s="48">
        <v>44967</v>
      </c>
      <c r="B1301" s="1" t="s">
        <v>1242</v>
      </c>
      <c r="C1301" s="1" t="s">
        <v>143</v>
      </c>
      <c r="D1301" s="1" t="s">
        <v>144</v>
      </c>
      <c r="E1301" s="1" t="s">
        <v>71</v>
      </c>
      <c r="F1301" s="1" t="s">
        <v>145</v>
      </c>
      <c r="G1301" s="2">
        <v>32.200000000000003</v>
      </c>
      <c r="H1301" s="1" t="s">
        <v>1243</v>
      </c>
      <c r="I1301" s="44">
        <f>Tabla1[[#This Row],[Descuento]]+Tabla1[[#This Row],[Neto]]</f>
        <v>1770.9960999999998</v>
      </c>
      <c r="J1301" s="9">
        <v>1255.8161</v>
      </c>
      <c r="K1301" s="9">
        <v>515.17999999999995</v>
      </c>
      <c r="L1301" s="9">
        <v>1052.6146189999999</v>
      </c>
      <c r="M1301" s="24">
        <f>+Tabla1[[#This Row],[Costo Venta]]/Tabla1[[#This Row],[Cantidad]]</f>
        <v>32.689894999999993</v>
      </c>
      <c r="N1301" s="3">
        <v>1</v>
      </c>
      <c r="O1301" s="8">
        <f>+Tabla1[[#This Row],[Conversión]]*Tabla1[[#This Row],[Cantidad]]</f>
        <v>32.200000000000003</v>
      </c>
      <c r="P1301" s="43">
        <f>Tabla1[[#This Row],[Neto]]-Tabla1[[#This Row],[Costo Venta]]</f>
        <v>-537.434619</v>
      </c>
    </row>
    <row r="1302" spans="1:16" x14ac:dyDescent="0.25">
      <c r="A1302" s="48">
        <v>45048</v>
      </c>
      <c r="B1302" s="1" t="s">
        <v>1242</v>
      </c>
      <c r="C1302" s="1" t="s">
        <v>109</v>
      </c>
      <c r="D1302" s="1" t="s">
        <v>1126</v>
      </c>
      <c r="E1302" s="1" t="s">
        <v>137</v>
      </c>
      <c r="F1302" s="1" t="s">
        <v>1124</v>
      </c>
      <c r="G1302" s="2">
        <v>188.2</v>
      </c>
      <c r="H1302" s="1" t="s">
        <v>1243</v>
      </c>
      <c r="I1302" s="44">
        <f>Tabla1[[#This Row],[Descuento]]+Tabla1[[#This Row],[Neto]]</f>
        <v>10351</v>
      </c>
      <c r="J1302" s="9">
        <v>1552.65</v>
      </c>
      <c r="K1302" s="9">
        <v>8798.35</v>
      </c>
      <c r="L1302" s="9">
        <v>6034.2818188000001</v>
      </c>
      <c r="M1302" s="24">
        <f>+Tabla1[[#This Row],[Costo Venta]]/Tabla1[[#This Row],[Cantidad]]</f>
        <v>32.063134000000005</v>
      </c>
      <c r="N1302" s="3">
        <v>1</v>
      </c>
      <c r="O1302" s="8">
        <f>+Tabla1[[#This Row],[Conversión]]*Tabla1[[#This Row],[Cantidad]]</f>
        <v>188.2</v>
      </c>
      <c r="P1302" s="43">
        <f>Tabla1[[#This Row],[Neto]]-Tabla1[[#This Row],[Costo Venta]]</f>
        <v>2764.0681812000003</v>
      </c>
    </row>
    <row r="1303" spans="1:16" x14ac:dyDescent="0.25">
      <c r="A1303" s="48">
        <v>45177</v>
      </c>
      <c r="B1303" s="1" t="s">
        <v>1242</v>
      </c>
      <c r="C1303" s="1" t="s">
        <v>214</v>
      </c>
      <c r="D1303" s="1" t="s">
        <v>238</v>
      </c>
      <c r="E1303" s="1" t="s">
        <v>71</v>
      </c>
      <c r="F1303" s="1" t="s">
        <v>239</v>
      </c>
      <c r="G1303" s="2">
        <v>25</v>
      </c>
      <c r="H1303" s="1" t="s">
        <v>1243</v>
      </c>
      <c r="I1303" s="44">
        <f>Tabla1[[#This Row],[Descuento]]+Tabla1[[#This Row],[Neto]]</f>
        <v>1487</v>
      </c>
      <c r="J1303" s="9">
        <v>118.96</v>
      </c>
      <c r="K1303" s="9">
        <v>1368.04</v>
      </c>
      <c r="L1303" s="9">
        <v>664.72825</v>
      </c>
      <c r="M1303" s="24">
        <f>+Tabla1[[#This Row],[Costo Venta]]/Tabla1[[#This Row],[Cantidad]]</f>
        <v>26.589130000000001</v>
      </c>
      <c r="N1303" s="3">
        <v>1</v>
      </c>
      <c r="O1303" s="8">
        <f>+Tabla1[[#This Row],[Conversión]]*Tabla1[[#This Row],[Cantidad]]</f>
        <v>25</v>
      </c>
      <c r="P1303" s="43">
        <f>Tabla1[[#This Row],[Neto]]-Tabla1[[#This Row],[Costo Venta]]</f>
        <v>703.31174999999996</v>
      </c>
    </row>
    <row r="1304" spans="1:16" x14ac:dyDescent="0.25">
      <c r="A1304" s="48">
        <v>45180</v>
      </c>
      <c r="B1304" s="1" t="s">
        <v>1242</v>
      </c>
      <c r="C1304" s="1" t="s">
        <v>214</v>
      </c>
      <c r="D1304" s="1" t="s">
        <v>1244</v>
      </c>
      <c r="E1304" s="1" t="s">
        <v>71</v>
      </c>
      <c r="F1304" s="1" t="s">
        <v>239</v>
      </c>
      <c r="G1304" s="2">
        <v>5</v>
      </c>
      <c r="H1304" s="1" t="s">
        <v>1243</v>
      </c>
      <c r="I1304" s="44">
        <f>Tabla1[[#This Row],[Descuento]]+Tabla1[[#This Row],[Neto]]</f>
        <v>297.40200000000004</v>
      </c>
      <c r="J1304" s="9">
        <v>23.792000000000002</v>
      </c>
      <c r="K1304" s="9">
        <v>273.61</v>
      </c>
      <c r="L1304" s="9">
        <v>138.66666499999999</v>
      </c>
      <c r="M1304" s="24">
        <f>+Tabla1[[#This Row],[Costo Venta]]/Tabla1[[#This Row],[Cantidad]]</f>
        <v>27.733332999999998</v>
      </c>
      <c r="N1304" s="3">
        <v>1</v>
      </c>
      <c r="O1304" s="8">
        <f>+Tabla1[[#This Row],[Conversión]]*Tabla1[[#This Row],[Cantidad]]</f>
        <v>5</v>
      </c>
      <c r="P1304" s="43">
        <f>Tabla1[[#This Row],[Neto]]-Tabla1[[#This Row],[Costo Venta]]</f>
        <v>134.94333500000002</v>
      </c>
    </row>
    <row r="1305" spans="1:16" x14ac:dyDescent="0.25">
      <c r="A1305" s="48">
        <v>45427</v>
      </c>
      <c r="B1305" s="1" t="s">
        <v>1242</v>
      </c>
      <c r="C1305" s="1" t="s">
        <v>81</v>
      </c>
      <c r="D1305" s="1" t="s">
        <v>1245</v>
      </c>
      <c r="E1305" s="1" t="s">
        <v>137</v>
      </c>
      <c r="F1305" s="1" t="s">
        <v>1124</v>
      </c>
      <c r="G1305" s="2">
        <v>489.3</v>
      </c>
      <c r="H1305" s="1" t="s">
        <v>1243</v>
      </c>
      <c r="I1305" s="44">
        <f>Tabla1[[#This Row],[Descuento]]+Tabla1[[#This Row],[Neto]]</f>
        <v>34192.282480000002</v>
      </c>
      <c r="J1305" s="9">
        <v>7522.3024800000003</v>
      </c>
      <c r="K1305" s="9">
        <v>26669.98</v>
      </c>
      <c r="L1305" s="9">
        <v>13868.705988899999</v>
      </c>
      <c r="M1305" s="24">
        <f>+Tabla1[[#This Row],[Costo Venta]]/Tabla1[[#This Row],[Cantidad]]</f>
        <v>28.343972999999998</v>
      </c>
      <c r="N1305" s="3">
        <v>1</v>
      </c>
      <c r="O1305" s="8">
        <f>+Tabla1[[#This Row],[Conversión]]*Tabla1[[#This Row],[Cantidad]]</f>
        <v>489.3</v>
      </c>
      <c r="P1305" s="43">
        <f>Tabla1[[#This Row],[Neto]]-Tabla1[[#This Row],[Costo Venta]]</f>
        <v>12801.2740111</v>
      </c>
    </row>
    <row r="1306" spans="1:16" x14ac:dyDescent="0.25">
      <c r="A1306" s="48">
        <v>45546</v>
      </c>
      <c r="B1306" s="1" t="s">
        <v>1242</v>
      </c>
      <c r="C1306" s="1" t="s">
        <v>65</v>
      </c>
      <c r="D1306" s="1" t="s">
        <v>1246</v>
      </c>
      <c r="E1306" s="1" t="s">
        <v>71</v>
      </c>
      <c r="F1306" s="1" t="s">
        <v>1247</v>
      </c>
      <c r="G1306" s="2">
        <v>10</v>
      </c>
      <c r="H1306" s="1" t="s">
        <v>1243</v>
      </c>
      <c r="I1306" s="44">
        <f>Tabla1[[#This Row],[Descuento]]+Tabla1[[#This Row],[Neto]]</f>
        <v>698.8</v>
      </c>
      <c r="J1306" s="9">
        <v>0</v>
      </c>
      <c r="K1306" s="9">
        <v>698.8</v>
      </c>
      <c r="L1306" s="9">
        <v>259.05495000000002</v>
      </c>
      <c r="M1306" s="24">
        <f>+Tabla1[[#This Row],[Costo Venta]]/Tabla1[[#This Row],[Cantidad]]</f>
        <v>25.905495000000002</v>
      </c>
      <c r="N1306" s="3">
        <v>1</v>
      </c>
      <c r="O1306" s="8">
        <f>+Tabla1[[#This Row],[Conversión]]*Tabla1[[#This Row],[Cantidad]]</f>
        <v>10</v>
      </c>
      <c r="P1306" s="43">
        <f>Tabla1[[#This Row],[Neto]]-Tabla1[[#This Row],[Costo Venta]]</f>
        <v>439.74504999999994</v>
      </c>
    </row>
    <row r="1307" spans="1:16" x14ac:dyDescent="0.25">
      <c r="A1307" s="48">
        <v>45639</v>
      </c>
      <c r="B1307" s="1" t="s">
        <v>1242</v>
      </c>
      <c r="C1307" s="1" t="s">
        <v>143</v>
      </c>
      <c r="D1307" s="1" t="s">
        <v>353</v>
      </c>
      <c r="E1307" s="1" t="s">
        <v>132</v>
      </c>
      <c r="F1307" s="1" t="s">
        <v>29</v>
      </c>
      <c r="G1307" s="2">
        <v>24.85</v>
      </c>
      <c r="H1307" s="1" t="s">
        <v>1243</v>
      </c>
      <c r="I1307" s="44">
        <f>Tabla1[[#This Row],[Descuento]]+Tabla1[[#This Row],[Neto]]</f>
        <v>1736.5154</v>
      </c>
      <c r="J1307" s="9">
        <v>520.95540000000005</v>
      </c>
      <c r="K1307" s="9">
        <v>1215.56</v>
      </c>
      <c r="L1307" s="9">
        <v>582.82521535000001</v>
      </c>
      <c r="M1307" s="24">
        <f>+Tabla1[[#This Row],[Costo Venta]]/Tabla1[[#This Row],[Cantidad]]</f>
        <v>23.453730999999998</v>
      </c>
      <c r="N1307" s="3">
        <v>1</v>
      </c>
      <c r="O1307" s="8">
        <f>+Tabla1[[#This Row],[Conversión]]*Tabla1[[#This Row],[Cantidad]]</f>
        <v>24.85</v>
      </c>
      <c r="P1307" s="43">
        <f>Tabla1[[#This Row],[Neto]]-Tabla1[[#This Row],[Costo Venta]]</f>
        <v>632.73478464999994</v>
      </c>
    </row>
    <row r="1308" spans="1:16" x14ac:dyDescent="0.25">
      <c r="A1308" s="48">
        <v>45814</v>
      </c>
      <c r="B1308" s="1" t="s">
        <v>1242</v>
      </c>
      <c r="C1308" s="1" t="s">
        <v>65</v>
      </c>
      <c r="D1308" s="1" t="s">
        <v>1248</v>
      </c>
      <c r="E1308" s="1" t="s">
        <v>67</v>
      </c>
      <c r="F1308" s="1" t="s">
        <v>44</v>
      </c>
      <c r="G1308" s="2">
        <v>4.03</v>
      </c>
      <c r="H1308" s="1" t="s">
        <v>1243</v>
      </c>
      <c r="I1308" s="44">
        <f>Tabla1[[#This Row],[Descuento]]+Tabla1[[#This Row],[Neto]]</f>
        <v>281.6241</v>
      </c>
      <c r="J1308" s="9">
        <v>70.4041</v>
      </c>
      <c r="K1308" s="9">
        <v>211.22</v>
      </c>
      <c r="L1308" s="9">
        <v>94.435521960000003</v>
      </c>
      <c r="M1308" s="24">
        <f>+Tabla1[[#This Row],[Costo Venta]]/Tabla1[[#This Row],[Cantidad]]</f>
        <v>23.433132000000001</v>
      </c>
      <c r="N1308" s="3">
        <v>1</v>
      </c>
      <c r="O1308" s="8">
        <f>+Tabla1[[#This Row],[Conversión]]*Tabla1[[#This Row],[Cantidad]]</f>
        <v>4.03</v>
      </c>
      <c r="P1308" s="43">
        <f>Tabla1[[#This Row],[Neto]]-Tabla1[[#This Row],[Costo Venta]]</f>
        <v>116.78447804</v>
      </c>
    </row>
    <row r="1309" spans="1:16" x14ac:dyDescent="0.25">
      <c r="A1309" s="48">
        <v>45826</v>
      </c>
      <c r="B1309" s="1" t="s">
        <v>1242</v>
      </c>
      <c r="C1309" s="1" t="s">
        <v>65</v>
      </c>
      <c r="D1309" s="1" t="s">
        <v>1249</v>
      </c>
      <c r="E1309" s="1" t="s">
        <v>137</v>
      </c>
      <c r="F1309" s="1" t="s">
        <v>1124</v>
      </c>
      <c r="G1309" s="2">
        <v>110</v>
      </c>
      <c r="H1309" s="1" t="s">
        <v>1243</v>
      </c>
      <c r="I1309" s="44">
        <f>Tabla1[[#This Row],[Descuento]]+Tabla1[[#This Row],[Neto]]</f>
        <v>7686.7960000000003</v>
      </c>
      <c r="J1309" s="9">
        <v>1691.096</v>
      </c>
      <c r="K1309" s="9">
        <v>5995.7</v>
      </c>
      <c r="L1309" s="9">
        <v>2577.6445199999998</v>
      </c>
      <c r="M1309" s="24">
        <f>+Tabla1[[#This Row],[Costo Venta]]/Tabla1[[#This Row],[Cantidad]]</f>
        <v>23.433131999999997</v>
      </c>
      <c r="N1309" s="3">
        <v>1</v>
      </c>
      <c r="O1309" s="8">
        <f>+Tabla1[[#This Row],[Conversión]]*Tabla1[[#This Row],[Cantidad]]</f>
        <v>110</v>
      </c>
      <c r="P1309" s="43">
        <f>Tabla1[[#This Row],[Neto]]-Tabla1[[#This Row],[Costo Venta]]</f>
        <v>3418.05548</v>
      </c>
    </row>
    <row r="1310" spans="1:16" x14ac:dyDescent="0.25">
      <c r="A1310" s="48">
        <v>45048</v>
      </c>
      <c r="B1310" s="1" t="s">
        <v>496</v>
      </c>
      <c r="C1310" s="1" t="s">
        <v>81</v>
      </c>
      <c r="D1310" s="1" t="s">
        <v>1250</v>
      </c>
      <c r="E1310" s="1" t="s">
        <v>71</v>
      </c>
      <c r="F1310" s="1" t="s">
        <v>1251</v>
      </c>
      <c r="G1310" s="2">
        <v>14.75</v>
      </c>
      <c r="H1310" s="1" t="s">
        <v>1252</v>
      </c>
      <c r="I1310" s="44">
        <f>Tabla1[[#This Row],[Descuento]]+Tabla1[[#This Row],[Neto]]</f>
        <v>560.5</v>
      </c>
      <c r="J1310" s="9">
        <v>0</v>
      </c>
      <c r="K1310" s="9">
        <v>560.5</v>
      </c>
      <c r="L1310" s="9">
        <v>65.784999999999997</v>
      </c>
      <c r="M1310" s="24">
        <f>+Tabla1[[#This Row],[Costo Venta]]/Tabla1[[#This Row],[Cantidad]]</f>
        <v>4.46</v>
      </c>
      <c r="N1310" s="3">
        <v>1</v>
      </c>
      <c r="O1310" s="8">
        <f>+Tabla1[[#This Row],[Conversión]]*Tabla1[[#This Row],[Cantidad]]</f>
        <v>14.75</v>
      </c>
      <c r="P1310" s="43">
        <f>Tabla1[[#This Row],[Neto]]-Tabla1[[#This Row],[Costo Venta]]</f>
        <v>494.71500000000003</v>
      </c>
    </row>
    <row r="1311" spans="1:16" x14ac:dyDescent="0.25">
      <c r="A1311" s="48">
        <v>45912</v>
      </c>
      <c r="B1311" s="1" t="s">
        <v>686</v>
      </c>
      <c r="C1311" s="1" t="s">
        <v>65</v>
      </c>
      <c r="D1311" s="1" t="s">
        <v>926</v>
      </c>
      <c r="E1311" s="1" t="s">
        <v>67</v>
      </c>
      <c r="F1311" s="1" t="s">
        <v>41</v>
      </c>
      <c r="G1311" s="2">
        <v>21.56</v>
      </c>
      <c r="H1311" s="1" t="s">
        <v>1253</v>
      </c>
      <c r="I1311" s="44">
        <f>Tabla1[[#This Row],[Descuento]]+Tabla1[[#This Row],[Neto]]</f>
        <v>1066.78664</v>
      </c>
      <c r="J1311" s="9">
        <v>320.03663999999998</v>
      </c>
      <c r="K1311" s="9">
        <v>746.75</v>
      </c>
      <c r="L1311" s="9">
        <v>281.73294995999998</v>
      </c>
      <c r="M1311" s="24">
        <f>+Tabla1[[#This Row],[Costo Venta]]/Tabla1[[#This Row],[Cantidad]]</f>
        <v>13.067391000000001</v>
      </c>
      <c r="N1311" s="3">
        <v>1</v>
      </c>
      <c r="O1311" s="8">
        <f>+Tabla1[[#This Row],[Conversión]]*Tabla1[[#This Row],[Cantidad]]</f>
        <v>21.56</v>
      </c>
      <c r="P1311" s="43">
        <f>Tabla1[[#This Row],[Neto]]-Tabla1[[#This Row],[Costo Venta]]</f>
        <v>465.01705004000002</v>
      </c>
    </row>
    <row r="1312" spans="1:16" x14ac:dyDescent="0.25">
      <c r="A1312" s="48">
        <v>45569</v>
      </c>
      <c r="B1312" s="1" t="s">
        <v>686</v>
      </c>
      <c r="C1312" s="1" t="s">
        <v>65</v>
      </c>
      <c r="D1312" s="1" t="s">
        <v>1254</v>
      </c>
      <c r="E1312" s="1" t="s">
        <v>67</v>
      </c>
      <c r="F1312" s="1" t="s">
        <v>9</v>
      </c>
      <c r="G1312" s="2">
        <v>9.8000000000000007</v>
      </c>
      <c r="H1312" s="1" t="s">
        <v>1255</v>
      </c>
      <c r="I1312" s="44">
        <f>Tabla1[[#This Row],[Descuento]]+Tabla1[[#This Row],[Neto]]</f>
        <v>484.89679999999998</v>
      </c>
      <c r="J1312" s="9">
        <v>218.20679999999999</v>
      </c>
      <c r="K1312" s="9">
        <v>266.69</v>
      </c>
      <c r="L1312" s="9">
        <v>77.656964000000002</v>
      </c>
      <c r="M1312" s="24">
        <f>+Tabla1[[#This Row],[Costo Venta]]/Tabla1[[#This Row],[Cantidad]]</f>
        <v>7.9241799999999998</v>
      </c>
      <c r="N1312" s="3">
        <v>1</v>
      </c>
      <c r="O1312" s="8">
        <f>+Tabla1[[#This Row],[Conversión]]*Tabla1[[#This Row],[Cantidad]]</f>
        <v>9.8000000000000007</v>
      </c>
      <c r="P1312" s="43">
        <f>Tabla1[[#This Row],[Neto]]-Tabla1[[#This Row],[Costo Venta]]</f>
        <v>189.03303599999998</v>
      </c>
    </row>
    <row r="1313" spans="1:16" x14ac:dyDescent="0.25">
      <c r="A1313" s="48">
        <v>45594</v>
      </c>
      <c r="B1313" s="1" t="s">
        <v>686</v>
      </c>
      <c r="C1313" s="1" t="s">
        <v>65</v>
      </c>
      <c r="D1313" s="1" t="s">
        <v>1256</v>
      </c>
      <c r="E1313" s="1" t="s">
        <v>67</v>
      </c>
      <c r="F1313" s="1" t="s">
        <v>9</v>
      </c>
      <c r="G1313" s="2">
        <v>8.68</v>
      </c>
      <c r="H1313" s="1" t="s">
        <v>1255</v>
      </c>
      <c r="I1313" s="44">
        <f>Tabla1[[#This Row],[Descuento]]+Tabla1[[#This Row],[Neto]]</f>
        <v>429.48887999999999</v>
      </c>
      <c r="J1313" s="9">
        <v>193.26888</v>
      </c>
      <c r="K1313" s="9">
        <v>236.22</v>
      </c>
      <c r="L1313" s="9">
        <v>67.131119999999996</v>
      </c>
      <c r="M1313" s="24">
        <f>+Tabla1[[#This Row],[Costo Venta]]/Tabla1[[#This Row],[Cantidad]]</f>
        <v>7.734</v>
      </c>
      <c r="N1313" s="3">
        <v>1</v>
      </c>
      <c r="O1313" s="8">
        <f>+Tabla1[[#This Row],[Conversión]]*Tabla1[[#This Row],[Cantidad]]</f>
        <v>8.68</v>
      </c>
      <c r="P1313" s="43">
        <f>Tabla1[[#This Row],[Neto]]-Tabla1[[#This Row],[Costo Venta]]</f>
        <v>169.08888000000002</v>
      </c>
    </row>
    <row r="1314" spans="1:16" x14ac:dyDescent="0.25">
      <c r="A1314" s="48">
        <v>44942</v>
      </c>
      <c r="B1314" s="1" t="s">
        <v>686</v>
      </c>
      <c r="C1314" s="1" t="s">
        <v>65</v>
      </c>
      <c r="D1314" s="1" t="s">
        <v>937</v>
      </c>
      <c r="E1314" s="1" t="s">
        <v>132</v>
      </c>
      <c r="F1314" s="1" t="s">
        <v>938</v>
      </c>
      <c r="G1314" s="2">
        <v>12.88</v>
      </c>
      <c r="H1314" s="1" t="s">
        <v>1257</v>
      </c>
      <c r="I1314" s="44">
        <f>Tabla1[[#This Row],[Descuento]]+Tabla1[[#This Row],[Neto]]</f>
        <v>631.11599999999999</v>
      </c>
      <c r="J1314" s="9">
        <v>31.556000000000001</v>
      </c>
      <c r="K1314" s="9">
        <v>599.55999999999995</v>
      </c>
      <c r="L1314" s="9">
        <v>112.539</v>
      </c>
      <c r="M1314" s="24">
        <f>+Tabla1[[#This Row],[Costo Venta]]/Tabla1[[#This Row],[Cantidad]]</f>
        <v>8.7374999999999989</v>
      </c>
      <c r="N1314" s="3">
        <v>1</v>
      </c>
      <c r="O1314" s="8">
        <f>+Tabla1[[#This Row],[Conversión]]*Tabla1[[#This Row],[Cantidad]]</f>
        <v>12.88</v>
      </c>
      <c r="P1314" s="43">
        <f>Tabla1[[#This Row],[Neto]]-Tabla1[[#This Row],[Costo Venta]]</f>
        <v>487.02099999999996</v>
      </c>
    </row>
    <row r="1315" spans="1:16" x14ac:dyDescent="0.25">
      <c r="A1315" s="48">
        <v>44963</v>
      </c>
      <c r="B1315" s="1" t="s">
        <v>686</v>
      </c>
      <c r="C1315" s="1" t="s">
        <v>109</v>
      </c>
      <c r="D1315" s="1" t="s">
        <v>1258</v>
      </c>
      <c r="E1315" s="1" t="s">
        <v>71</v>
      </c>
      <c r="F1315" s="1" t="s">
        <v>1259</v>
      </c>
      <c r="G1315" s="2">
        <v>1.1200000000000001</v>
      </c>
      <c r="H1315" s="1" t="s">
        <v>1257</v>
      </c>
      <c r="I1315" s="44">
        <f>Tabla1[[#This Row],[Descuento]]+Tabla1[[#This Row],[Neto]]</f>
        <v>54.878</v>
      </c>
      <c r="J1315" s="9">
        <v>5.4880000000000004</v>
      </c>
      <c r="K1315" s="9">
        <v>49.39</v>
      </c>
      <c r="L1315" s="9">
        <v>9.7895000000000003</v>
      </c>
      <c r="M1315" s="24">
        <f>+Tabla1[[#This Row],[Costo Venta]]/Tabla1[[#This Row],[Cantidad]]</f>
        <v>8.7406249999999996</v>
      </c>
      <c r="N1315" s="3">
        <v>1</v>
      </c>
      <c r="O1315" s="8">
        <f>+Tabla1[[#This Row],[Conversión]]*Tabla1[[#This Row],[Cantidad]]</f>
        <v>1.1200000000000001</v>
      </c>
      <c r="P1315" s="43">
        <f>Tabla1[[#This Row],[Neto]]-Tabla1[[#This Row],[Costo Venta]]</f>
        <v>39.600499999999997</v>
      </c>
    </row>
    <row r="1316" spans="1:16" x14ac:dyDescent="0.25">
      <c r="A1316" s="48">
        <v>45061</v>
      </c>
      <c r="B1316" s="1" t="s">
        <v>686</v>
      </c>
      <c r="C1316" s="1" t="s">
        <v>109</v>
      </c>
      <c r="D1316" s="1" t="s">
        <v>180</v>
      </c>
      <c r="E1316" s="1" t="s">
        <v>137</v>
      </c>
      <c r="F1316" s="1" t="s">
        <v>181</v>
      </c>
      <c r="G1316" s="2">
        <v>6.72</v>
      </c>
      <c r="H1316" s="1" t="s">
        <v>1257</v>
      </c>
      <c r="I1316" s="44">
        <f>Tabla1[[#This Row],[Descuento]]+Tabla1[[#This Row],[Neto]]</f>
        <v>329.28399999999999</v>
      </c>
      <c r="J1316" s="9">
        <v>16.463999999999999</v>
      </c>
      <c r="K1316" s="9">
        <v>312.82</v>
      </c>
      <c r="L1316" s="9">
        <v>61.940309759999998</v>
      </c>
      <c r="M1316" s="24">
        <f>+Tabla1[[#This Row],[Costo Venta]]/Tabla1[[#This Row],[Cantidad]]</f>
        <v>9.2173080000000009</v>
      </c>
      <c r="N1316" s="3">
        <v>1</v>
      </c>
      <c r="O1316" s="8">
        <f>+Tabla1[[#This Row],[Conversión]]*Tabla1[[#This Row],[Cantidad]]</f>
        <v>6.72</v>
      </c>
      <c r="P1316" s="43">
        <f>Tabla1[[#This Row],[Neto]]-Tabla1[[#This Row],[Costo Venta]]</f>
        <v>250.87969024</v>
      </c>
    </row>
    <row r="1317" spans="1:16" x14ac:dyDescent="0.25">
      <c r="A1317" s="48">
        <v>45351</v>
      </c>
      <c r="B1317" s="1" t="s">
        <v>686</v>
      </c>
      <c r="C1317" s="1" t="s">
        <v>29</v>
      </c>
      <c r="D1317" s="1" t="s">
        <v>940</v>
      </c>
      <c r="E1317" s="1" t="s">
        <v>71</v>
      </c>
      <c r="F1317" s="1" t="s">
        <v>941</v>
      </c>
      <c r="G1317" s="2">
        <v>1.96</v>
      </c>
      <c r="H1317" s="1" t="s">
        <v>1257</v>
      </c>
      <c r="I1317" s="44">
        <f>Tabla1[[#This Row],[Descuento]]+Tabla1[[#This Row],[Neto]]</f>
        <v>101.68</v>
      </c>
      <c r="J1317" s="9">
        <v>0</v>
      </c>
      <c r="K1317" s="9">
        <v>101.68</v>
      </c>
      <c r="L1317" s="9">
        <v>18.293132759999999</v>
      </c>
      <c r="M1317" s="24">
        <f>+Tabla1[[#This Row],[Costo Venta]]/Tabla1[[#This Row],[Cantidad]]</f>
        <v>9.3332309999999996</v>
      </c>
      <c r="N1317" s="3">
        <v>1</v>
      </c>
      <c r="O1317" s="8">
        <f>+Tabla1[[#This Row],[Conversión]]*Tabla1[[#This Row],[Cantidad]]</f>
        <v>1.96</v>
      </c>
      <c r="P1317" s="43">
        <f>Tabla1[[#This Row],[Neto]]-Tabla1[[#This Row],[Costo Venta]]</f>
        <v>83.386867240000015</v>
      </c>
    </row>
    <row r="1318" spans="1:16" x14ac:dyDescent="0.25">
      <c r="A1318" s="48">
        <v>45615</v>
      </c>
      <c r="B1318" s="1" t="s">
        <v>686</v>
      </c>
      <c r="C1318" s="1" t="s">
        <v>65</v>
      </c>
      <c r="D1318" s="1" t="s">
        <v>933</v>
      </c>
      <c r="E1318" s="1" t="s">
        <v>67</v>
      </c>
      <c r="F1318" s="1" t="s">
        <v>20</v>
      </c>
      <c r="G1318" s="2">
        <v>1.92</v>
      </c>
      <c r="H1318" s="1" t="s">
        <v>1257</v>
      </c>
      <c r="I1318" s="44">
        <f>Tabla1[[#This Row],[Descuento]]+Tabla1[[#This Row],[Neto]]</f>
        <v>95.000560000000007</v>
      </c>
      <c r="J1318" s="9">
        <v>33.25056</v>
      </c>
      <c r="K1318" s="9">
        <v>61.75</v>
      </c>
      <c r="L1318" s="9">
        <v>15.74575872</v>
      </c>
      <c r="M1318" s="24">
        <f>+Tabla1[[#This Row],[Costo Venta]]/Tabla1[[#This Row],[Cantidad]]</f>
        <v>8.2009159999999994</v>
      </c>
      <c r="N1318" s="3">
        <v>1</v>
      </c>
      <c r="O1318" s="8">
        <f>+Tabla1[[#This Row],[Conversión]]*Tabla1[[#This Row],[Cantidad]]</f>
        <v>1.92</v>
      </c>
      <c r="P1318" s="43">
        <f>Tabla1[[#This Row],[Neto]]-Tabla1[[#This Row],[Costo Venta]]</f>
        <v>46.004241280000002</v>
      </c>
    </row>
    <row r="1319" spans="1:16" x14ac:dyDescent="0.25">
      <c r="A1319" s="48">
        <v>45638</v>
      </c>
      <c r="B1319" s="1" t="s">
        <v>686</v>
      </c>
      <c r="C1319" s="1" t="s">
        <v>65</v>
      </c>
      <c r="D1319" s="1" t="s">
        <v>942</v>
      </c>
      <c r="E1319" s="1" t="s">
        <v>67</v>
      </c>
      <c r="F1319" s="1" t="s">
        <v>9</v>
      </c>
      <c r="G1319" s="2">
        <v>3.08</v>
      </c>
      <c r="H1319" s="1" t="s">
        <v>1257</v>
      </c>
      <c r="I1319" s="44">
        <f>Tabla1[[#This Row],[Descuento]]+Tabla1[[#This Row],[Neto]]</f>
        <v>152.39927999999998</v>
      </c>
      <c r="J1319" s="9">
        <v>68.579279999999997</v>
      </c>
      <c r="K1319" s="9">
        <v>83.82</v>
      </c>
      <c r="L1319" s="9">
        <v>25.258821279999999</v>
      </c>
      <c r="M1319" s="24">
        <f>+Tabla1[[#This Row],[Costo Venta]]/Tabla1[[#This Row],[Cantidad]]</f>
        <v>8.2009159999999994</v>
      </c>
      <c r="N1319" s="3">
        <v>1</v>
      </c>
      <c r="O1319" s="8">
        <f>+Tabla1[[#This Row],[Conversión]]*Tabla1[[#This Row],[Cantidad]]</f>
        <v>3.08</v>
      </c>
      <c r="P1319" s="43">
        <f>Tabla1[[#This Row],[Neto]]-Tabla1[[#This Row],[Costo Venta]]</f>
        <v>58.561178719999994</v>
      </c>
    </row>
    <row r="1320" spans="1:16" x14ac:dyDescent="0.25">
      <c r="A1320" s="48">
        <v>45686</v>
      </c>
      <c r="B1320" s="1" t="s">
        <v>686</v>
      </c>
      <c r="C1320" s="1" t="s">
        <v>65</v>
      </c>
      <c r="D1320" s="1" t="s">
        <v>1260</v>
      </c>
      <c r="E1320" s="1" t="s">
        <v>67</v>
      </c>
      <c r="F1320" s="1" t="s">
        <v>20</v>
      </c>
      <c r="G1320" s="2">
        <v>1.44</v>
      </c>
      <c r="H1320" s="1" t="s">
        <v>1257</v>
      </c>
      <c r="I1320" s="44">
        <f>Tabla1[[#This Row],[Descuento]]+Tabla1[[#This Row],[Neto]]</f>
        <v>71.247919999999993</v>
      </c>
      <c r="J1320" s="9">
        <v>24.937919999999998</v>
      </c>
      <c r="K1320" s="9">
        <v>46.31</v>
      </c>
      <c r="L1320" s="9">
        <v>11.12222448</v>
      </c>
      <c r="M1320" s="24">
        <f>+Tabla1[[#This Row],[Costo Venta]]/Tabla1[[#This Row],[Cantidad]]</f>
        <v>7.7237670000000005</v>
      </c>
      <c r="N1320" s="3">
        <v>1</v>
      </c>
      <c r="O1320" s="8">
        <f>+Tabla1[[#This Row],[Conversión]]*Tabla1[[#This Row],[Cantidad]]</f>
        <v>1.44</v>
      </c>
      <c r="P1320" s="43">
        <f>Tabla1[[#This Row],[Neto]]-Tabla1[[#This Row],[Costo Venta]]</f>
        <v>35.187775520000002</v>
      </c>
    </row>
    <row r="1321" spans="1:16" x14ac:dyDescent="0.25">
      <c r="A1321" s="48">
        <v>45737</v>
      </c>
      <c r="B1321" s="1" t="s">
        <v>686</v>
      </c>
      <c r="C1321" s="1" t="s">
        <v>65</v>
      </c>
      <c r="D1321" s="1" t="s">
        <v>1261</v>
      </c>
      <c r="E1321" s="1" t="s">
        <v>71</v>
      </c>
      <c r="F1321" s="1" t="s">
        <v>1262</v>
      </c>
      <c r="G1321" s="2">
        <v>11.2</v>
      </c>
      <c r="H1321" s="1" t="s">
        <v>1257</v>
      </c>
      <c r="I1321" s="44">
        <f>Tabla1[[#This Row],[Descuento]]+Tabla1[[#This Row],[Neto]]</f>
        <v>554.17759999999998</v>
      </c>
      <c r="J1321" s="9">
        <v>55.4176</v>
      </c>
      <c r="K1321" s="9">
        <v>498.76</v>
      </c>
      <c r="L1321" s="9">
        <v>86.506190399999994</v>
      </c>
      <c r="M1321" s="24">
        <f>+Tabla1[[#This Row],[Costo Venta]]/Tabla1[[#This Row],[Cantidad]]</f>
        <v>7.7237669999999996</v>
      </c>
      <c r="N1321" s="3">
        <v>1</v>
      </c>
      <c r="O1321" s="8">
        <f>+Tabla1[[#This Row],[Conversión]]*Tabla1[[#This Row],[Cantidad]]</f>
        <v>11.2</v>
      </c>
      <c r="P1321" s="43">
        <f>Tabla1[[#This Row],[Neto]]-Tabla1[[#This Row],[Costo Venta]]</f>
        <v>412.25380960000001</v>
      </c>
    </row>
    <row r="1322" spans="1:16" x14ac:dyDescent="0.25">
      <c r="A1322" s="48">
        <v>45833</v>
      </c>
      <c r="B1322" s="1" t="s">
        <v>686</v>
      </c>
      <c r="C1322" s="1" t="s">
        <v>65</v>
      </c>
      <c r="D1322" s="1" t="s">
        <v>1263</v>
      </c>
      <c r="E1322" s="1" t="s">
        <v>67</v>
      </c>
      <c r="F1322" s="1" t="s">
        <v>9</v>
      </c>
      <c r="G1322" s="2">
        <v>18.48</v>
      </c>
      <c r="H1322" s="1" t="s">
        <v>1257</v>
      </c>
      <c r="I1322" s="44">
        <f>Tabla1[[#This Row],[Descuento]]+Tabla1[[#This Row],[Neto]]</f>
        <v>914.38568000000009</v>
      </c>
      <c r="J1322" s="9">
        <v>411.47568000000001</v>
      </c>
      <c r="K1322" s="9">
        <v>502.91</v>
      </c>
      <c r="L1322" s="9">
        <v>165.49961736</v>
      </c>
      <c r="M1322" s="24">
        <f>+Tabla1[[#This Row],[Costo Venta]]/Tabla1[[#This Row],[Cantidad]]</f>
        <v>8.9556070000000005</v>
      </c>
      <c r="N1322" s="3">
        <v>1</v>
      </c>
      <c r="O1322" s="8">
        <f>+Tabla1[[#This Row],[Conversión]]*Tabla1[[#This Row],[Cantidad]]</f>
        <v>18.48</v>
      </c>
      <c r="P1322" s="43">
        <f>Tabla1[[#This Row],[Neto]]-Tabla1[[#This Row],[Costo Venta]]</f>
        <v>337.41038264000002</v>
      </c>
    </row>
    <row r="1323" spans="1:16" x14ac:dyDescent="0.25">
      <c r="A1323" s="48">
        <v>45835</v>
      </c>
      <c r="B1323" s="1" t="s">
        <v>686</v>
      </c>
      <c r="C1323" s="1" t="s">
        <v>65</v>
      </c>
      <c r="D1323" s="1" t="s">
        <v>1264</v>
      </c>
      <c r="E1323" s="1" t="s">
        <v>67</v>
      </c>
      <c r="F1323" s="1" t="s">
        <v>9</v>
      </c>
      <c r="G1323" s="2">
        <v>8.9600000000000009</v>
      </c>
      <c r="H1323" s="1" t="s">
        <v>1257</v>
      </c>
      <c r="I1323" s="44">
        <f>Tabla1[[#This Row],[Descuento]]+Tabla1[[#This Row],[Neto]]</f>
        <v>443.34335999999996</v>
      </c>
      <c r="J1323" s="9">
        <v>199.50335999999999</v>
      </c>
      <c r="K1323" s="9">
        <v>243.84</v>
      </c>
      <c r="L1323" s="9">
        <v>80.242238720000003</v>
      </c>
      <c r="M1323" s="24">
        <f>+Tabla1[[#This Row],[Costo Venta]]/Tabla1[[#This Row],[Cantidad]]</f>
        <v>8.9556069999999988</v>
      </c>
      <c r="N1323" s="3">
        <v>1</v>
      </c>
      <c r="O1323" s="8">
        <f>+Tabla1[[#This Row],[Conversión]]*Tabla1[[#This Row],[Cantidad]]</f>
        <v>8.9600000000000009</v>
      </c>
      <c r="P1323" s="43">
        <f>Tabla1[[#This Row],[Neto]]-Tabla1[[#This Row],[Costo Venta]]</f>
        <v>163.59776127999999</v>
      </c>
    </row>
    <row r="1324" spans="1:16" x14ac:dyDescent="0.25">
      <c r="A1324" s="48">
        <v>45904</v>
      </c>
      <c r="B1324" s="1" t="s">
        <v>686</v>
      </c>
      <c r="C1324" s="1" t="s">
        <v>65</v>
      </c>
      <c r="D1324" s="1" t="s">
        <v>1265</v>
      </c>
      <c r="E1324" s="1" t="s">
        <v>67</v>
      </c>
      <c r="F1324" s="1" t="s">
        <v>9</v>
      </c>
      <c r="G1324" s="2">
        <v>9.24</v>
      </c>
      <c r="H1324" s="1" t="s">
        <v>1257</v>
      </c>
      <c r="I1324" s="44">
        <f>Tabla1[[#This Row],[Descuento]]+Tabla1[[#This Row],[Neto]]</f>
        <v>457.19784000000004</v>
      </c>
      <c r="J1324" s="9">
        <v>205.73784000000001</v>
      </c>
      <c r="K1324" s="9">
        <v>251.46</v>
      </c>
      <c r="L1324" s="9">
        <v>77.215141079999995</v>
      </c>
      <c r="M1324" s="24">
        <f>+Tabla1[[#This Row],[Costo Venta]]/Tabla1[[#This Row],[Cantidad]]</f>
        <v>8.356617</v>
      </c>
      <c r="N1324" s="3">
        <v>1</v>
      </c>
      <c r="O1324" s="8">
        <f>+Tabla1[[#This Row],[Conversión]]*Tabla1[[#This Row],[Cantidad]]</f>
        <v>9.24</v>
      </c>
      <c r="P1324" s="43">
        <f>Tabla1[[#This Row],[Neto]]-Tabla1[[#This Row],[Costo Venta]]</f>
        <v>174.24485892000001</v>
      </c>
    </row>
    <row r="1325" spans="1:16" x14ac:dyDescent="0.25">
      <c r="A1325" s="48">
        <v>45922</v>
      </c>
      <c r="B1325" s="1" t="s">
        <v>686</v>
      </c>
      <c r="C1325" s="1" t="s">
        <v>65</v>
      </c>
      <c r="D1325" s="1" t="s">
        <v>1266</v>
      </c>
      <c r="E1325" s="1" t="s">
        <v>67</v>
      </c>
      <c r="F1325" s="1" t="s">
        <v>9</v>
      </c>
      <c r="G1325" s="2">
        <v>0.84</v>
      </c>
      <c r="H1325" s="1" t="s">
        <v>1257</v>
      </c>
      <c r="I1325" s="44">
        <f>Tabla1[[#This Row],[Descuento]]+Tabla1[[#This Row],[Neto]]</f>
        <v>41.56344</v>
      </c>
      <c r="J1325" s="9">
        <v>18.703440000000001</v>
      </c>
      <c r="K1325" s="9">
        <v>22.86</v>
      </c>
      <c r="L1325" s="9">
        <v>7.0126408800000002</v>
      </c>
      <c r="M1325" s="24">
        <f>+Tabla1[[#This Row],[Costo Venta]]/Tabla1[[#This Row],[Cantidad]]</f>
        <v>8.3483820000000009</v>
      </c>
      <c r="N1325" s="3">
        <v>1</v>
      </c>
      <c r="O1325" s="8">
        <f>+Tabla1[[#This Row],[Conversión]]*Tabla1[[#This Row],[Cantidad]]</f>
        <v>0.84</v>
      </c>
      <c r="P1325" s="43">
        <f>Tabla1[[#This Row],[Neto]]-Tabla1[[#This Row],[Costo Venta]]</f>
        <v>15.84735912</v>
      </c>
    </row>
    <row r="1326" spans="1:16" x14ac:dyDescent="0.25">
      <c r="A1326" s="48">
        <v>45573</v>
      </c>
      <c r="B1326" s="1" t="s">
        <v>686</v>
      </c>
      <c r="C1326" s="1" t="s">
        <v>65</v>
      </c>
      <c r="D1326" s="1" t="s">
        <v>1267</v>
      </c>
      <c r="E1326" s="1" t="s">
        <v>67</v>
      </c>
      <c r="F1326" s="1" t="s">
        <v>9</v>
      </c>
      <c r="G1326" s="2">
        <v>23.8</v>
      </c>
      <c r="H1326" s="1" t="s">
        <v>1268</v>
      </c>
      <c r="I1326" s="44">
        <f>Tabla1[[#This Row],[Descuento]]+Tabla1[[#This Row],[Neto]]</f>
        <v>1177.6208000000001</v>
      </c>
      <c r="J1326" s="9">
        <v>529.93079999999998</v>
      </c>
      <c r="K1326" s="9">
        <v>647.69000000000005</v>
      </c>
      <c r="L1326" s="9">
        <v>172.8330296</v>
      </c>
      <c r="M1326" s="24">
        <f>+Tabla1[[#This Row],[Costo Venta]]/Tabla1[[#This Row],[Cantidad]]</f>
        <v>7.2618919999999996</v>
      </c>
      <c r="N1326" s="3">
        <v>1</v>
      </c>
      <c r="O1326" s="8">
        <f>+Tabla1[[#This Row],[Conversión]]*Tabla1[[#This Row],[Cantidad]]</f>
        <v>23.8</v>
      </c>
      <c r="P1326" s="43">
        <f>Tabla1[[#This Row],[Neto]]-Tabla1[[#This Row],[Costo Venta]]</f>
        <v>474.85697040000002</v>
      </c>
    </row>
    <row r="1327" spans="1:16" x14ac:dyDescent="0.25">
      <c r="A1327" s="48">
        <v>45681</v>
      </c>
      <c r="B1327" s="1" t="s">
        <v>686</v>
      </c>
      <c r="C1327" s="1" t="s">
        <v>65</v>
      </c>
      <c r="D1327" s="1" t="s">
        <v>362</v>
      </c>
      <c r="E1327" s="1" t="s">
        <v>71</v>
      </c>
      <c r="F1327" s="1" t="s">
        <v>363</v>
      </c>
      <c r="G1327" s="2">
        <v>2</v>
      </c>
      <c r="H1327" s="1" t="s">
        <v>1268</v>
      </c>
      <c r="I1327" s="44">
        <f>Tabla1[[#This Row],[Descuento]]+Tabla1[[#This Row],[Neto]]</f>
        <v>98.957999999999998</v>
      </c>
      <c r="J1327" s="9">
        <v>4.9480000000000004</v>
      </c>
      <c r="K1327" s="9">
        <v>94.01</v>
      </c>
      <c r="L1327" s="9">
        <v>18.053930000000001</v>
      </c>
      <c r="M1327" s="24">
        <f>+Tabla1[[#This Row],[Costo Venta]]/Tabla1[[#This Row],[Cantidad]]</f>
        <v>9.0269650000000006</v>
      </c>
      <c r="N1327" s="3">
        <v>1</v>
      </c>
      <c r="O1327" s="8">
        <f>+Tabla1[[#This Row],[Conversión]]*Tabla1[[#This Row],[Cantidad]]</f>
        <v>2</v>
      </c>
      <c r="P1327" s="43">
        <f>Tabla1[[#This Row],[Neto]]-Tabla1[[#This Row],[Costo Venta]]</f>
        <v>75.956070000000011</v>
      </c>
    </row>
    <row r="1328" spans="1:16" x14ac:dyDescent="0.25">
      <c r="A1328" s="48">
        <v>45685</v>
      </c>
      <c r="B1328" s="1" t="s">
        <v>686</v>
      </c>
      <c r="C1328" s="1" t="s">
        <v>65</v>
      </c>
      <c r="D1328" s="1" t="s">
        <v>367</v>
      </c>
      <c r="E1328" s="1" t="s">
        <v>67</v>
      </c>
      <c r="F1328" s="1" t="s">
        <v>43</v>
      </c>
      <c r="G1328" s="2">
        <v>4</v>
      </c>
      <c r="H1328" s="1" t="s">
        <v>1268</v>
      </c>
      <c r="I1328" s="44">
        <f>Tabla1[[#This Row],[Descuento]]+Tabla1[[#This Row],[Neto]]</f>
        <v>197.916</v>
      </c>
      <c r="J1328" s="9">
        <v>59.375999999999998</v>
      </c>
      <c r="K1328" s="9">
        <v>138.54</v>
      </c>
      <c r="L1328" s="9">
        <v>36.107860000000002</v>
      </c>
      <c r="M1328" s="24">
        <f>+Tabla1[[#This Row],[Costo Venta]]/Tabla1[[#This Row],[Cantidad]]</f>
        <v>9.0269650000000006</v>
      </c>
      <c r="N1328" s="3">
        <v>1</v>
      </c>
      <c r="O1328" s="8">
        <f>+Tabla1[[#This Row],[Conversión]]*Tabla1[[#This Row],[Cantidad]]</f>
        <v>4</v>
      </c>
      <c r="P1328" s="43">
        <f>Tabla1[[#This Row],[Neto]]-Tabla1[[#This Row],[Costo Venta]]</f>
        <v>102.43213999999999</v>
      </c>
    </row>
    <row r="1329" spans="1:16" x14ac:dyDescent="0.25">
      <c r="A1329" s="48">
        <v>45722</v>
      </c>
      <c r="B1329" s="1" t="s">
        <v>686</v>
      </c>
      <c r="C1329" s="1" t="s">
        <v>65</v>
      </c>
      <c r="D1329" s="1" t="s">
        <v>1269</v>
      </c>
      <c r="E1329" s="1" t="s">
        <v>67</v>
      </c>
      <c r="F1329" s="1" t="s">
        <v>9</v>
      </c>
      <c r="G1329" s="2">
        <v>2.2400000000000002</v>
      </c>
      <c r="H1329" s="1" t="s">
        <v>1268</v>
      </c>
      <c r="I1329" s="44">
        <f>Tabla1[[#This Row],[Descuento]]+Tabla1[[#This Row],[Neto]]</f>
        <v>110.83583999999999</v>
      </c>
      <c r="J1329" s="9">
        <v>49.875839999999997</v>
      </c>
      <c r="K1329" s="9">
        <v>60.96</v>
      </c>
      <c r="L1329" s="9">
        <v>19.999891519999998</v>
      </c>
      <c r="M1329" s="24">
        <f>+Tabla1[[#This Row],[Costo Venta]]/Tabla1[[#This Row],[Cantidad]]</f>
        <v>8.9285229999999984</v>
      </c>
      <c r="N1329" s="3">
        <v>1</v>
      </c>
      <c r="O1329" s="8">
        <f>+Tabla1[[#This Row],[Conversión]]*Tabla1[[#This Row],[Cantidad]]</f>
        <v>2.2400000000000002</v>
      </c>
      <c r="P1329" s="43">
        <f>Tabla1[[#This Row],[Neto]]-Tabla1[[#This Row],[Costo Venta]]</f>
        <v>40.960108480000002</v>
      </c>
    </row>
    <row r="1330" spans="1:16" x14ac:dyDescent="0.25">
      <c r="A1330" s="48">
        <v>45814</v>
      </c>
      <c r="B1330" s="1" t="s">
        <v>686</v>
      </c>
      <c r="C1330" s="1" t="s">
        <v>65</v>
      </c>
      <c r="D1330" s="1" t="s">
        <v>1270</v>
      </c>
      <c r="E1330" s="1" t="s">
        <v>67</v>
      </c>
      <c r="F1330" s="1" t="s">
        <v>20</v>
      </c>
      <c r="G1330" s="2">
        <v>5.04</v>
      </c>
      <c r="H1330" s="1" t="s">
        <v>1268</v>
      </c>
      <c r="I1330" s="44">
        <f>Tabla1[[#This Row],[Descuento]]+Tabla1[[#This Row],[Neto]]</f>
        <v>249.38376</v>
      </c>
      <c r="J1330" s="9">
        <v>74.813760000000002</v>
      </c>
      <c r="K1330" s="9">
        <v>174.57</v>
      </c>
      <c r="L1330" s="9">
        <v>53.296896240000002</v>
      </c>
      <c r="M1330" s="24">
        <f>+Tabla1[[#This Row],[Costo Venta]]/Tabla1[[#This Row],[Cantidad]]</f>
        <v>10.574781</v>
      </c>
      <c r="N1330" s="3">
        <v>1</v>
      </c>
      <c r="O1330" s="8">
        <f>+Tabla1[[#This Row],[Conversión]]*Tabla1[[#This Row],[Cantidad]]</f>
        <v>5.04</v>
      </c>
      <c r="P1330" s="43">
        <f>Tabla1[[#This Row],[Neto]]-Tabla1[[#This Row],[Costo Venta]]</f>
        <v>121.27310376</v>
      </c>
    </row>
    <row r="1331" spans="1:16" x14ac:dyDescent="0.25">
      <c r="A1331" s="48">
        <v>45863</v>
      </c>
      <c r="B1331" s="1" t="s">
        <v>686</v>
      </c>
      <c r="C1331" s="1" t="s">
        <v>65</v>
      </c>
      <c r="D1331" s="1" t="s">
        <v>1271</v>
      </c>
      <c r="E1331" s="1" t="s">
        <v>67</v>
      </c>
      <c r="F1331" s="1" t="s">
        <v>20</v>
      </c>
      <c r="G1331" s="2">
        <v>13.44</v>
      </c>
      <c r="H1331" s="1" t="s">
        <v>1268</v>
      </c>
      <c r="I1331" s="44">
        <f>Tabla1[[#This Row],[Descuento]]+Tabla1[[#This Row],[Neto]]</f>
        <v>665.01335999999992</v>
      </c>
      <c r="J1331" s="9">
        <v>199.50335999999999</v>
      </c>
      <c r="K1331" s="9">
        <v>465.51</v>
      </c>
      <c r="L1331" s="9">
        <v>120.32346816</v>
      </c>
      <c r="M1331" s="24">
        <f>+Tabla1[[#This Row],[Costo Venta]]/Tabla1[[#This Row],[Cantidad]]</f>
        <v>8.9526390000000013</v>
      </c>
      <c r="N1331" s="3">
        <v>1</v>
      </c>
      <c r="O1331" s="8">
        <f>+Tabla1[[#This Row],[Conversión]]*Tabla1[[#This Row],[Cantidad]]</f>
        <v>13.44</v>
      </c>
      <c r="P1331" s="43">
        <f>Tabla1[[#This Row],[Neto]]-Tabla1[[#This Row],[Costo Venta]]</f>
        <v>345.18653183999999</v>
      </c>
    </row>
    <row r="1332" spans="1:16" x14ac:dyDescent="0.25">
      <c r="A1332" s="48">
        <v>44963</v>
      </c>
      <c r="B1332" s="1" t="s">
        <v>686</v>
      </c>
      <c r="C1332" s="1" t="s">
        <v>65</v>
      </c>
      <c r="D1332" s="1" t="s">
        <v>139</v>
      </c>
      <c r="E1332" s="1" t="s">
        <v>71</v>
      </c>
      <c r="F1332" s="1" t="s">
        <v>140</v>
      </c>
      <c r="G1332" s="2">
        <v>5.88</v>
      </c>
      <c r="H1332" s="1" t="s">
        <v>1272</v>
      </c>
      <c r="I1332" s="44">
        <f>Tabla1[[#This Row],[Descuento]]+Tabla1[[#This Row],[Neto]]</f>
        <v>288.12200000000001</v>
      </c>
      <c r="J1332" s="9">
        <v>28.812000000000001</v>
      </c>
      <c r="K1332" s="9">
        <v>259.31</v>
      </c>
      <c r="L1332" s="9">
        <v>58.0062</v>
      </c>
      <c r="M1332" s="24">
        <f>+Tabla1[[#This Row],[Costo Venta]]/Tabla1[[#This Row],[Cantidad]]</f>
        <v>9.8650000000000002</v>
      </c>
      <c r="N1332" s="3">
        <v>1</v>
      </c>
      <c r="O1332" s="8">
        <f>+Tabla1[[#This Row],[Conversión]]*Tabla1[[#This Row],[Cantidad]]</f>
        <v>5.88</v>
      </c>
      <c r="P1332" s="43">
        <f>Tabla1[[#This Row],[Neto]]-Tabla1[[#This Row],[Costo Venta]]</f>
        <v>201.3038</v>
      </c>
    </row>
    <row r="1333" spans="1:16" x14ac:dyDescent="0.25">
      <c r="A1333" s="48">
        <v>45000</v>
      </c>
      <c r="B1333" s="1" t="s">
        <v>686</v>
      </c>
      <c r="C1333" s="1" t="s">
        <v>65</v>
      </c>
      <c r="D1333" s="1" t="s">
        <v>156</v>
      </c>
      <c r="E1333" s="1" t="s">
        <v>67</v>
      </c>
      <c r="F1333" s="1" t="s">
        <v>157</v>
      </c>
      <c r="G1333" s="2">
        <v>10.08</v>
      </c>
      <c r="H1333" s="1" t="s">
        <v>1272</v>
      </c>
      <c r="I1333" s="44">
        <f>Tabla1[[#This Row],[Descuento]]+Tabla1[[#This Row],[Neto]]</f>
        <v>493.92</v>
      </c>
      <c r="J1333" s="9">
        <v>246.96</v>
      </c>
      <c r="K1333" s="9">
        <v>246.96</v>
      </c>
      <c r="L1333" s="9">
        <v>44.702330400000001</v>
      </c>
      <c r="M1333" s="24">
        <f>+Tabla1[[#This Row],[Costo Venta]]/Tabla1[[#This Row],[Cantidad]]</f>
        <v>4.434755</v>
      </c>
      <c r="N1333" s="3">
        <v>1</v>
      </c>
      <c r="O1333" s="8">
        <f>+Tabla1[[#This Row],[Conversión]]*Tabla1[[#This Row],[Cantidad]]</f>
        <v>10.08</v>
      </c>
      <c r="P1333" s="43">
        <f>Tabla1[[#This Row],[Neto]]-Tabla1[[#This Row],[Costo Venta]]</f>
        <v>202.25766960000001</v>
      </c>
    </row>
    <row r="1334" spans="1:16" x14ac:dyDescent="0.25">
      <c r="A1334" s="48">
        <v>45063</v>
      </c>
      <c r="B1334" s="1" t="s">
        <v>686</v>
      </c>
      <c r="C1334" s="1" t="s">
        <v>109</v>
      </c>
      <c r="D1334" s="1" t="s">
        <v>1273</v>
      </c>
      <c r="E1334" s="1" t="s">
        <v>67</v>
      </c>
      <c r="F1334" s="1" t="s">
        <v>20</v>
      </c>
      <c r="G1334" s="2">
        <v>9.24</v>
      </c>
      <c r="H1334" s="1" t="s">
        <v>1272</v>
      </c>
      <c r="I1334" s="44">
        <f>Tabla1[[#This Row],[Descuento]]+Tabla1[[#This Row],[Neto]]</f>
        <v>452.75600000000003</v>
      </c>
      <c r="J1334" s="9">
        <v>158.46600000000001</v>
      </c>
      <c r="K1334" s="9">
        <v>294.29000000000002</v>
      </c>
      <c r="L1334" s="9">
        <v>41.7939522</v>
      </c>
      <c r="M1334" s="24">
        <f>+Tabla1[[#This Row],[Costo Venta]]/Tabla1[[#This Row],[Cantidad]]</f>
        <v>4.523155</v>
      </c>
      <c r="N1334" s="3">
        <v>1</v>
      </c>
      <c r="O1334" s="8">
        <f>+Tabla1[[#This Row],[Conversión]]*Tabla1[[#This Row],[Cantidad]]</f>
        <v>9.24</v>
      </c>
      <c r="P1334" s="43">
        <f>Tabla1[[#This Row],[Neto]]-Tabla1[[#This Row],[Costo Venta]]</f>
        <v>252.49604780000001</v>
      </c>
    </row>
    <row r="1335" spans="1:16" x14ac:dyDescent="0.25">
      <c r="A1335" s="48">
        <v>45078</v>
      </c>
      <c r="B1335" s="1" t="s">
        <v>686</v>
      </c>
      <c r="C1335" s="1" t="s">
        <v>109</v>
      </c>
      <c r="D1335" s="1" t="s">
        <v>1200</v>
      </c>
      <c r="E1335" s="1" t="s">
        <v>67</v>
      </c>
      <c r="F1335" s="1" t="s">
        <v>20</v>
      </c>
      <c r="G1335" s="2">
        <v>3.92</v>
      </c>
      <c r="H1335" s="1" t="s">
        <v>1272</v>
      </c>
      <c r="I1335" s="44">
        <f>Tabla1[[#This Row],[Descuento]]+Tabla1[[#This Row],[Neto]]</f>
        <v>192.07799999999997</v>
      </c>
      <c r="J1335" s="9">
        <v>67.227999999999994</v>
      </c>
      <c r="K1335" s="9">
        <v>124.85</v>
      </c>
      <c r="L1335" s="9">
        <v>17.7307676</v>
      </c>
      <c r="M1335" s="24">
        <f>+Tabla1[[#This Row],[Costo Venta]]/Tabla1[[#This Row],[Cantidad]]</f>
        <v>4.523155</v>
      </c>
      <c r="N1335" s="3">
        <v>1</v>
      </c>
      <c r="O1335" s="8">
        <f>+Tabla1[[#This Row],[Conversión]]*Tabla1[[#This Row],[Cantidad]]</f>
        <v>3.92</v>
      </c>
      <c r="P1335" s="43">
        <f>Tabla1[[#This Row],[Neto]]-Tabla1[[#This Row],[Costo Venta]]</f>
        <v>107.11923239999999</v>
      </c>
    </row>
    <row r="1336" spans="1:16" x14ac:dyDescent="0.25">
      <c r="A1336" s="48">
        <v>45084</v>
      </c>
      <c r="B1336" s="1" t="s">
        <v>686</v>
      </c>
      <c r="C1336" s="1" t="s">
        <v>109</v>
      </c>
      <c r="D1336" s="1" t="s">
        <v>194</v>
      </c>
      <c r="E1336" s="1" t="s">
        <v>71</v>
      </c>
      <c r="F1336" s="1" t="s">
        <v>195</v>
      </c>
      <c r="G1336" s="2">
        <v>48.16</v>
      </c>
      <c r="H1336" s="1" t="s">
        <v>1272</v>
      </c>
      <c r="I1336" s="44">
        <f>Tabla1[[#This Row],[Descuento]]+Tabla1[[#This Row],[Neto]]</f>
        <v>2359.8440000000001</v>
      </c>
      <c r="J1336" s="9">
        <v>235.98400000000001</v>
      </c>
      <c r="K1336" s="9">
        <v>2123.86</v>
      </c>
      <c r="L1336" s="9">
        <v>217.83514479999999</v>
      </c>
      <c r="M1336" s="24">
        <f>+Tabla1[[#This Row],[Costo Venta]]/Tabla1[[#This Row],[Cantidad]]</f>
        <v>4.523155</v>
      </c>
      <c r="N1336" s="3">
        <v>1</v>
      </c>
      <c r="O1336" s="8">
        <f>+Tabla1[[#This Row],[Conversión]]*Tabla1[[#This Row],[Cantidad]]</f>
        <v>48.16</v>
      </c>
      <c r="P1336" s="43">
        <f>Tabla1[[#This Row],[Neto]]-Tabla1[[#This Row],[Costo Venta]]</f>
        <v>1906.0248552</v>
      </c>
    </row>
    <row r="1337" spans="1:16" x14ac:dyDescent="0.25">
      <c r="A1337" s="48">
        <v>45195</v>
      </c>
      <c r="B1337" s="1" t="s">
        <v>686</v>
      </c>
      <c r="C1337" s="1" t="s">
        <v>81</v>
      </c>
      <c r="D1337" s="1" t="s">
        <v>969</v>
      </c>
      <c r="E1337" s="1" t="s">
        <v>67</v>
      </c>
      <c r="F1337" s="1" t="s">
        <v>9</v>
      </c>
      <c r="G1337" s="2">
        <v>6.16</v>
      </c>
      <c r="H1337" s="1" t="s">
        <v>1272</v>
      </c>
      <c r="I1337" s="44">
        <f>Tabla1[[#This Row],[Descuento]]+Tabla1[[#This Row],[Neto]]</f>
        <v>304.79888</v>
      </c>
      <c r="J1337" s="9">
        <v>106.67888000000001</v>
      </c>
      <c r="K1337" s="9">
        <v>198.12</v>
      </c>
      <c r="L1337" s="9">
        <v>60.791684799999999</v>
      </c>
      <c r="M1337" s="24">
        <f>+Tabla1[[#This Row],[Costo Venta]]/Tabla1[[#This Row],[Cantidad]]</f>
        <v>9.8687799999999992</v>
      </c>
      <c r="N1337" s="3">
        <v>1</v>
      </c>
      <c r="O1337" s="8">
        <f>+Tabla1[[#This Row],[Conversión]]*Tabla1[[#This Row],[Cantidad]]</f>
        <v>6.16</v>
      </c>
      <c r="P1337" s="43">
        <f>Tabla1[[#This Row],[Neto]]-Tabla1[[#This Row],[Costo Venta]]</f>
        <v>137.32831520000002</v>
      </c>
    </row>
    <row r="1338" spans="1:16" x14ac:dyDescent="0.25">
      <c r="A1338" s="48">
        <v>45306</v>
      </c>
      <c r="B1338" s="1" t="s">
        <v>686</v>
      </c>
      <c r="C1338" s="1" t="s">
        <v>81</v>
      </c>
      <c r="D1338" s="1" t="s">
        <v>1137</v>
      </c>
      <c r="E1338" s="1" t="s">
        <v>67</v>
      </c>
      <c r="F1338" s="1" t="s">
        <v>20</v>
      </c>
      <c r="G1338" s="2">
        <v>1.1200000000000001</v>
      </c>
      <c r="H1338" s="1" t="s">
        <v>1272</v>
      </c>
      <c r="I1338" s="44">
        <f>Tabla1[[#This Row],[Descuento]]+Tabla1[[#This Row],[Neto]]</f>
        <v>55.416160000000005</v>
      </c>
      <c r="J1338" s="9">
        <v>19.396159999999998</v>
      </c>
      <c r="K1338" s="9">
        <v>36.020000000000003</v>
      </c>
      <c r="L1338" s="9">
        <v>9.7643492799999994</v>
      </c>
      <c r="M1338" s="24">
        <f>+Tabla1[[#This Row],[Costo Venta]]/Tabla1[[#This Row],[Cantidad]]</f>
        <v>8.7181689999999978</v>
      </c>
      <c r="N1338" s="3">
        <v>1</v>
      </c>
      <c r="O1338" s="8">
        <f>+Tabla1[[#This Row],[Conversión]]*Tabla1[[#This Row],[Cantidad]]</f>
        <v>1.1200000000000001</v>
      </c>
      <c r="P1338" s="43">
        <f>Tabla1[[#This Row],[Neto]]-Tabla1[[#This Row],[Costo Venta]]</f>
        <v>26.255650720000006</v>
      </c>
    </row>
    <row r="1339" spans="1:16" x14ac:dyDescent="0.25">
      <c r="A1339" s="48">
        <v>45433</v>
      </c>
      <c r="B1339" s="1" t="s">
        <v>686</v>
      </c>
      <c r="C1339" s="1" t="s">
        <v>29</v>
      </c>
      <c r="D1339" s="1" t="s">
        <v>1221</v>
      </c>
      <c r="E1339" s="1" t="s">
        <v>67</v>
      </c>
      <c r="F1339" s="1" t="s">
        <v>20</v>
      </c>
      <c r="G1339" s="2">
        <v>8.1199999999999992</v>
      </c>
      <c r="H1339" s="1" t="s">
        <v>1272</v>
      </c>
      <c r="I1339" s="44">
        <f>Tabla1[[#This Row],[Descuento]]+Tabla1[[#This Row],[Neto]]</f>
        <v>401.78216000000003</v>
      </c>
      <c r="J1339" s="9">
        <v>140.62216000000001</v>
      </c>
      <c r="K1339" s="9">
        <v>261.16000000000003</v>
      </c>
      <c r="L1339" s="9">
        <v>67.247233480000006</v>
      </c>
      <c r="M1339" s="24">
        <f>+Tabla1[[#This Row],[Costo Venta]]/Tabla1[[#This Row],[Cantidad]]</f>
        <v>8.2816790000000022</v>
      </c>
      <c r="N1339" s="3">
        <v>1</v>
      </c>
      <c r="O1339" s="8">
        <f>+Tabla1[[#This Row],[Conversión]]*Tabla1[[#This Row],[Cantidad]]</f>
        <v>8.1199999999999992</v>
      </c>
      <c r="P1339" s="43">
        <f>Tabla1[[#This Row],[Neto]]-Tabla1[[#This Row],[Costo Venta]]</f>
        <v>193.91276652000002</v>
      </c>
    </row>
    <row r="1340" spans="1:16" x14ac:dyDescent="0.25">
      <c r="A1340" s="48">
        <v>45464</v>
      </c>
      <c r="B1340" s="1" t="s">
        <v>686</v>
      </c>
      <c r="C1340" s="1" t="s">
        <v>65</v>
      </c>
      <c r="D1340" s="1" t="s">
        <v>320</v>
      </c>
      <c r="E1340" s="1" t="s">
        <v>71</v>
      </c>
      <c r="F1340" s="1" t="s">
        <v>321</v>
      </c>
      <c r="G1340" s="2">
        <v>5</v>
      </c>
      <c r="H1340" s="1" t="s">
        <v>1272</v>
      </c>
      <c r="I1340" s="44">
        <f>Tabla1[[#This Row],[Descuento]]+Tabla1[[#This Row],[Neto]]</f>
        <v>247.4</v>
      </c>
      <c r="J1340" s="9">
        <v>24.74</v>
      </c>
      <c r="K1340" s="9">
        <v>222.66</v>
      </c>
      <c r="L1340" s="9">
        <v>40.960360000000001</v>
      </c>
      <c r="M1340" s="24">
        <f>+Tabla1[[#This Row],[Costo Venta]]/Tabla1[[#This Row],[Cantidad]]</f>
        <v>8.1920719999999996</v>
      </c>
      <c r="N1340" s="3">
        <v>1</v>
      </c>
      <c r="O1340" s="8">
        <f>+Tabla1[[#This Row],[Conversión]]*Tabla1[[#This Row],[Cantidad]]</f>
        <v>5</v>
      </c>
      <c r="P1340" s="43">
        <f>Tabla1[[#This Row],[Neto]]-Tabla1[[#This Row],[Costo Venta]]</f>
        <v>181.69963999999999</v>
      </c>
    </row>
    <row r="1341" spans="1:16" x14ac:dyDescent="0.25">
      <c r="A1341" s="48">
        <v>45474</v>
      </c>
      <c r="B1341" s="1" t="s">
        <v>686</v>
      </c>
      <c r="C1341" s="1" t="s">
        <v>65</v>
      </c>
      <c r="D1341" s="1" t="s">
        <v>1274</v>
      </c>
      <c r="E1341" s="1" t="s">
        <v>67</v>
      </c>
      <c r="F1341" s="1" t="s">
        <v>9</v>
      </c>
      <c r="G1341" s="2">
        <v>4.2</v>
      </c>
      <c r="H1341" s="1" t="s">
        <v>1272</v>
      </c>
      <c r="I1341" s="44">
        <f>Tabla1[[#This Row],[Descuento]]+Tabla1[[#This Row],[Neto]]</f>
        <v>207.81720000000001</v>
      </c>
      <c r="J1341" s="9">
        <v>93.517200000000003</v>
      </c>
      <c r="K1341" s="9">
        <v>114.3</v>
      </c>
      <c r="L1341" s="9">
        <v>34.376958000000002</v>
      </c>
      <c r="M1341" s="24">
        <f>+Tabla1[[#This Row],[Costo Venta]]/Tabla1[[#This Row],[Cantidad]]</f>
        <v>8.1849900000000009</v>
      </c>
      <c r="N1341" s="3">
        <v>1</v>
      </c>
      <c r="O1341" s="8">
        <f>+Tabla1[[#This Row],[Conversión]]*Tabla1[[#This Row],[Cantidad]]</f>
        <v>4.2</v>
      </c>
      <c r="P1341" s="43">
        <f>Tabla1[[#This Row],[Neto]]-Tabla1[[#This Row],[Costo Venta]]</f>
        <v>79.923041999999995</v>
      </c>
    </row>
    <row r="1342" spans="1:16" x14ac:dyDescent="0.25">
      <c r="A1342" s="48">
        <v>45538</v>
      </c>
      <c r="B1342" s="1" t="s">
        <v>686</v>
      </c>
      <c r="C1342" s="1" t="s">
        <v>65</v>
      </c>
      <c r="D1342" s="1" t="s">
        <v>1063</v>
      </c>
      <c r="E1342" s="1" t="s">
        <v>71</v>
      </c>
      <c r="F1342" s="1" t="s">
        <v>28</v>
      </c>
      <c r="G1342" s="2">
        <v>4.72</v>
      </c>
      <c r="H1342" s="1" t="s">
        <v>1272</v>
      </c>
      <c r="I1342" s="44">
        <f>Tabla1[[#This Row],[Descuento]]+Tabla1[[#This Row],[Neto]]</f>
        <v>233.54515872000002</v>
      </c>
      <c r="J1342" s="9">
        <v>211.05515872000001</v>
      </c>
      <c r="K1342" s="9">
        <v>22.49</v>
      </c>
      <c r="L1342" s="9">
        <v>38.185852560000001</v>
      </c>
      <c r="M1342" s="24">
        <f>+Tabla1[[#This Row],[Costo Venta]]/Tabla1[[#This Row],[Cantidad]]</f>
        <v>8.0902229999999999</v>
      </c>
      <c r="N1342" s="3">
        <v>1</v>
      </c>
      <c r="O1342" s="8">
        <f>+Tabla1[[#This Row],[Conversión]]*Tabla1[[#This Row],[Cantidad]]</f>
        <v>4.72</v>
      </c>
      <c r="P1342" s="43">
        <f>Tabla1[[#This Row],[Neto]]-Tabla1[[#This Row],[Costo Venta]]</f>
        <v>-15.695852560000002</v>
      </c>
    </row>
    <row r="1343" spans="1:16" x14ac:dyDescent="0.25">
      <c r="A1343" s="48">
        <v>45575</v>
      </c>
      <c r="B1343" s="1" t="s">
        <v>686</v>
      </c>
      <c r="C1343" s="1" t="s">
        <v>143</v>
      </c>
      <c r="D1343" s="1" t="s">
        <v>337</v>
      </c>
      <c r="E1343" s="1" t="s">
        <v>137</v>
      </c>
      <c r="F1343" s="1" t="s">
        <v>38</v>
      </c>
      <c r="G1343" s="2">
        <v>14</v>
      </c>
      <c r="H1343" s="1" t="s">
        <v>1272</v>
      </c>
      <c r="I1343" s="44">
        <f>Tabla1[[#This Row],[Descuento]]+Tabla1[[#This Row],[Neto]]</f>
        <v>692.72200000000009</v>
      </c>
      <c r="J1343" s="9">
        <v>69.272000000000006</v>
      </c>
      <c r="K1343" s="9">
        <v>623.45000000000005</v>
      </c>
      <c r="L1343" s="9">
        <v>113.263122</v>
      </c>
      <c r="M1343" s="24">
        <f>+Tabla1[[#This Row],[Costo Venta]]/Tabla1[[#This Row],[Cantidad]]</f>
        <v>8.0902229999999999</v>
      </c>
      <c r="N1343" s="3">
        <v>1</v>
      </c>
      <c r="O1343" s="8">
        <f>+Tabla1[[#This Row],[Conversión]]*Tabla1[[#This Row],[Cantidad]]</f>
        <v>14</v>
      </c>
      <c r="P1343" s="43">
        <f>Tabla1[[#This Row],[Neto]]-Tabla1[[#This Row],[Costo Venta]]</f>
        <v>510.18687800000004</v>
      </c>
    </row>
    <row r="1344" spans="1:16" x14ac:dyDescent="0.25">
      <c r="A1344" s="48">
        <v>45734</v>
      </c>
      <c r="B1344" s="1" t="s">
        <v>686</v>
      </c>
      <c r="C1344" s="1" t="s">
        <v>109</v>
      </c>
      <c r="D1344" s="1" t="s">
        <v>1275</v>
      </c>
      <c r="E1344" s="1" t="s">
        <v>67</v>
      </c>
      <c r="F1344" s="1" t="s">
        <v>20</v>
      </c>
      <c r="G1344" s="2">
        <v>1.44</v>
      </c>
      <c r="H1344" s="1" t="s">
        <v>1272</v>
      </c>
      <c r="I1344" s="44">
        <f>Tabla1[[#This Row],[Descuento]]+Tabla1[[#This Row],[Neto]]</f>
        <v>71.245360000000005</v>
      </c>
      <c r="J1344" s="9">
        <v>21.375360000000001</v>
      </c>
      <c r="K1344" s="9">
        <v>49.87</v>
      </c>
      <c r="L1344" s="9">
        <v>10.033473600000001</v>
      </c>
      <c r="M1344" s="24">
        <f>+Tabla1[[#This Row],[Costo Venta]]/Tabla1[[#This Row],[Cantidad]]</f>
        <v>6.967690000000001</v>
      </c>
      <c r="N1344" s="3">
        <v>1</v>
      </c>
      <c r="O1344" s="8">
        <f>+Tabla1[[#This Row],[Conversión]]*Tabla1[[#This Row],[Cantidad]]</f>
        <v>1.44</v>
      </c>
      <c r="P1344" s="43">
        <f>Tabla1[[#This Row],[Neto]]-Tabla1[[#This Row],[Costo Venta]]</f>
        <v>39.836526399999997</v>
      </c>
    </row>
    <row r="1345" spans="1:16" x14ac:dyDescent="0.25">
      <c r="A1345" s="48">
        <v>45497</v>
      </c>
      <c r="B1345" s="1" t="s">
        <v>686</v>
      </c>
      <c r="C1345" s="1" t="s">
        <v>143</v>
      </c>
      <c r="D1345" s="1" t="s">
        <v>1276</v>
      </c>
      <c r="E1345" s="1" t="s">
        <v>67</v>
      </c>
      <c r="F1345" s="1" t="s">
        <v>43</v>
      </c>
      <c r="G1345" s="2">
        <v>17</v>
      </c>
      <c r="H1345" s="1" t="s">
        <v>1277</v>
      </c>
      <c r="I1345" s="44">
        <f>Tabla1[[#This Row],[Descuento]]+Tabla1[[#This Row],[Neto]]</f>
        <v>841.1579999999999</v>
      </c>
      <c r="J1345" s="9">
        <v>252.34800000000001</v>
      </c>
      <c r="K1345" s="9">
        <v>588.80999999999995</v>
      </c>
      <c r="L1345" s="9">
        <v>0</v>
      </c>
      <c r="M1345" s="24">
        <f>+Tabla1[[#This Row],[Costo Venta]]/Tabla1[[#This Row],[Cantidad]]</f>
        <v>0</v>
      </c>
      <c r="N1345" s="3">
        <v>1</v>
      </c>
      <c r="O1345" s="8">
        <f>+Tabla1[[#This Row],[Conversión]]*Tabla1[[#This Row],[Cantidad]]</f>
        <v>17</v>
      </c>
      <c r="P1345" s="43">
        <f>Tabla1[[#This Row],[Neto]]-Tabla1[[#This Row],[Costo Venta]]</f>
        <v>588.80999999999995</v>
      </c>
    </row>
    <row r="1346" spans="1:16" x14ac:dyDescent="0.25">
      <c r="A1346" s="48">
        <v>45222</v>
      </c>
      <c r="B1346" s="1" t="s">
        <v>405</v>
      </c>
      <c r="C1346" s="1" t="s">
        <v>214</v>
      </c>
      <c r="D1346" s="1" t="s">
        <v>255</v>
      </c>
      <c r="E1346" s="1" t="s">
        <v>71</v>
      </c>
      <c r="F1346" s="1" t="s">
        <v>256</v>
      </c>
      <c r="G1346" s="2">
        <v>123.2</v>
      </c>
      <c r="H1346" s="1" t="s">
        <v>1278</v>
      </c>
      <c r="I1346" s="44">
        <f>Tabla1[[#This Row],[Descuento]]+Tabla1[[#This Row],[Neto]]</f>
        <v>4790.0223999999998</v>
      </c>
      <c r="J1346" s="9">
        <v>718.50239999999997</v>
      </c>
      <c r="K1346" s="9">
        <v>4071.52</v>
      </c>
      <c r="L1346" s="9">
        <v>741.18807839999999</v>
      </c>
      <c r="M1346" s="24">
        <f>+Tabla1[[#This Row],[Costo Venta]]/Tabla1[[#This Row],[Cantidad]]</f>
        <v>6.0161369999999996</v>
      </c>
      <c r="N1346" s="3">
        <v>1</v>
      </c>
      <c r="O1346" s="8">
        <f>+Tabla1[[#This Row],[Conversión]]*Tabla1[[#This Row],[Cantidad]]</f>
        <v>123.2</v>
      </c>
      <c r="P1346" s="43">
        <f>Tabla1[[#This Row],[Neto]]-Tabla1[[#This Row],[Costo Venta]]</f>
        <v>3330.3319216</v>
      </c>
    </row>
    <row r="1347" spans="1:16" x14ac:dyDescent="0.25">
      <c r="A1347" s="48">
        <v>45441</v>
      </c>
      <c r="B1347" s="1" t="s">
        <v>405</v>
      </c>
      <c r="C1347" s="1" t="s">
        <v>29</v>
      </c>
      <c r="D1347" s="1" t="s">
        <v>1279</v>
      </c>
      <c r="E1347" s="1" t="s">
        <v>132</v>
      </c>
      <c r="F1347" s="1" t="s">
        <v>29</v>
      </c>
      <c r="G1347" s="2">
        <v>24.5</v>
      </c>
      <c r="H1347" s="1" t="s">
        <v>1278</v>
      </c>
      <c r="I1347" s="44">
        <f>Tabla1[[#This Row],[Descuento]]+Tabla1[[#This Row],[Neto]]</f>
        <v>883.95799999999997</v>
      </c>
      <c r="J1347" s="9">
        <v>265.18799999999999</v>
      </c>
      <c r="K1347" s="9">
        <v>618.77</v>
      </c>
      <c r="L1347" s="9">
        <v>107.0607615</v>
      </c>
      <c r="M1347" s="24">
        <f>+Tabla1[[#This Row],[Costo Venta]]/Tabla1[[#This Row],[Cantidad]]</f>
        <v>4.3698269999999999</v>
      </c>
      <c r="N1347" s="3">
        <v>1</v>
      </c>
      <c r="O1347" s="8">
        <f>+Tabla1[[#This Row],[Conversión]]*Tabla1[[#This Row],[Cantidad]]</f>
        <v>24.5</v>
      </c>
      <c r="P1347" s="43">
        <f>Tabla1[[#This Row],[Neto]]-Tabla1[[#This Row],[Costo Venta]]</f>
        <v>511.70923849999997</v>
      </c>
    </row>
    <row r="1348" spans="1:16" x14ac:dyDescent="0.25">
      <c r="A1348" s="48">
        <v>45478</v>
      </c>
      <c r="B1348" s="1" t="s">
        <v>405</v>
      </c>
      <c r="C1348" s="1" t="s">
        <v>29</v>
      </c>
      <c r="D1348" s="1" t="s">
        <v>1280</v>
      </c>
      <c r="E1348" s="1" t="s">
        <v>132</v>
      </c>
      <c r="F1348" s="1" t="s">
        <v>29</v>
      </c>
      <c r="G1348" s="2">
        <v>0.7</v>
      </c>
      <c r="H1348" s="1" t="s">
        <v>1278</v>
      </c>
      <c r="I1348" s="44">
        <f>Tabla1[[#This Row],[Descuento]]+Tabla1[[#This Row],[Neto]]</f>
        <v>25.254175</v>
      </c>
      <c r="J1348" s="9">
        <v>7.5741750000000003</v>
      </c>
      <c r="K1348" s="9">
        <v>17.68</v>
      </c>
      <c r="L1348" s="9">
        <v>3.1773714000000002</v>
      </c>
      <c r="M1348" s="24">
        <f>+Tabla1[[#This Row],[Costo Venta]]/Tabla1[[#This Row],[Cantidad]]</f>
        <v>4.5391020000000006</v>
      </c>
      <c r="N1348" s="3">
        <v>1</v>
      </c>
      <c r="O1348" s="8">
        <f>+Tabla1[[#This Row],[Conversión]]*Tabla1[[#This Row],[Cantidad]]</f>
        <v>0.7</v>
      </c>
      <c r="P1348" s="43">
        <f>Tabla1[[#This Row],[Neto]]-Tabla1[[#This Row],[Costo Venta]]</f>
        <v>14.5026286</v>
      </c>
    </row>
    <row r="1349" spans="1:16" x14ac:dyDescent="0.25">
      <c r="A1349" s="48">
        <v>45631</v>
      </c>
      <c r="B1349" s="1" t="s">
        <v>405</v>
      </c>
      <c r="C1349" s="1" t="s">
        <v>65</v>
      </c>
      <c r="D1349" s="1" t="s">
        <v>348</v>
      </c>
      <c r="E1349" s="1" t="s">
        <v>132</v>
      </c>
      <c r="F1349" s="1" t="s">
        <v>349</v>
      </c>
      <c r="G1349" s="2">
        <v>10.5</v>
      </c>
      <c r="H1349" s="1" t="s">
        <v>1281</v>
      </c>
      <c r="I1349" s="44">
        <f>Tabla1[[#This Row],[Descuento]]+Tabla1[[#This Row],[Neto]]</f>
        <v>360.68</v>
      </c>
      <c r="J1349" s="9">
        <v>0</v>
      </c>
      <c r="K1349" s="9">
        <v>360.68</v>
      </c>
      <c r="L1349" s="9">
        <v>0</v>
      </c>
      <c r="M1349" s="24">
        <f>+Tabla1[[#This Row],[Costo Venta]]/Tabla1[[#This Row],[Cantidad]]</f>
        <v>0</v>
      </c>
      <c r="N1349" s="3">
        <v>1</v>
      </c>
      <c r="O1349" s="8">
        <f>+Tabla1[[#This Row],[Conversión]]*Tabla1[[#This Row],[Cantidad]]</f>
        <v>10.5</v>
      </c>
      <c r="P1349" s="43">
        <f>Tabla1[[#This Row],[Neto]]-Tabla1[[#This Row],[Costo Venta]]</f>
        <v>360.68</v>
      </c>
    </row>
    <row r="1350" spans="1:16" x14ac:dyDescent="0.25">
      <c r="A1350" s="48">
        <v>45833</v>
      </c>
      <c r="B1350" s="1" t="s">
        <v>405</v>
      </c>
      <c r="C1350" s="1" t="s">
        <v>65</v>
      </c>
      <c r="D1350" s="1" t="s">
        <v>1282</v>
      </c>
      <c r="E1350" s="1" t="s">
        <v>67</v>
      </c>
      <c r="F1350" s="1" t="s">
        <v>9</v>
      </c>
      <c r="G1350" s="2">
        <v>18.2</v>
      </c>
      <c r="H1350" s="1" t="s">
        <v>1281</v>
      </c>
      <c r="I1350" s="44">
        <f>Tabla1[[#This Row],[Descuento]]+Tabla1[[#This Row],[Neto]]</f>
        <v>625.16650000000004</v>
      </c>
      <c r="J1350" s="9">
        <v>281.32650000000001</v>
      </c>
      <c r="K1350" s="9">
        <v>343.84</v>
      </c>
      <c r="L1350" s="9">
        <v>58.932109599999997</v>
      </c>
      <c r="M1350" s="24">
        <f>+Tabla1[[#This Row],[Costo Venta]]/Tabla1[[#This Row],[Cantidad]]</f>
        <v>3.2380279999999999</v>
      </c>
      <c r="N1350" s="3">
        <v>1</v>
      </c>
      <c r="O1350" s="8">
        <f>+Tabla1[[#This Row],[Conversión]]*Tabla1[[#This Row],[Cantidad]]</f>
        <v>18.2</v>
      </c>
      <c r="P1350" s="43">
        <f>Tabla1[[#This Row],[Neto]]-Tabla1[[#This Row],[Costo Venta]]</f>
        <v>284.90789039999999</v>
      </c>
    </row>
    <row r="1351" spans="1:16" x14ac:dyDescent="0.25">
      <c r="A1351" s="48">
        <v>44931</v>
      </c>
      <c r="B1351" s="1" t="s">
        <v>405</v>
      </c>
      <c r="C1351" s="1" t="s">
        <v>115</v>
      </c>
      <c r="D1351" s="1" t="s">
        <v>1283</v>
      </c>
      <c r="E1351" s="1" t="s">
        <v>71</v>
      </c>
      <c r="F1351" s="1" t="s">
        <v>1284</v>
      </c>
      <c r="G1351" s="2">
        <v>17.5</v>
      </c>
      <c r="H1351" s="1" t="s">
        <v>1285</v>
      </c>
      <c r="I1351" s="44">
        <f>Tabla1[[#This Row],[Descuento]]+Tabla1[[#This Row],[Neto]]</f>
        <v>665</v>
      </c>
      <c r="J1351" s="9">
        <v>66.5</v>
      </c>
      <c r="K1351" s="9">
        <v>598.5</v>
      </c>
      <c r="L1351" s="9">
        <v>139.47499999999999</v>
      </c>
      <c r="M1351" s="24">
        <f>+Tabla1[[#This Row],[Costo Venta]]/Tabla1[[#This Row],[Cantidad]]</f>
        <v>7.97</v>
      </c>
      <c r="N1351" s="3">
        <v>1</v>
      </c>
      <c r="O1351" s="8">
        <f>+Tabla1[[#This Row],[Conversión]]*Tabla1[[#This Row],[Cantidad]]</f>
        <v>17.5</v>
      </c>
      <c r="P1351" s="43">
        <f>Tabla1[[#This Row],[Neto]]-Tabla1[[#This Row],[Costo Venta]]</f>
        <v>459.02499999999998</v>
      </c>
    </row>
    <row r="1352" spans="1:16" x14ac:dyDescent="0.25">
      <c r="A1352" s="48">
        <v>44953</v>
      </c>
      <c r="B1352" s="1" t="s">
        <v>405</v>
      </c>
      <c r="C1352" s="1" t="s">
        <v>109</v>
      </c>
      <c r="D1352" s="1" t="s">
        <v>1286</v>
      </c>
      <c r="E1352" s="1" t="s">
        <v>67</v>
      </c>
      <c r="F1352" s="1" t="s">
        <v>9</v>
      </c>
      <c r="G1352" s="2">
        <v>49</v>
      </c>
      <c r="H1352" s="1" t="s">
        <v>1285</v>
      </c>
      <c r="I1352" s="44">
        <f>Tabla1[[#This Row],[Descuento]]+Tabla1[[#This Row],[Neto]]</f>
        <v>1862</v>
      </c>
      <c r="J1352" s="9">
        <v>651.70000000000005</v>
      </c>
      <c r="K1352" s="9">
        <v>1210.3</v>
      </c>
      <c r="L1352" s="9">
        <v>381.76228300000002</v>
      </c>
      <c r="M1352" s="24">
        <f>+Tabla1[[#This Row],[Costo Venta]]/Tabla1[[#This Row],[Cantidad]]</f>
        <v>7.7910670000000009</v>
      </c>
      <c r="N1352" s="3">
        <v>1</v>
      </c>
      <c r="O1352" s="8">
        <f>+Tabla1[[#This Row],[Conversión]]*Tabla1[[#This Row],[Cantidad]]</f>
        <v>49</v>
      </c>
      <c r="P1352" s="43">
        <f>Tabla1[[#This Row],[Neto]]-Tabla1[[#This Row],[Costo Venta]]</f>
        <v>828.53771699999993</v>
      </c>
    </row>
    <row r="1353" spans="1:16" x14ac:dyDescent="0.25">
      <c r="A1353" s="48">
        <v>44992</v>
      </c>
      <c r="B1353" s="1" t="s">
        <v>405</v>
      </c>
      <c r="C1353" s="1" t="s">
        <v>109</v>
      </c>
      <c r="D1353" s="1" t="s">
        <v>1287</v>
      </c>
      <c r="E1353" s="1" t="s">
        <v>67</v>
      </c>
      <c r="F1353" s="1" t="s">
        <v>9</v>
      </c>
      <c r="G1353" s="2">
        <v>32.200000000000003</v>
      </c>
      <c r="H1353" s="1" t="s">
        <v>1285</v>
      </c>
      <c r="I1353" s="44">
        <f>Tabla1[[#This Row],[Descuento]]+Tabla1[[#This Row],[Neto]]</f>
        <v>1223.5999999999999</v>
      </c>
      <c r="J1353" s="9">
        <v>428.26</v>
      </c>
      <c r="K1353" s="9">
        <v>795.34</v>
      </c>
      <c r="L1353" s="9">
        <v>268.51937420000002</v>
      </c>
      <c r="M1353" s="24">
        <f>+Tabla1[[#This Row],[Costo Venta]]/Tabla1[[#This Row],[Cantidad]]</f>
        <v>8.3391109999999991</v>
      </c>
      <c r="N1353" s="3">
        <v>1</v>
      </c>
      <c r="O1353" s="8">
        <f>+Tabla1[[#This Row],[Conversión]]*Tabla1[[#This Row],[Cantidad]]</f>
        <v>32.200000000000003</v>
      </c>
      <c r="P1353" s="43">
        <f>Tabla1[[#This Row],[Neto]]-Tabla1[[#This Row],[Costo Venta]]</f>
        <v>526.82062580000002</v>
      </c>
    </row>
    <row r="1354" spans="1:16" x14ac:dyDescent="0.25">
      <c r="A1354" s="48">
        <v>45169</v>
      </c>
      <c r="B1354" s="1" t="s">
        <v>405</v>
      </c>
      <c r="C1354" s="1" t="s">
        <v>81</v>
      </c>
      <c r="D1354" s="1" t="s">
        <v>1288</v>
      </c>
      <c r="E1354" s="1" t="s">
        <v>67</v>
      </c>
      <c r="F1354" s="1" t="s">
        <v>9</v>
      </c>
      <c r="G1354" s="2">
        <v>70</v>
      </c>
      <c r="H1354" s="1" t="s">
        <v>1285</v>
      </c>
      <c r="I1354" s="44">
        <f>Tabla1[[#This Row],[Descuento]]+Tabla1[[#This Row],[Neto]]</f>
        <v>2660</v>
      </c>
      <c r="J1354" s="9">
        <v>1197</v>
      </c>
      <c r="K1354" s="9">
        <v>1463</v>
      </c>
      <c r="L1354" s="9">
        <v>489.57817999999997</v>
      </c>
      <c r="M1354" s="24">
        <f>+Tabla1[[#This Row],[Costo Venta]]/Tabla1[[#This Row],[Cantidad]]</f>
        <v>6.9939739999999997</v>
      </c>
      <c r="N1354" s="3">
        <v>1</v>
      </c>
      <c r="O1354" s="8">
        <f>+Tabla1[[#This Row],[Conversión]]*Tabla1[[#This Row],[Cantidad]]</f>
        <v>70</v>
      </c>
      <c r="P1354" s="43">
        <f>Tabla1[[#This Row],[Neto]]-Tabla1[[#This Row],[Costo Venta]]</f>
        <v>973.42182000000003</v>
      </c>
    </row>
    <row r="1355" spans="1:16" x14ac:dyDescent="0.25">
      <c r="A1355" s="48">
        <v>45196</v>
      </c>
      <c r="B1355" s="1" t="s">
        <v>405</v>
      </c>
      <c r="C1355" s="1" t="s">
        <v>29</v>
      </c>
      <c r="D1355" s="1" t="s">
        <v>743</v>
      </c>
      <c r="E1355" s="1" t="s">
        <v>67</v>
      </c>
      <c r="F1355" s="1" t="s">
        <v>9</v>
      </c>
      <c r="G1355" s="2">
        <v>33.6</v>
      </c>
      <c r="H1355" s="1" t="s">
        <v>1285</v>
      </c>
      <c r="I1355" s="44">
        <f>Tabla1[[#This Row],[Descuento]]+Tabla1[[#This Row],[Neto]]</f>
        <v>1306.3672000000001</v>
      </c>
      <c r="J1355" s="9">
        <v>522.54719999999998</v>
      </c>
      <c r="K1355" s="9">
        <v>783.82</v>
      </c>
      <c r="L1355" s="9">
        <v>236.32042559999999</v>
      </c>
      <c r="M1355" s="24">
        <f>+Tabla1[[#This Row],[Costo Venta]]/Tabla1[[#This Row],[Cantidad]]</f>
        <v>7.0333459999999999</v>
      </c>
      <c r="N1355" s="3">
        <v>1</v>
      </c>
      <c r="O1355" s="8">
        <f>+Tabla1[[#This Row],[Conversión]]*Tabla1[[#This Row],[Cantidad]]</f>
        <v>33.6</v>
      </c>
      <c r="P1355" s="43">
        <f>Tabla1[[#This Row],[Neto]]-Tabla1[[#This Row],[Costo Venta]]</f>
        <v>547.49957440000003</v>
      </c>
    </row>
    <row r="1356" spans="1:16" x14ac:dyDescent="0.25">
      <c r="A1356" s="48">
        <v>45246</v>
      </c>
      <c r="B1356" s="1" t="s">
        <v>405</v>
      </c>
      <c r="C1356" s="1" t="s">
        <v>29</v>
      </c>
      <c r="D1356" s="1" t="s">
        <v>262</v>
      </c>
      <c r="E1356" s="1" t="s">
        <v>132</v>
      </c>
      <c r="F1356" s="1" t="s">
        <v>32</v>
      </c>
      <c r="G1356" s="2">
        <v>50</v>
      </c>
      <c r="H1356" s="1" t="s">
        <v>1285</v>
      </c>
      <c r="I1356" s="44">
        <f>Tabla1[[#This Row],[Descuento]]+Tabla1[[#This Row],[Neto]]</f>
        <v>1944</v>
      </c>
      <c r="J1356" s="9">
        <v>291.60000000000002</v>
      </c>
      <c r="K1356" s="9">
        <v>1652.4</v>
      </c>
      <c r="L1356" s="9">
        <v>341.33145000000002</v>
      </c>
      <c r="M1356" s="24">
        <f>+Tabla1[[#This Row],[Costo Venta]]/Tabla1[[#This Row],[Cantidad]]</f>
        <v>6.8266290000000005</v>
      </c>
      <c r="N1356" s="3">
        <v>1</v>
      </c>
      <c r="O1356" s="8">
        <f>+Tabla1[[#This Row],[Conversión]]*Tabla1[[#This Row],[Cantidad]]</f>
        <v>50</v>
      </c>
      <c r="P1356" s="43">
        <f>Tabla1[[#This Row],[Neto]]-Tabla1[[#This Row],[Costo Venta]]</f>
        <v>1311.06855</v>
      </c>
    </row>
    <row r="1357" spans="1:16" x14ac:dyDescent="0.25">
      <c r="A1357" s="48">
        <v>45271</v>
      </c>
      <c r="B1357" s="1" t="s">
        <v>405</v>
      </c>
      <c r="C1357" s="1" t="s">
        <v>29</v>
      </c>
      <c r="D1357" s="1" t="s">
        <v>1289</v>
      </c>
      <c r="E1357" s="1" t="s">
        <v>67</v>
      </c>
      <c r="F1357" s="1" t="s">
        <v>9</v>
      </c>
      <c r="G1357" s="2">
        <v>26.6</v>
      </c>
      <c r="H1357" s="1" t="s">
        <v>1285</v>
      </c>
      <c r="I1357" s="44">
        <f>Tabla1[[#This Row],[Descuento]]+Tabla1[[#This Row],[Neto]]</f>
        <v>1034.2131999999999</v>
      </c>
      <c r="J1357" s="9">
        <v>413.6832</v>
      </c>
      <c r="K1357" s="9">
        <v>620.53</v>
      </c>
      <c r="L1357" s="9">
        <v>182.39016179999999</v>
      </c>
      <c r="M1357" s="24">
        <f>+Tabla1[[#This Row],[Costo Venta]]/Tabla1[[#This Row],[Cantidad]]</f>
        <v>6.8567729999999996</v>
      </c>
      <c r="N1357" s="3">
        <v>1</v>
      </c>
      <c r="O1357" s="8">
        <f>+Tabla1[[#This Row],[Conversión]]*Tabla1[[#This Row],[Cantidad]]</f>
        <v>26.6</v>
      </c>
      <c r="P1357" s="43">
        <f>Tabla1[[#This Row],[Neto]]-Tabla1[[#This Row],[Costo Venta]]</f>
        <v>438.13983819999999</v>
      </c>
    </row>
    <row r="1358" spans="1:16" x14ac:dyDescent="0.25">
      <c r="A1358" s="48">
        <v>45323</v>
      </c>
      <c r="B1358" s="1" t="s">
        <v>405</v>
      </c>
      <c r="C1358" s="1" t="s">
        <v>29</v>
      </c>
      <c r="D1358" s="1" t="s">
        <v>1290</v>
      </c>
      <c r="E1358" s="1" t="s">
        <v>67</v>
      </c>
      <c r="F1358" s="1" t="s">
        <v>9</v>
      </c>
      <c r="G1358" s="2">
        <v>6.3</v>
      </c>
      <c r="H1358" s="1" t="s">
        <v>1285</v>
      </c>
      <c r="I1358" s="44">
        <f>Tabla1[[#This Row],[Descuento]]+Tabla1[[#This Row],[Neto]]</f>
        <v>244.9376</v>
      </c>
      <c r="J1358" s="9">
        <v>97.977599999999995</v>
      </c>
      <c r="K1358" s="9">
        <v>146.96</v>
      </c>
      <c r="L1358" s="9">
        <v>29.106050400000001</v>
      </c>
      <c r="M1358" s="24">
        <f>+Tabla1[[#This Row],[Costo Venta]]/Tabla1[[#This Row],[Cantidad]]</f>
        <v>4.6200080000000003</v>
      </c>
      <c r="N1358" s="3">
        <v>1</v>
      </c>
      <c r="O1358" s="8">
        <f>+Tabla1[[#This Row],[Conversión]]*Tabla1[[#This Row],[Cantidad]]</f>
        <v>6.3</v>
      </c>
      <c r="P1358" s="43">
        <f>Tabla1[[#This Row],[Neto]]-Tabla1[[#This Row],[Costo Venta]]</f>
        <v>117.85394960000001</v>
      </c>
    </row>
    <row r="1359" spans="1:16" x14ac:dyDescent="0.25">
      <c r="A1359" s="48">
        <v>45426</v>
      </c>
      <c r="B1359" s="1" t="s">
        <v>405</v>
      </c>
      <c r="C1359" s="1" t="s">
        <v>29</v>
      </c>
      <c r="D1359" s="1" t="s">
        <v>1291</v>
      </c>
      <c r="E1359" s="1" t="s">
        <v>67</v>
      </c>
      <c r="F1359" s="1" t="s">
        <v>9</v>
      </c>
      <c r="G1359" s="2">
        <v>79.8</v>
      </c>
      <c r="H1359" s="1" t="s">
        <v>1285</v>
      </c>
      <c r="I1359" s="44">
        <f>Tabla1[[#This Row],[Descuento]]+Tabla1[[#This Row],[Neto]]</f>
        <v>2741.1255000000001</v>
      </c>
      <c r="J1359" s="9">
        <v>959.39549999999997</v>
      </c>
      <c r="K1359" s="9">
        <v>1781.73</v>
      </c>
      <c r="L1359" s="9">
        <v>350.09736299999997</v>
      </c>
      <c r="M1359" s="24">
        <f>+Tabla1[[#This Row],[Costo Venta]]/Tabla1[[#This Row],[Cantidad]]</f>
        <v>4.3871849999999997</v>
      </c>
      <c r="N1359" s="3">
        <v>1</v>
      </c>
      <c r="O1359" s="8">
        <f>+Tabla1[[#This Row],[Conversión]]*Tabla1[[#This Row],[Cantidad]]</f>
        <v>79.8</v>
      </c>
      <c r="P1359" s="43">
        <f>Tabla1[[#This Row],[Neto]]-Tabla1[[#This Row],[Costo Venta]]</f>
        <v>1431.6326370000002</v>
      </c>
    </row>
    <row r="1360" spans="1:16" x14ac:dyDescent="0.25">
      <c r="A1360" s="48">
        <v>45685</v>
      </c>
      <c r="B1360" s="1" t="s">
        <v>405</v>
      </c>
      <c r="C1360" s="1" t="s">
        <v>65</v>
      </c>
      <c r="D1360" s="1" t="s">
        <v>1292</v>
      </c>
      <c r="E1360" s="1" t="s">
        <v>67</v>
      </c>
      <c r="F1360" s="1" t="s">
        <v>9</v>
      </c>
      <c r="G1360" s="2">
        <v>42</v>
      </c>
      <c r="H1360" s="1" t="s">
        <v>1285</v>
      </c>
      <c r="I1360" s="44">
        <f>Tabla1[[#This Row],[Descuento]]+Tabla1[[#This Row],[Neto]]</f>
        <v>1442.6950000000002</v>
      </c>
      <c r="J1360" s="9">
        <v>649.21500000000003</v>
      </c>
      <c r="K1360" s="9">
        <v>793.48</v>
      </c>
      <c r="L1360" s="9">
        <v>184.26177000000001</v>
      </c>
      <c r="M1360" s="24">
        <f>+Tabla1[[#This Row],[Costo Venta]]/Tabla1[[#This Row],[Cantidad]]</f>
        <v>4.3871850000000006</v>
      </c>
      <c r="N1360" s="3">
        <v>1</v>
      </c>
      <c r="O1360" s="8">
        <f>+Tabla1[[#This Row],[Conversión]]*Tabla1[[#This Row],[Cantidad]]</f>
        <v>42</v>
      </c>
      <c r="P1360" s="43">
        <f>Tabla1[[#This Row],[Neto]]-Tabla1[[#This Row],[Costo Venta]]</f>
        <v>609.21822999999995</v>
      </c>
    </row>
    <row r="1361" spans="1:16" x14ac:dyDescent="0.25">
      <c r="A1361" s="48">
        <v>45741</v>
      </c>
      <c r="B1361" s="1" t="s">
        <v>405</v>
      </c>
      <c r="C1361" s="1" t="s">
        <v>65</v>
      </c>
      <c r="D1361" s="1" t="s">
        <v>1293</v>
      </c>
      <c r="E1361" s="1" t="s">
        <v>67</v>
      </c>
      <c r="F1361" s="1" t="s">
        <v>9</v>
      </c>
      <c r="G1361" s="2">
        <v>2.1</v>
      </c>
      <c r="H1361" s="1" t="s">
        <v>1285</v>
      </c>
      <c r="I1361" s="44">
        <f>Tabla1[[#This Row],[Descuento]]+Tabla1[[#This Row],[Neto]]</f>
        <v>72.140749999999997</v>
      </c>
      <c r="J1361" s="9">
        <v>32.460749999999997</v>
      </c>
      <c r="K1361" s="9">
        <v>39.68</v>
      </c>
      <c r="L1361" s="9">
        <v>9.6016850999999992</v>
      </c>
      <c r="M1361" s="24">
        <f>+Tabla1[[#This Row],[Costo Venta]]/Tabla1[[#This Row],[Cantidad]]</f>
        <v>4.5722309999999995</v>
      </c>
      <c r="N1361" s="3">
        <v>1</v>
      </c>
      <c r="O1361" s="8">
        <f>+Tabla1[[#This Row],[Conversión]]*Tabla1[[#This Row],[Cantidad]]</f>
        <v>2.1</v>
      </c>
      <c r="P1361" s="43">
        <f>Tabla1[[#This Row],[Neto]]-Tabla1[[#This Row],[Costo Venta]]</f>
        <v>30.078314900000002</v>
      </c>
    </row>
    <row r="1362" spans="1:16" x14ac:dyDescent="0.25">
      <c r="A1362" s="48">
        <v>45895</v>
      </c>
      <c r="B1362" s="1" t="s">
        <v>405</v>
      </c>
      <c r="C1362" s="1" t="s">
        <v>65</v>
      </c>
      <c r="D1362" s="1" t="s">
        <v>1294</v>
      </c>
      <c r="E1362" s="1" t="s">
        <v>67</v>
      </c>
      <c r="F1362" s="1" t="s">
        <v>9</v>
      </c>
      <c r="G1362" s="2">
        <v>2.1</v>
      </c>
      <c r="H1362" s="1" t="s">
        <v>1285</v>
      </c>
      <c r="I1362" s="44">
        <f>Tabla1[[#This Row],[Descuento]]+Tabla1[[#This Row],[Neto]]</f>
        <v>72.140749999999997</v>
      </c>
      <c r="J1362" s="9">
        <v>32.460749999999997</v>
      </c>
      <c r="K1362" s="9">
        <v>39.68</v>
      </c>
      <c r="L1362" s="9">
        <v>9.1288532999999994</v>
      </c>
      <c r="M1362" s="24">
        <f>+Tabla1[[#This Row],[Costo Venta]]/Tabla1[[#This Row],[Cantidad]]</f>
        <v>4.347073</v>
      </c>
      <c r="N1362" s="3">
        <v>1</v>
      </c>
      <c r="O1362" s="8">
        <f>+Tabla1[[#This Row],[Conversión]]*Tabla1[[#This Row],[Cantidad]]</f>
        <v>2.1</v>
      </c>
      <c r="P1362" s="43">
        <f>Tabla1[[#This Row],[Neto]]-Tabla1[[#This Row],[Costo Venta]]</f>
        <v>30.5511467</v>
      </c>
    </row>
    <row r="1363" spans="1:16" x14ac:dyDescent="0.25">
      <c r="A1363" s="48">
        <v>45904</v>
      </c>
      <c r="B1363" s="1" t="s">
        <v>405</v>
      </c>
      <c r="C1363" s="1" t="s">
        <v>65</v>
      </c>
      <c r="D1363" s="1" t="s">
        <v>1295</v>
      </c>
      <c r="E1363" s="1" t="s">
        <v>67</v>
      </c>
      <c r="F1363" s="1" t="s">
        <v>9</v>
      </c>
      <c r="G1363" s="2">
        <v>53.9</v>
      </c>
      <c r="H1363" s="1" t="s">
        <v>1285</v>
      </c>
      <c r="I1363" s="44">
        <f>Tabla1[[#This Row],[Descuento]]+Tabla1[[#This Row],[Neto]]</f>
        <v>1851.4592499999999</v>
      </c>
      <c r="J1363" s="9">
        <v>833.15925000000004</v>
      </c>
      <c r="K1363" s="9">
        <v>1018.3</v>
      </c>
      <c r="L1363" s="9">
        <v>239.52098169999999</v>
      </c>
      <c r="M1363" s="24">
        <f>+Tabla1[[#This Row],[Costo Venta]]/Tabla1[[#This Row],[Cantidad]]</f>
        <v>4.4438029999999999</v>
      </c>
      <c r="N1363" s="3">
        <v>1</v>
      </c>
      <c r="O1363" s="8">
        <f>+Tabla1[[#This Row],[Conversión]]*Tabla1[[#This Row],[Cantidad]]</f>
        <v>53.9</v>
      </c>
      <c r="P1363" s="43">
        <f>Tabla1[[#This Row],[Neto]]-Tabla1[[#This Row],[Costo Venta]]</f>
        <v>778.77901829999996</v>
      </c>
    </row>
    <row r="1364" spans="1:16" x14ac:dyDescent="0.25">
      <c r="A1364" s="48">
        <v>44950</v>
      </c>
      <c r="B1364" s="1" t="s">
        <v>405</v>
      </c>
      <c r="C1364" s="1" t="s">
        <v>109</v>
      </c>
      <c r="D1364" s="1" t="s">
        <v>1296</v>
      </c>
      <c r="E1364" s="1" t="s">
        <v>67</v>
      </c>
      <c r="F1364" s="1" t="s">
        <v>9</v>
      </c>
      <c r="G1364" s="2">
        <v>20.3</v>
      </c>
      <c r="H1364" s="1" t="s">
        <v>1297</v>
      </c>
      <c r="I1364" s="44">
        <f>Tabla1[[#This Row],[Descuento]]+Tabla1[[#This Row],[Neto]]</f>
        <v>771.40000000000009</v>
      </c>
      <c r="J1364" s="9">
        <v>269.99</v>
      </c>
      <c r="K1364" s="9">
        <v>501.41</v>
      </c>
      <c r="L1364" s="9">
        <v>97.973788499999998</v>
      </c>
      <c r="M1364" s="24">
        <f>+Tabla1[[#This Row],[Costo Venta]]/Tabla1[[#This Row],[Cantidad]]</f>
        <v>4.826295</v>
      </c>
      <c r="N1364" s="3">
        <v>1</v>
      </c>
      <c r="O1364" s="8">
        <f>+Tabla1[[#This Row],[Conversión]]*Tabla1[[#This Row],[Cantidad]]</f>
        <v>20.3</v>
      </c>
      <c r="P1364" s="43">
        <f>Tabla1[[#This Row],[Neto]]-Tabla1[[#This Row],[Costo Venta]]</f>
        <v>403.43621150000001</v>
      </c>
    </row>
    <row r="1365" spans="1:16" x14ac:dyDescent="0.25">
      <c r="A1365" s="48">
        <v>44953</v>
      </c>
      <c r="B1365" s="1" t="s">
        <v>405</v>
      </c>
      <c r="C1365" s="1" t="s">
        <v>109</v>
      </c>
      <c r="D1365" s="1" t="s">
        <v>1286</v>
      </c>
      <c r="E1365" s="1" t="s">
        <v>67</v>
      </c>
      <c r="F1365" s="1" t="s">
        <v>9</v>
      </c>
      <c r="G1365" s="2">
        <v>49</v>
      </c>
      <c r="H1365" s="1" t="s">
        <v>1297</v>
      </c>
      <c r="I1365" s="44">
        <f>Tabla1[[#This Row],[Descuento]]+Tabla1[[#This Row],[Neto]]</f>
        <v>1862</v>
      </c>
      <c r="J1365" s="9">
        <v>651.70000000000005</v>
      </c>
      <c r="K1365" s="9">
        <v>1210.3</v>
      </c>
      <c r="L1365" s="9">
        <v>236.48845499999999</v>
      </c>
      <c r="M1365" s="24">
        <f>+Tabla1[[#This Row],[Costo Venta]]/Tabla1[[#This Row],[Cantidad]]</f>
        <v>4.826295</v>
      </c>
      <c r="N1365" s="3">
        <v>1</v>
      </c>
      <c r="O1365" s="8">
        <f>+Tabla1[[#This Row],[Conversión]]*Tabla1[[#This Row],[Cantidad]]</f>
        <v>49</v>
      </c>
      <c r="P1365" s="43">
        <f>Tabla1[[#This Row],[Neto]]-Tabla1[[#This Row],[Costo Venta]]</f>
        <v>973.81154500000002</v>
      </c>
    </row>
    <row r="1366" spans="1:16" x14ac:dyDescent="0.25">
      <c r="A1366" s="48">
        <v>45044</v>
      </c>
      <c r="B1366" s="1" t="s">
        <v>405</v>
      </c>
      <c r="C1366" s="1" t="s">
        <v>109</v>
      </c>
      <c r="D1366" s="1" t="s">
        <v>1298</v>
      </c>
      <c r="E1366" s="1" t="s">
        <v>67</v>
      </c>
      <c r="F1366" s="1" t="s">
        <v>9</v>
      </c>
      <c r="G1366" s="2">
        <v>1.4</v>
      </c>
      <c r="H1366" s="1" t="s">
        <v>1297</v>
      </c>
      <c r="I1366" s="44">
        <f>Tabla1[[#This Row],[Descuento]]+Tabla1[[#This Row],[Neto]]</f>
        <v>53.2</v>
      </c>
      <c r="J1366" s="9">
        <v>18.62</v>
      </c>
      <c r="K1366" s="9">
        <v>34.58</v>
      </c>
      <c r="L1366" s="9">
        <v>6.7568130000000002</v>
      </c>
      <c r="M1366" s="24">
        <f>+Tabla1[[#This Row],[Costo Venta]]/Tabla1[[#This Row],[Cantidad]]</f>
        <v>4.826295</v>
      </c>
      <c r="N1366" s="3">
        <v>1</v>
      </c>
      <c r="O1366" s="8">
        <f>+Tabla1[[#This Row],[Conversión]]*Tabla1[[#This Row],[Cantidad]]</f>
        <v>1.4</v>
      </c>
      <c r="P1366" s="43">
        <f>Tabla1[[#This Row],[Neto]]-Tabla1[[#This Row],[Costo Venta]]</f>
        <v>27.823186999999997</v>
      </c>
    </row>
    <row r="1367" spans="1:16" x14ac:dyDescent="0.25">
      <c r="A1367" s="48">
        <v>45169</v>
      </c>
      <c r="B1367" s="1" t="s">
        <v>405</v>
      </c>
      <c r="C1367" s="1" t="s">
        <v>81</v>
      </c>
      <c r="D1367" s="1" t="s">
        <v>1288</v>
      </c>
      <c r="E1367" s="1" t="s">
        <v>67</v>
      </c>
      <c r="F1367" s="1" t="s">
        <v>9</v>
      </c>
      <c r="G1367" s="2">
        <v>39.200000000000003</v>
      </c>
      <c r="H1367" s="1" t="s">
        <v>1297</v>
      </c>
      <c r="I1367" s="44">
        <f>Tabla1[[#This Row],[Descuento]]+Tabla1[[#This Row],[Neto]]</f>
        <v>1489.6</v>
      </c>
      <c r="J1367" s="9">
        <v>670.32</v>
      </c>
      <c r="K1367" s="9">
        <v>819.28</v>
      </c>
      <c r="L1367" s="9">
        <v>179.67719840000001</v>
      </c>
      <c r="M1367" s="24">
        <f>+Tabla1[[#This Row],[Costo Venta]]/Tabla1[[#This Row],[Cantidad]]</f>
        <v>4.583602</v>
      </c>
      <c r="N1367" s="3">
        <v>1</v>
      </c>
      <c r="O1367" s="8">
        <f>+Tabla1[[#This Row],[Conversión]]*Tabla1[[#This Row],[Cantidad]]</f>
        <v>39.200000000000003</v>
      </c>
      <c r="P1367" s="43">
        <f>Tabla1[[#This Row],[Neto]]-Tabla1[[#This Row],[Costo Venta]]</f>
        <v>639.60280160000002</v>
      </c>
    </row>
    <row r="1368" spans="1:16" x14ac:dyDescent="0.25">
      <c r="A1368" s="48">
        <v>45426</v>
      </c>
      <c r="B1368" s="1" t="s">
        <v>405</v>
      </c>
      <c r="C1368" s="1" t="s">
        <v>29</v>
      </c>
      <c r="D1368" s="1" t="s">
        <v>1291</v>
      </c>
      <c r="E1368" s="1" t="s">
        <v>67</v>
      </c>
      <c r="F1368" s="1" t="s">
        <v>9</v>
      </c>
      <c r="G1368" s="2">
        <v>42</v>
      </c>
      <c r="H1368" s="1" t="s">
        <v>1297</v>
      </c>
      <c r="I1368" s="44">
        <f>Tabla1[[#This Row],[Descuento]]+Tabla1[[#This Row],[Neto]]</f>
        <v>1442.7049999999999</v>
      </c>
      <c r="J1368" s="9">
        <v>504.94499999999999</v>
      </c>
      <c r="K1368" s="9">
        <v>937.76</v>
      </c>
      <c r="L1368" s="9">
        <v>141.14205000000001</v>
      </c>
      <c r="M1368" s="24">
        <f>+Tabla1[[#This Row],[Costo Venta]]/Tabla1[[#This Row],[Cantidad]]</f>
        <v>3.3605250000000004</v>
      </c>
      <c r="N1368" s="3">
        <v>1</v>
      </c>
      <c r="O1368" s="8">
        <f>+Tabla1[[#This Row],[Conversión]]*Tabla1[[#This Row],[Cantidad]]</f>
        <v>42</v>
      </c>
      <c r="P1368" s="43">
        <f>Tabla1[[#This Row],[Neto]]-Tabla1[[#This Row],[Costo Venta]]</f>
        <v>796.61794999999995</v>
      </c>
    </row>
    <row r="1369" spans="1:16" x14ac:dyDescent="0.25">
      <c r="A1369" s="48">
        <v>45481</v>
      </c>
      <c r="B1369" s="1" t="s">
        <v>405</v>
      </c>
      <c r="C1369" s="1" t="s">
        <v>65</v>
      </c>
      <c r="D1369" s="1" t="s">
        <v>322</v>
      </c>
      <c r="E1369" s="1" t="s">
        <v>67</v>
      </c>
      <c r="F1369" s="1" t="s">
        <v>34</v>
      </c>
      <c r="G1369" s="2">
        <v>4</v>
      </c>
      <c r="H1369" s="1" t="s">
        <v>1297</v>
      </c>
      <c r="I1369" s="44">
        <f>Tabla1[[#This Row],[Descuento]]+Tabla1[[#This Row],[Neto]]</f>
        <v>137.4</v>
      </c>
      <c r="J1369" s="9">
        <v>41.22</v>
      </c>
      <c r="K1369" s="9">
        <v>96.18</v>
      </c>
      <c r="L1369" s="9">
        <v>13.4421</v>
      </c>
      <c r="M1369" s="24">
        <f>+Tabla1[[#This Row],[Costo Venta]]/Tabla1[[#This Row],[Cantidad]]</f>
        <v>3.360525</v>
      </c>
      <c r="N1369" s="3">
        <v>1</v>
      </c>
      <c r="O1369" s="8">
        <f>+Tabla1[[#This Row],[Conversión]]*Tabla1[[#This Row],[Cantidad]]</f>
        <v>4</v>
      </c>
      <c r="P1369" s="43">
        <f>Tabla1[[#This Row],[Neto]]-Tabla1[[#This Row],[Costo Venta]]</f>
        <v>82.73790000000001</v>
      </c>
    </row>
    <row r="1370" spans="1:16" x14ac:dyDescent="0.25">
      <c r="A1370" s="48">
        <v>45594</v>
      </c>
      <c r="B1370" s="1" t="s">
        <v>405</v>
      </c>
      <c r="C1370" s="1" t="s">
        <v>65</v>
      </c>
      <c r="D1370" s="1" t="s">
        <v>340</v>
      </c>
      <c r="E1370" s="1" t="s">
        <v>67</v>
      </c>
      <c r="F1370" s="1" t="s">
        <v>34</v>
      </c>
      <c r="G1370" s="2">
        <v>2.8</v>
      </c>
      <c r="H1370" s="1" t="s">
        <v>1297</v>
      </c>
      <c r="I1370" s="44">
        <f>Tabla1[[#This Row],[Descuento]]+Tabla1[[#This Row],[Neto]]</f>
        <v>96.182999999999993</v>
      </c>
      <c r="J1370" s="9">
        <v>33.662999999999997</v>
      </c>
      <c r="K1370" s="9">
        <v>62.52</v>
      </c>
      <c r="L1370" s="9">
        <v>9.4094700000000007</v>
      </c>
      <c r="M1370" s="24">
        <f>+Tabla1[[#This Row],[Costo Venta]]/Tabla1[[#This Row],[Cantidad]]</f>
        <v>3.3605250000000004</v>
      </c>
      <c r="N1370" s="3">
        <v>1</v>
      </c>
      <c r="O1370" s="8">
        <f>+Tabla1[[#This Row],[Conversión]]*Tabla1[[#This Row],[Cantidad]]</f>
        <v>2.8</v>
      </c>
      <c r="P1370" s="43">
        <f>Tabla1[[#This Row],[Neto]]-Tabla1[[#This Row],[Costo Venta]]</f>
        <v>53.110530000000004</v>
      </c>
    </row>
    <row r="1371" spans="1:16" x14ac:dyDescent="0.25">
      <c r="A1371" s="48">
        <v>45685</v>
      </c>
      <c r="B1371" s="1" t="s">
        <v>405</v>
      </c>
      <c r="C1371" s="1" t="s">
        <v>65</v>
      </c>
      <c r="D1371" s="1" t="s">
        <v>1292</v>
      </c>
      <c r="E1371" s="1" t="s">
        <v>67</v>
      </c>
      <c r="F1371" s="1" t="s">
        <v>9</v>
      </c>
      <c r="G1371" s="2">
        <v>108.5</v>
      </c>
      <c r="H1371" s="1" t="s">
        <v>1297</v>
      </c>
      <c r="I1371" s="44">
        <f>Tabla1[[#This Row],[Descuento]]+Tabla1[[#This Row],[Neto]]</f>
        <v>3726.9787500000002</v>
      </c>
      <c r="J1371" s="9">
        <v>1677.1387500000001</v>
      </c>
      <c r="K1371" s="9">
        <v>2049.84</v>
      </c>
      <c r="L1371" s="9">
        <v>364.6169625</v>
      </c>
      <c r="M1371" s="24">
        <f>+Tabla1[[#This Row],[Costo Venta]]/Tabla1[[#This Row],[Cantidad]]</f>
        <v>3.360525</v>
      </c>
      <c r="N1371" s="3">
        <v>1</v>
      </c>
      <c r="O1371" s="8">
        <f>+Tabla1[[#This Row],[Conversión]]*Tabla1[[#This Row],[Cantidad]]</f>
        <v>108.5</v>
      </c>
      <c r="P1371" s="43">
        <f>Tabla1[[#This Row],[Neto]]-Tabla1[[#This Row],[Costo Venta]]</f>
        <v>1685.2230375000001</v>
      </c>
    </row>
    <row r="1372" spans="1:16" x14ac:dyDescent="0.25">
      <c r="A1372" s="48">
        <v>45734</v>
      </c>
      <c r="B1372" s="1" t="s">
        <v>405</v>
      </c>
      <c r="C1372" s="1" t="s">
        <v>65</v>
      </c>
      <c r="D1372" s="1" t="s">
        <v>1299</v>
      </c>
      <c r="E1372" s="1" t="s">
        <v>67</v>
      </c>
      <c r="F1372" s="1" t="s">
        <v>9</v>
      </c>
      <c r="G1372" s="2">
        <v>70</v>
      </c>
      <c r="H1372" s="1" t="s">
        <v>1297</v>
      </c>
      <c r="I1372" s="44">
        <f>Tabla1[[#This Row],[Descuento]]+Tabla1[[#This Row],[Neto]]</f>
        <v>2404.5050000000001</v>
      </c>
      <c r="J1372" s="9">
        <v>1082.0250000000001</v>
      </c>
      <c r="K1372" s="9">
        <v>1322.48</v>
      </c>
      <c r="L1372" s="9">
        <v>214.41448</v>
      </c>
      <c r="M1372" s="24">
        <f>+Tabla1[[#This Row],[Costo Venta]]/Tabla1[[#This Row],[Cantidad]]</f>
        <v>3.0630639999999998</v>
      </c>
      <c r="N1372" s="3">
        <v>1</v>
      </c>
      <c r="O1372" s="8">
        <f>+Tabla1[[#This Row],[Conversión]]*Tabla1[[#This Row],[Cantidad]]</f>
        <v>70</v>
      </c>
      <c r="P1372" s="43">
        <f>Tabla1[[#This Row],[Neto]]-Tabla1[[#This Row],[Costo Venta]]</f>
        <v>1108.0655200000001</v>
      </c>
    </row>
    <row r="1373" spans="1:16" x14ac:dyDescent="0.25">
      <c r="A1373" s="48">
        <v>45904</v>
      </c>
      <c r="B1373" s="1" t="s">
        <v>405</v>
      </c>
      <c r="C1373" s="1" t="s">
        <v>65</v>
      </c>
      <c r="D1373" s="1" t="s">
        <v>1295</v>
      </c>
      <c r="E1373" s="1" t="s">
        <v>67</v>
      </c>
      <c r="F1373" s="1" t="s">
        <v>9</v>
      </c>
      <c r="G1373" s="2">
        <v>49</v>
      </c>
      <c r="H1373" s="1" t="s">
        <v>1297</v>
      </c>
      <c r="I1373" s="44">
        <f>Tabla1[[#This Row],[Descuento]]+Tabla1[[#This Row],[Neto]]</f>
        <v>1683.1475</v>
      </c>
      <c r="J1373" s="9">
        <v>757.41750000000002</v>
      </c>
      <c r="K1373" s="9">
        <v>925.73</v>
      </c>
      <c r="L1373" s="9">
        <v>188.70262600000001</v>
      </c>
      <c r="M1373" s="24">
        <f>+Tabla1[[#This Row],[Costo Venta]]/Tabla1[[#This Row],[Cantidad]]</f>
        <v>3.8510740000000001</v>
      </c>
      <c r="N1373" s="3">
        <v>1</v>
      </c>
      <c r="O1373" s="8">
        <f>+Tabla1[[#This Row],[Conversión]]*Tabla1[[#This Row],[Cantidad]]</f>
        <v>49</v>
      </c>
      <c r="P1373" s="43">
        <f>Tabla1[[#This Row],[Neto]]-Tabla1[[#This Row],[Costo Venta]]</f>
        <v>737.02737400000001</v>
      </c>
    </row>
    <row r="1374" spans="1:16" x14ac:dyDescent="0.25">
      <c r="A1374" s="48">
        <v>44942</v>
      </c>
      <c r="B1374" s="1" t="s">
        <v>405</v>
      </c>
      <c r="C1374" s="1" t="s">
        <v>115</v>
      </c>
      <c r="D1374" s="1" t="s">
        <v>120</v>
      </c>
      <c r="E1374" s="1" t="s">
        <v>71</v>
      </c>
      <c r="F1374" s="1" t="s">
        <v>121</v>
      </c>
      <c r="G1374" s="2">
        <v>12.6</v>
      </c>
      <c r="H1374" s="1" t="s">
        <v>1300</v>
      </c>
      <c r="I1374" s="44">
        <f>Tabla1[[#This Row],[Descuento]]+Tabla1[[#This Row],[Neto]]</f>
        <v>478.8</v>
      </c>
      <c r="J1374" s="9">
        <v>0</v>
      </c>
      <c r="K1374" s="9">
        <v>478.8</v>
      </c>
      <c r="L1374" s="9">
        <v>56.528640000000003</v>
      </c>
      <c r="M1374" s="24">
        <f>+Tabla1[[#This Row],[Costo Venta]]/Tabla1[[#This Row],[Cantidad]]</f>
        <v>4.4864000000000006</v>
      </c>
      <c r="N1374" s="3">
        <v>1</v>
      </c>
      <c r="O1374" s="8">
        <f>+Tabla1[[#This Row],[Conversión]]*Tabla1[[#This Row],[Cantidad]]</f>
        <v>12.6</v>
      </c>
      <c r="P1374" s="43">
        <f>Tabla1[[#This Row],[Neto]]-Tabla1[[#This Row],[Costo Venta]]</f>
        <v>422.27136000000002</v>
      </c>
    </row>
    <row r="1375" spans="1:16" x14ac:dyDescent="0.25">
      <c r="A1375" s="48">
        <v>44979</v>
      </c>
      <c r="B1375" s="1" t="s">
        <v>405</v>
      </c>
      <c r="C1375" s="1" t="s">
        <v>115</v>
      </c>
      <c r="D1375" s="1" t="s">
        <v>1224</v>
      </c>
      <c r="E1375" s="1" t="s">
        <v>71</v>
      </c>
      <c r="F1375" s="1" t="s">
        <v>1225</v>
      </c>
      <c r="G1375" s="2">
        <v>2.1</v>
      </c>
      <c r="H1375" s="1" t="s">
        <v>1300</v>
      </c>
      <c r="I1375" s="44">
        <f>Tabla1[[#This Row],[Descuento]]+Tabla1[[#This Row],[Neto]]</f>
        <v>79.8</v>
      </c>
      <c r="J1375" s="9">
        <v>0</v>
      </c>
      <c r="K1375" s="9">
        <v>79.8</v>
      </c>
      <c r="L1375" s="9">
        <v>9.7466649000000007</v>
      </c>
      <c r="M1375" s="24">
        <f>+Tabla1[[#This Row],[Costo Venta]]/Tabla1[[#This Row],[Cantidad]]</f>
        <v>4.6412690000000003</v>
      </c>
      <c r="N1375" s="3">
        <v>1</v>
      </c>
      <c r="O1375" s="8">
        <f>+Tabla1[[#This Row],[Conversión]]*Tabla1[[#This Row],[Cantidad]]</f>
        <v>2.1</v>
      </c>
      <c r="P1375" s="43">
        <f>Tabla1[[#This Row],[Neto]]-Tabla1[[#This Row],[Costo Venta]]</f>
        <v>70.053335099999998</v>
      </c>
    </row>
    <row r="1376" spans="1:16" x14ac:dyDescent="0.25">
      <c r="A1376" s="48">
        <v>44985</v>
      </c>
      <c r="B1376" s="1" t="s">
        <v>405</v>
      </c>
      <c r="C1376" s="1" t="s">
        <v>109</v>
      </c>
      <c r="D1376" s="1" t="s">
        <v>1301</v>
      </c>
      <c r="E1376" s="1" t="s">
        <v>67</v>
      </c>
      <c r="F1376" s="1" t="s">
        <v>9</v>
      </c>
      <c r="G1376" s="2">
        <v>32.9</v>
      </c>
      <c r="H1376" s="1" t="s">
        <v>1300</v>
      </c>
      <c r="I1376" s="44">
        <f>Tabla1[[#This Row],[Descuento]]+Tabla1[[#This Row],[Neto]]</f>
        <v>1250.2</v>
      </c>
      <c r="J1376" s="9">
        <v>562.59</v>
      </c>
      <c r="K1376" s="9">
        <v>687.61</v>
      </c>
      <c r="L1376" s="9">
        <v>152.69775010000001</v>
      </c>
      <c r="M1376" s="24">
        <f>+Tabla1[[#This Row],[Costo Venta]]/Tabla1[[#This Row],[Cantidad]]</f>
        <v>4.6412690000000003</v>
      </c>
      <c r="N1376" s="3">
        <v>1</v>
      </c>
      <c r="O1376" s="8">
        <f>+Tabla1[[#This Row],[Conversión]]*Tabla1[[#This Row],[Cantidad]]</f>
        <v>32.9</v>
      </c>
      <c r="P1376" s="43">
        <f>Tabla1[[#This Row],[Neto]]-Tabla1[[#This Row],[Costo Venta]]</f>
        <v>534.91224990000001</v>
      </c>
    </row>
    <row r="1377" spans="1:16" x14ac:dyDescent="0.25">
      <c r="A1377" s="48">
        <v>44994</v>
      </c>
      <c r="B1377" s="1" t="s">
        <v>405</v>
      </c>
      <c r="C1377" s="1" t="s">
        <v>109</v>
      </c>
      <c r="D1377" s="1" t="s">
        <v>1302</v>
      </c>
      <c r="E1377" s="1" t="s">
        <v>67</v>
      </c>
      <c r="F1377" s="1" t="s">
        <v>9</v>
      </c>
      <c r="G1377" s="2">
        <v>15.4</v>
      </c>
      <c r="H1377" s="1" t="s">
        <v>1300</v>
      </c>
      <c r="I1377" s="44">
        <f>Tabla1[[#This Row],[Descuento]]+Tabla1[[#This Row],[Neto]]</f>
        <v>585.20000000000005</v>
      </c>
      <c r="J1377" s="9">
        <v>263.33999999999997</v>
      </c>
      <c r="K1377" s="9">
        <v>321.86</v>
      </c>
      <c r="L1377" s="9">
        <v>71.475542599999997</v>
      </c>
      <c r="M1377" s="24">
        <f>+Tabla1[[#This Row],[Costo Venta]]/Tabla1[[#This Row],[Cantidad]]</f>
        <v>4.6412689999999994</v>
      </c>
      <c r="N1377" s="3">
        <v>1</v>
      </c>
      <c r="O1377" s="8">
        <f>+Tabla1[[#This Row],[Conversión]]*Tabla1[[#This Row],[Cantidad]]</f>
        <v>15.4</v>
      </c>
      <c r="P1377" s="43">
        <f>Tabla1[[#This Row],[Neto]]-Tabla1[[#This Row],[Costo Venta]]</f>
        <v>250.38445740000003</v>
      </c>
    </row>
    <row r="1378" spans="1:16" x14ac:dyDescent="0.25">
      <c r="A1378" s="48">
        <v>45048</v>
      </c>
      <c r="B1378" s="1" t="s">
        <v>405</v>
      </c>
      <c r="C1378" s="1" t="s">
        <v>109</v>
      </c>
      <c r="D1378" s="1" t="s">
        <v>1303</v>
      </c>
      <c r="E1378" s="1" t="s">
        <v>67</v>
      </c>
      <c r="F1378" s="1" t="s">
        <v>9</v>
      </c>
      <c r="G1378" s="2">
        <v>16.100000000000001</v>
      </c>
      <c r="H1378" s="1" t="s">
        <v>1300</v>
      </c>
      <c r="I1378" s="44">
        <f>Tabla1[[#This Row],[Descuento]]+Tabla1[[#This Row],[Neto]]</f>
        <v>611.79999999999995</v>
      </c>
      <c r="J1378" s="9">
        <v>214.13</v>
      </c>
      <c r="K1378" s="9">
        <v>397.67</v>
      </c>
      <c r="L1378" s="9">
        <v>74.724430900000002</v>
      </c>
      <c r="M1378" s="24">
        <f>+Tabla1[[#This Row],[Costo Venta]]/Tabla1[[#This Row],[Cantidad]]</f>
        <v>4.6412689999999994</v>
      </c>
      <c r="N1378" s="3">
        <v>1</v>
      </c>
      <c r="O1378" s="8">
        <f>+Tabla1[[#This Row],[Conversión]]*Tabla1[[#This Row],[Cantidad]]</f>
        <v>16.100000000000001</v>
      </c>
      <c r="P1378" s="43">
        <f>Tabla1[[#This Row],[Neto]]-Tabla1[[#This Row],[Costo Venta]]</f>
        <v>322.9455691</v>
      </c>
    </row>
    <row r="1379" spans="1:16" x14ac:dyDescent="0.25">
      <c r="A1379" s="48">
        <v>45455</v>
      </c>
      <c r="B1379" s="1" t="s">
        <v>405</v>
      </c>
      <c r="C1379" s="1" t="s">
        <v>81</v>
      </c>
      <c r="D1379" s="1" t="s">
        <v>1304</v>
      </c>
      <c r="E1379" s="1" t="s">
        <v>67</v>
      </c>
      <c r="F1379" s="1" t="s">
        <v>9</v>
      </c>
      <c r="G1379" s="2">
        <v>4.2</v>
      </c>
      <c r="H1379" s="1" t="s">
        <v>1300</v>
      </c>
      <c r="I1379" s="44">
        <f>Tabla1[[#This Row],[Descuento]]+Tabla1[[#This Row],[Neto]]</f>
        <v>144.27449999999999</v>
      </c>
      <c r="J1379" s="9">
        <v>50.494500000000002</v>
      </c>
      <c r="K1379" s="9">
        <v>93.78</v>
      </c>
      <c r="L1379" s="9">
        <v>15.7241952</v>
      </c>
      <c r="M1379" s="24">
        <f>+Tabla1[[#This Row],[Costo Venta]]/Tabla1[[#This Row],[Cantidad]]</f>
        <v>3.7438560000000001</v>
      </c>
      <c r="N1379" s="3">
        <v>1</v>
      </c>
      <c r="O1379" s="8">
        <f>+Tabla1[[#This Row],[Conversión]]*Tabla1[[#This Row],[Cantidad]]</f>
        <v>4.2</v>
      </c>
      <c r="P1379" s="43">
        <f>Tabla1[[#This Row],[Neto]]-Tabla1[[#This Row],[Costo Venta]]</f>
        <v>78.055804800000004</v>
      </c>
    </row>
    <row r="1380" spans="1:16" x14ac:dyDescent="0.25">
      <c r="A1380" s="48">
        <v>45474</v>
      </c>
      <c r="B1380" s="1" t="s">
        <v>405</v>
      </c>
      <c r="C1380" s="1" t="s">
        <v>65</v>
      </c>
      <c r="D1380" s="1" t="s">
        <v>1305</v>
      </c>
      <c r="E1380" s="1" t="s">
        <v>71</v>
      </c>
      <c r="F1380" s="1" t="s">
        <v>483</v>
      </c>
      <c r="G1380" s="2">
        <v>9.1</v>
      </c>
      <c r="H1380" s="1" t="s">
        <v>1300</v>
      </c>
      <c r="I1380" s="44">
        <f>Tabla1[[#This Row],[Descuento]]+Tabla1[[#This Row],[Neto]]</f>
        <v>312.577</v>
      </c>
      <c r="J1380" s="9">
        <v>62.517000000000003</v>
      </c>
      <c r="K1380" s="9">
        <v>250.06</v>
      </c>
      <c r="L1380" s="9">
        <v>34.7408061</v>
      </c>
      <c r="M1380" s="24">
        <f>+Tabla1[[#This Row],[Costo Venta]]/Tabla1[[#This Row],[Cantidad]]</f>
        <v>3.8176710000000003</v>
      </c>
      <c r="N1380" s="3">
        <v>1</v>
      </c>
      <c r="O1380" s="8">
        <f>+Tabla1[[#This Row],[Conversión]]*Tabla1[[#This Row],[Cantidad]]</f>
        <v>9.1</v>
      </c>
      <c r="P1380" s="43">
        <f>Tabla1[[#This Row],[Neto]]-Tabla1[[#This Row],[Costo Venta]]</f>
        <v>215.31919390000002</v>
      </c>
    </row>
    <row r="1381" spans="1:16" x14ac:dyDescent="0.25">
      <c r="A1381" s="48">
        <v>45525</v>
      </c>
      <c r="B1381" s="1" t="s">
        <v>405</v>
      </c>
      <c r="C1381" s="1" t="s">
        <v>65</v>
      </c>
      <c r="D1381" s="1" t="s">
        <v>1306</v>
      </c>
      <c r="E1381" s="1" t="s">
        <v>67</v>
      </c>
      <c r="F1381" s="1" t="s">
        <v>9</v>
      </c>
      <c r="G1381" s="2">
        <v>22.4</v>
      </c>
      <c r="H1381" s="1" t="s">
        <v>1300</v>
      </c>
      <c r="I1381" s="44">
        <f>Tabla1[[#This Row],[Descuento]]+Tabla1[[#This Row],[Neto]]</f>
        <v>769.43799999999999</v>
      </c>
      <c r="J1381" s="9">
        <v>346.24799999999999</v>
      </c>
      <c r="K1381" s="9">
        <v>423.19</v>
      </c>
      <c r="L1381" s="9">
        <v>80.877171200000006</v>
      </c>
      <c r="M1381" s="24">
        <f>+Tabla1[[#This Row],[Costo Venta]]/Tabla1[[#This Row],[Cantidad]]</f>
        <v>3.6105880000000004</v>
      </c>
      <c r="N1381" s="3">
        <v>1</v>
      </c>
      <c r="O1381" s="8">
        <f>+Tabla1[[#This Row],[Conversión]]*Tabla1[[#This Row],[Cantidad]]</f>
        <v>22.4</v>
      </c>
      <c r="P1381" s="43">
        <f>Tabla1[[#This Row],[Neto]]-Tabla1[[#This Row],[Costo Venta]]</f>
        <v>342.31282879999998</v>
      </c>
    </row>
    <row r="1382" spans="1:16" x14ac:dyDescent="0.25">
      <c r="A1382" s="48">
        <v>45568</v>
      </c>
      <c r="B1382" s="1" t="s">
        <v>405</v>
      </c>
      <c r="C1382" s="1" t="s">
        <v>65</v>
      </c>
      <c r="D1382" s="1" t="s">
        <v>1307</v>
      </c>
      <c r="E1382" s="1" t="s">
        <v>67</v>
      </c>
      <c r="F1382" s="1" t="s">
        <v>9</v>
      </c>
      <c r="G1382" s="2">
        <v>9.8000000000000007</v>
      </c>
      <c r="H1382" s="1" t="s">
        <v>1300</v>
      </c>
      <c r="I1382" s="44">
        <f>Tabla1[[#This Row],[Descuento]]+Tabla1[[#This Row],[Neto]]</f>
        <v>336.63350000000003</v>
      </c>
      <c r="J1382" s="9">
        <v>151.48349999999999</v>
      </c>
      <c r="K1382" s="9">
        <v>185.15</v>
      </c>
      <c r="L1382" s="9">
        <v>34.509690599999999</v>
      </c>
      <c r="M1382" s="24">
        <f>+Tabla1[[#This Row],[Costo Venta]]/Tabla1[[#This Row],[Cantidad]]</f>
        <v>3.5213969999999994</v>
      </c>
      <c r="N1382" s="3">
        <v>1</v>
      </c>
      <c r="O1382" s="8">
        <f>+Tabla1[[#This Row],[Conversión]]*Tabla1[[#This Row],[Cantidad]]</f>
        <v>9.8000000000000007</v>
      </c>
      <c r="P1382" s="43">
        <f>Tabla1[[#This Row],[Neto]]-Tabla1[[#This Row],[Costo Venta]]</f>
        <v>150.64030940000001</v>
      </c>
    </row>
    <row r="1383" spans="1:16" x14ac:dyDescent="0.25">
      <c r="A1383" s="48">
        <v>45573</v>
      </c>
      <c r="B1383" s="1" t="s">
        <v>405</v>
      </c>
      <c r="C1383" s="1" t="s">
        <v>65</v>
      </c>
      <c r="D1383" s="1" t="s">
        <v>1308</v>
      </c>
      <c r="E1383" s="1" t="s">
        <v>67</v>
      </c>
      <c r="F1383" s="1" t="s">
        <v>9</v>
      </c>
      <c r="G1383" s="2">
        <v>0.7</v>
      </c>
      <c r="H1383" s="1" t="s">
        <v>1300</v>
      </c>
      <c r="I1383" s="44">
        <f>Tabla1[[#This Row],[Descuento]]+Tabla1[[#This Row],[Neto]]</f>
        <v>24.04025</v>
      </c>
      <c r="J1383" s="9">
        <v>10.82025</v>
      </c>
      <c r="K1383" s="9">
        <v>13.22</v>
      </c>
      <c r="L1383" s="9">
        <v>2.5139562</v>
      </c>
      <c r="M1383" s="24">
        <f>+Tabla1[[#This Row],[Costo Venta]]/Tabla1[[#This Row],[Cantidad]]</f>
        <v>3.5913660000000003</v>
      </c>
      <c r="N1383" s="3">
        <v>1</v>
      </c>
      <c r="O1383" s="8">
        <f>+Tabla1[[#This Row],[Conversión]]*Tabla1[[#This Row],[Cantidad]]</f>
        <v>0.7</v>
      </c>
      <c r="P1383" s="43">
        <f>Tabla1[[#This Row],[Neto]]-Tabla1[[#This Row],[Costo Venta]]</f>
        <v>10.7060438</v>
      </c>
    </row>
    <row r="1384" spans="1:16" x14ac:dyDescent="0.25">
      <c r="A1384" s="48">
        <v>45146</v>
      </c>
      <c r="B1384" s="1" t="s">
        <v>405</v>
      </c>
      <c r="C1384" s="1" t="s">
        <v>81</v>
      </c>
      <c r="D1384" s="1" t="s">
        <v>1309</v>
      </c>
      <c r="E1384" s="1" t="s">
        <v>67</v>
      </c>
      <c r="F1384" s="1" t="s">
        <v>20</v>
      </c>
      <c r="G1384" s="2">
        <v>5.6</v>
      </c>
      <c r="H1384" s="1" t="s">
        <v>1310</v>
      </c>
      <c r="I1384" s="44">
        <f>Tabla1[[#This Row],[Descuento]]+Tabla1[[#This Row],[Neto]]</f>
        <v>217.7254016</v>
      </c>
      <c r="J1384" s="9">
        <v>79.405401600000005</v>
      </c>
      <c r="K1384" s="9">
        <v>138.32</v>
      </c>
      <c r="L1384" s="9">
        <v>24.975999999999999</v>
      </c>
      <c r="M1384" s="24">
        <f>+Tabla1[[#This Row],[Costo Venta]]/Tabla1[[#This Row],[Cantidad]]</f>
        <v>4.46</v>
      </c>
      <c r="N1384" s="3">
        <v>1</v>
      </c>
      <c r="O1384" s="8">
        <f>+Tabla1[[#This Row],[Conversión]]*Tabla1[[#This Row],[Cantidad]]</f>
        <v>5.6</v>
      </c>
      <c r="P1384" s="43">
        <f>Tabla1[[#This Row],[Neto]]-Tabla1[[#This Row],[Costo Venta]]</f>
        <v>113.34399999999999</v>
      </c>
    </row>
    <row r="1385" spans="1:16" x14ac:dyDescent="0.25">
      <c r="A1385" s="48">
        <v>45853</v>
      </c>
      <c r="B1385" s="1" t="s">
        <v>405</v>
      </c>
      <c r="C1385" s="1" t="s">
        <v>65</v>
      </c>
      <c r="D1385" s="1" t="s">
        <v>1311</v>
      </c>
      <c r="E1385" s="1" t="s">
        <v>67</v>
      </c>
      <c r="F1385" s="1" t="s">
        <v>20</v>
      </c>
      <c r="G1385" s="2">
        <v>4.2</v>
      </c>
      <c r="H1385" s="1" t="s">
        <v>1310</v>
      </c>
      <c r="I1385" s="44">
        <f>Tabla1[[#This Row],[Descuento]]+Tabla1[[#This Row],[Neto]]</f>
        <v>144.27099999999999</v>
      </c>
      <c r="J1385" s="9">
        <v>43.280999999999999</v>
      </c>
      <c r="K1385" s="9">
        <v>100.99</v>
      </c>
      <c r="L1385" s="9">
        <v>18.423703199999999</v>
      </c>
      <c r="M1385" s="24">
        <f>+Tabla1[[#This Row],[Costo Venta]]/Tabla1[[#This Row],[Cantidad]]</f>
        <v>4.3865959999999991</v>
      </c>
      <c r="N1385" s="3">
        <v>1</v>
      </c>
      <c r="O1385" s="8">
        <f>+Tabla1[[#This Row],[Conversión]]*Tabla1[[#This Row],[Cantidad]]</f>
        <v>4.2</v>
      </c>
      <c r="P1385" s="43">
        <f>Tabla1[[#This Row],[Neto]]-Tabla1[[#This Row],[Costo Venta]]</f>
        <v>82.566296800000003</v>
      </c>
    </row>
    <row r="1386" spans="1:16" x14ac:dyDescent="0.25">
      <c r="A1386" s="48">
        <v>45027</v>
      </c>
      <c r="B1386" s="1" t="s">
        <v>419</v>
      </c>
      <c r="C1386" s="1" t="s">
        <v>109</v>
      </c>
      <c r="D1386" s="1" t="s">
        <v>1312</v>
      </c>
      <c r="E1386" s="1" t="s">
        <v>67</v>
      </c>
      <c r="F1386" s="1" t="s">
        <v>9</v>
      </c>
      <c r="G1386" s="2">
        <v>5</v>
      </c>
      <c r="H1386" s="1" t="s">
        <v>1313</v>
      </c>
      <c r="I1386" s="44">
        <f>Tabla1[[#This Row],[Descuento]]+Tabla1[[#This Row],[Neto]]</f>
        <v>170</v>
      </c>
      <c r="J1386" s="9">
        <v>76.5</v>
      </c>
      <c r="K1386" s="9">
        <v>93.5</v>
      </c>
      <c r="L1386" s="9">
        <v>23.51</v>
      </c>
      <c r="M1386" s="24">
        <f>+Tabla1[[#This Row],[Costo Venta]]/Tabla1[[#This Row],[Cantidad]]</f>
        <v>4.702</v>
      </c>
      <c r="N1386" s="3">
        <v>1</v>
      </c>
      <c r="O1386" s="8">
        <f>+Tabla1[[#This Row],[Conversión]]*Tabla1[[#This Row],[Cantidad]]</f>
        <v>5</v>
      </c>
      <c r="P1386" s="43">
        <f>Tabla1[[#This Row],[Neto]]-Tabla1[[#This Row],[Costo Venta]]</f>
        <v>69.989999999999995</v>
      </c>
    </row>
    <row r="1387" spans="1:16" x14ac:dyDescent="0.25">
      <c r="A1387" s="49">
        <v>45071</v>
      </c>
      <c r="B1387" s="1" t="s">
        <v>419</v>
      </c>
      <c r="C1387" s="6" t="s">
        <v>109</v>
      </c>
      <c r="D1387" s="6" t="s">
        <v>1314</v>
      </c>
      <c r="E1387" s="6" t="s">
        <v>67</v>
      </c>
      <c r="F1387" s="6" t="s">
        <v>15</v>
      </c>
      <c r="G1387" s="7">
        <v>2</v>
      </c>
      <c r="H1387" s="6" t="s">
        <v>1313</v>
      </c>
      <c r="I1387" s="46">
        <f>Tabla1[[#This Row],[Descuento]]+Tabla1[[#This Row],[Neto]]</f>
        <v>68</v>
      </c>
      <c r="J1387" s="10">
        <v>23.8</v>
      </c>
      <c r="K1387" s="10">
        <v>44.2</v>
      </c>
      <c r="L1387" s="10">
        <v>9.4039999999999999</v>
      </c>
      <c r="M1387" s="28">
        <f>+Tabla1[[#This Row],[Costo Venta]]/Tabla1[[#This Row],[Cantidad]]</f>
        <v>4.702</v>
      </c>
      <c r="N1387" s="3">
        <v>1</v>
      </c>
      <c r="O1387" s="8">
        <f>+Tabla1[[#This Row],[Conversión]]*Tabla1[[#This Row],[Cantidad]]</f>
        <v>2</v>
      </c>
      <c r="P1387" s="43">
        <f>Tabla1[[#This Row],[Neto]]-Tabla1[[#This Row],[Costo Venta]]</f>
        <v>34.796000000000006</v>
      </c>
    </row>
    <row r="1388" spans="1:16" x14ac:dyDescent="0.25">
      <c r="A1388" s="49"/>
      <c r="B1388" s="6"/>
      <c r="C1388" s="6"/>
      <c r="D1388" s="6"/>
      <c r="E1388" s="6"/>
      <c r="F1388" s="6"/>
      <c r="G1388" s="7"/>
      <c r="H1388" s="6"/>
      <c r="I1388" s="6"/>
      <c r="J1388" s="40">
        <f>SUBTOTAL(109,Tabla1[Descuento])</f>
        <v>294961.19095926028</v>
      </c>
      <c r="K1388" s="40">
        <f>SUBTOTAL(109,Tabla1[Neto])</f>
        <v>779484.80999999994</v>
      </c>
      <c r="L1388" s="40">
        <f>SUBTOTAL(109,Tabla1[Costo Venta])</f>
        <v>182007.53031359013</v>
      </c>
      <c r="M1388" s="41"/>
      <c r="N1388" s="35"/>
      <c r="O1388" s="8">
        <f>SUBTOTAL(109,Tabla1[M2])</f>
        <v>26796.091000000004</v>
      </c>
      <c r="P1388" s="42"/>
    </row>
    <row r="1390" spans="1:16" x14ac:dyDescent="0.25">
      <c r="L1390" s="1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6386-0A2D-4B23-8096-4B7E4661EECB}">
  <dimension ref="A1:Q156"/>
  <sheetViews>
    <sheetView workbookViewId="0">
      <selection activeCell="D37" sqref="D37"/>
    </sheetView>
  </sheetViews>
  <sheetFormatPr baseColWidth="10" defaultColWidth="11.42578125" defaultRowHeight="15" x14ac:dyDescent="0.25"/>
  <cols>
    <col min="1" max="1" width="17.85546875" bestFit="1" customWidth="1"/>
    <col min="2" max="2" width="20.42578125" bestFit="1" customWidth="1"/>
    <col min="3" max="3" width="13.42578125" bestFit="1" customWidth="1"/>
    <col min="4" max="4" width="19.85546875" bestFit="1" customWidth="1"/>
    <col min="5" max="5" width="18.5703125" bestFit="1" customWidth="1"/>
    <col min="6" max="6" width="10.28515625" bestFit="1" customWidth="1"/>
    <col min="7" max="7" width="8.85546875" bestFit="1" customWidth="1"/>
    <col min="8" max="8" width="11.7109375" bestFit="1" customWidth="1"/>
    <col min="10" max="10" width="51.5703125" bestFit="1" customWidth="1"/>
    <col min="11" max="11" width="20.42578125" bestFit="1" customWidth="1"/>
    <col min="12" max="12" width="13.42578125" bestFit="1" customWidth="1"/>
    <col min="13" max="13" width="11" bestFit="1" customWidth="1"/>
    <col min="14" max="14" width="20" bestFit="1" customWidth="1"/>
    <col min="15" max="15" width="10" hidden="1" customWidth="1"/>
    <col min="16" max="16" width="10.85546875" hidden="1" customWidth="1"/>
  </cols>
  <sheetData>
    <row r="1" spans="1:17" x14ac:dyDescent="0.25">
      <c r="A1" s="11" t="s">
        <v>0</v>
      </c>
      <c r="B1" t="s">
        <v>1315</v>
      </c>
      <c r="J1" s="11" t="s">
        <v>0</v>
      </c>
      <c r="K1" t="s">
        <v>1315</v>
      </c>
    </row>
    <row r="3" spans="1:17" x14ac:dyDescent="0.25">
      <c r="A3" s="11" t="s">
        <v>1316</v>
      </c>
      <c r="B3" t="s">
        <v>3</v>
      </c>
      <c r="C3" t="s">
        <v>5</v>
      </c>
      <c r="D3" t="s">
        <v>4</v>
      </c>
      <c r="E3" t="s">
        <v>6</v>
      </c>
      <c r="F3" t="s">
        <v>1317</v>
      </c>
      <c r="G3" t="s">
        <v>1318</v>
      </c>
      <c r="H3" t="s">
        <v>1319</v>
      </c>
      <c r="J3" s="11" t="s">
        <v>55</v>
      </c>
      <c r="K3" t="s">
        <v>3</v>
      </c>
      <c r="L3" t="s">
        <v>5</v>
      </c>
      <c r="M3" t="s">
        <v>1320</v>
      </c>
      <c r="N3" t="s">
        <v>1321</v>
      </c>
      <c r="O3" s="16" t="s">
        <v>1322</v>
      </c>
      <c r="P3" s="16" t="s">
        <v>1323</v>
      </c>
      <c r="Q3" t="s">
        <v>1324</v>
      </c>
    </row>
    <row r="4" spans="1:17" x14ac:dyDescent="0.25">
      <c r="A4" s="12" t="s">
        <v>8</v>
      </c>
      <c r="B4" s="14">
        <v>9667.7309999999998</v>
      </c>
      <c r="C4" s="14">
        <v>316567.84999999998</v>
      </c>
      <c r="D4" s="14">
        <v>61044.714350549992</v>
      </c>
      <c r="E4" s="14">
        <v>115571.04690009999</v>
      </c>
      <c r="F4" s="19">
        <f t="shared" ref="F4:F18" si="0">+C4/B4</f>
        <v>32.744792961243952</v>
      </c>
      <c r="G4" s="18">
        <f t="shared" ref="G4:G18" si="1">+B4/12</f>
        <v>805.64424999999994</v>
      </c>
      <c r="H4" s="19">
        <f t="shared" ref="H4:H18" si="2">+D4/B4</f>
        <v>6.3142752265810866</v>
      </c>
      <c r="J4" s="12" t="s">
        <v>980</v>
      </c>
      <c r="K4" s="14">
        <v>2054.2999999999997</v>
      </c>
      <c r="L4" s="14">
        <v>55226.57</v>
      </c>
      <c r="M4" s="14">
        <v>6364.7539465400005</v>
      </c>
      <c r="N4" s="14">
        <v>48861.816053460003</v>
      </c>
      <c r="O4" s="17" t="e">
        <f>+K4/$K$156</f>
        <v>#DIV/0!</v>
      </c>
      <c r="P4" s="17" t="e">
        <f>+L4/$L$156</f>
        <v>#DIV/0!</v>
      </c>
      <c r="Q4" s="17" t="e">
        <f>N4/$N$156</f>
        <v>#DIV/0!</v>
      </c>
    </row>
    <row r="5" spans="1:17" x14ac:dyDescent="0.25">
      <c r="A5" s="13" t="s">
        <v>1326</v>
      </c>
      <c r="B5" s="14">
        <v>1786.7919999999999</v>
      </c>
      <c r="C5" s="14">
        <v>58217.590000000004</v>
      </c>
      <c r="D5" s="14">
        <v>12787.596524189994</v>
      </c>
      <c r="E5" s="14">
        <v>22781.953370000003</v>
      </c>
      <c r="F5" s="19">
        <f t="shared" si="0"/>
        <v>32.582186398864557</v>
      </c>
      <c r="G5" s="18">
        <f t="shared" si="1"/>
        <v>148.89933333333332</v>
      </c>
      <c r="H5" s="19">
        <f t="shared" si="2"/>
        <v>7.1567348209472588</v>
      </c>
      <c r="J5" s="12" t="s">
        <v>839</v>
      </c>
      <c r="K5" s="14">
        <v>1419.5399999999997</v>
      </c>
      <c r="L5" s="14">
        <v>39037.250000000022</v>
      </c>
      <c r="M5" s="14">
        <v>7274.34653574</v>
      </c>
      <c r="N5" s="14">
        <v>31762.903464260005</v>
      </c>
      <c r="O5" s="17" t="e">
        <f t="shared" ref="O5:O68" si="3">+K5/$K$156</f>
        <v>#DIV/0!</v>
      </c>
      <c r="P5" s="17" t="e">
        <f t="shared" ref="P5:P68" si="4">+L5/$L$156</f>
        <v>#DIV/0!</v>
      </c>
      <c r="Q5" s="17" t="e">
        <f t="shared" ref="Q5:Q68" si="5">N5/$N$156</f>
        <v>#DIV/0!</v>
      </c>
    </row>
    <row r="6" spans="1:17" x14ac:dyDescent="0.25">
      <c r="A6" s="13" t="s">
        <v>1327</v>
      </c>
      <c r="B6" s="14">
        <v>3730.2589999999991</v>
      </c>
      <c r="C6" s="14">
        <v>118213.39</v>
      </c>
      <c r="D6" s="14">
        <v>25474.571099999994</v>
      </c>
      <c r="E6" s="14">
        <v>44948.76509999999</v>
      </c>
      <c r="F6" s="19">
        <f t="shared" si="0"/>
        <v>31.690397369190727</v>
      </c>
      <c r="G6" s="18">
        <f t="shared" si="1"/>
        <v>310.85491666666661</v>
      </c>
      <c r="H6" s="19">
        <f t="shared" si="2"/>
        <v>6.8291695295152426</v>
      </c>
      <c r="J6" s="12" t="s">
        <v>441</v>
      </c>
      <c r="K6" s="14">
        <v>1224.5</v>
      </c>
      <c r="L6" s="14">
        <v>35077.840000000011</v>
      </c>
      <c r="M6" s="14">
        <v>3486.7549164999991</v>
      </c>
      <c r="N6" s="14">
        <v>31591.085083500002</v>
      </c>
      <c r="O6" s="17" t="e">
        <f t="shared" si="3"/>
        <v>#DIV/0!</v>
      </c>
      <c r="P6" s="17" t="e">
        <f t="shared" si="4"/>
        <v>#DIV/0!</v>
      </c>
      <c r="Q6" s="17" t="e">
        <f t="shared" si="5"/>
        <v>#DIV/0!</v>
      </c>
    </row>
    <row r="7" spans="1:17" x14ac:dyDescent="0.25">
      <c r="A7" s="13" t="s">
        <v>1329</v>
      </c>
      <c r="B7" s="14">
        <v>2191.335</v>
      </c>
      <c r="C7" s="14">
        <v>75414.01999999999</v>
      </c>
      <c r="D7" s="14">
        <v>12725.113128350002</v>
      </c>
      <c r="E7" s="14">
        <v>26385.999997599993</v>
      </c>
      <c r="F7" s="19">
        <f t="shared" si="0"/>
        <v>34.414646779246439</v>
      </c>
      <c r="G7" s="18">
        <f t="shared" si="1"/>
        <v>182.61125000000001</v>
      </c>
      <c r="H7" s="19">
        <f t="shared" si="2"/>
        <v>5.8070140477608403</v>
      </c>
      <c r="J7" s="12" t="s">
        <v>431</v>
      </c>
      <c r="K7" s="14">
        <v>861.65000000000009</v>
      </c>
      <c r="L7" s="14">
        <v>26904.909999999996</v>
      </c>
      <c r="M7" s="14">
        <v>2498.9370153500004</v>
      </c>
      <c r="N7" s="14">
        <v>24405.972984650001</v>
      </c>
      <c r="O7" s="17" t="e">
        <f t="shared" si="3"/>
        <v>#DIV/0!</v>
      </c>
      <c r="P7" s="17" t="e">
        <f t="shared" si="4"/>
        <v>#DIV/0!</v>
      </c>
      <c r="Q7" s="17" t="e">
        <f t="shared" si="5"/>
        <v>#DIV/0!</v>
      </c>
    </row>
    <row r="8" spans="1:17" x14ac:dyDescent="0.25">
      <c r="A8" s="13" t="s">
        <v>1330</v>
      </c>
      <c r="B8" s="14">
        <v>1959.3450000000003</v>
      </c>
      <c r="C8" s="14">
        <v>64722.85</v>
      </c>
      <c r="D8" s="14">
        <v>10057.433598010006</v>
      </c>
      <c r="E8" s="14">
        <v>21454.328432500006</v>
      </c>
      <c r="F8" s="19">
        <f t="shared" si="0"/>
        <v>33.032901301200141</v>
      </c>
      <c r="G8" s="18">
        <f t="shared" si="1"/>
        <v>163.27875000000003</v>
      </c>
      <c r="H8" s="19">
        <f t="shared" si="2"/>
        <v>5.1330590569858829</v>
      </c>
      <c r="J8" s="12" t="s">
        <v>1243</v>
      </c>
      <c r="K8" s="14">
        <v>888.58000000000015</v>
      </c>
      <c r="L8" s="14">
        <v>45746.44</v>
      </c>
      <c r="M8" s="14">
        <v>25272.957549010003</v>
      </c>
      <c r="N8" s="14">
        <v>20473.482450989999</v>
      </c>
      <c r="O8" s="17" t="e">
        <f t="shared" si="3"/>
        <v>#DIV/0!</v>
      </c>
      <c r="P8" s="17" t="e">
        <f t="shared" si="4"/>
        <v>#DIV/0!</v>
      </c>
      <c r="Q8" s="17" t="e">
        <f t="shared" si="5"/>
        <v>#DIV/0!</v>
      </c>
    </row>
    <row r="9" spans="1:17" x14ac:dyDescent="0.25">
      <c r="A9" s="12" t="s">
        <v>27</v>
      </c>
      <c r="B9" s="14">
        <v>6895.7405000000008</v>
      </c>
      <c r="C9" s="14">
        <v>220484.12</v>
      </c>
      <c r="D9" s="14">
        <v>47732.243980610001</v>
      </c>
      <c r="E9" s="14">
        <v>94680.715297360002</v>
      </c>
      <c r="F9" s="19">
        <f t="shared" si="0"/>
        <v>31.973958416793668</v>
      </c>
      <c r="G9" s="18">
        <f t="shared" si="1"/>
        <v>574.64504166666677</v>
      </c>
      <c r="H9" s="19">
        <f t="shared" si="2"/>
        <v>6.9219895935193607</v>
      </c>
      <c r="J9" s="12" t="s">
        <v>905</v>
      </c>
      <c r="K9" s="14">
        <v>737.79000000000008</v>
      </c>
      <c r="L9" s="14">
        <v>22690.29</v>
      </c>
      <c r="M9" s="14">
        <v>2950.1115057499997</v>
      </c>
      <c r="N9" s="14">
        <v>19740.178494250002</v>
      </c>
      <c r="O9" s="17" t="e">
        <f t="shared" si="3"/>
        <v>#DIV/0!</v>
      </c>
      <c r="P9" s="17" t="e">
        <f t="shared" si="4"/>
        <v>#DIV/0!</v>
      </c>
      <c r="Q9" s="17" t="e">
        <f t="shared" si="5"/>
        <v>#DIV/0!</v>
      </c>
    </row>
    <row r="10" spans="1:17" x14ac:dyDescent="0.25">
      <c r="A10" s="13" t="s">
        <v>1326</v>
      </c>
      <c r="B10" s="14">
        <v>1321.0650000000001</v>
      </c>
      <c r="C10" s="14">
        <v>40859.490000000005</v>
      </c>
      <c r="D10" s="14">
        <v>6405.0830489299997</v>
      </c>
      <c r="E10" s="14">
        <v>16850.054704999999</v>
      </c>
      <c r="F10" s="19">
        <f t="shared" si="0"/>
        <v>30.929204846090091</v>
      </c>
      <c r="G10" s="18">
        <f t="shared" si="1"/>
        <v>110.08875</v>
      </c>
      <c r="H10" s="19">
        <f t="shared" si="2"/>
        <v>4.8484238466161766</v>
      </c>
      <c r="J10" s="12" t="s">
        <v>1125</v>
      </c>
      <c r="K10" s="14">
        <v>573.88</v>
      </c>
      <c r="L10" s="14">
        <v>22768.86</v>
      </c>
      <c r="M10" s="14">
        <v>3190.6538639600003</v>
      </c>
      <c r="N10" s="14">
        <v>19578.20613604</v>
      </c>
      <c r="O10" s="17" t="e">
        <f t="shared" si="3"/>
        <v>#DIV/0!</v>
      </c>
      <c r="P10" s="17" t="e">
        <f t="shared" si="4"/>
        <v>#DIV/0!</v>
      </c>
      <c r="Q10" s="17" t="e">
        <f t="shared" si="5"/>
        <v>#DIV/0!</v>
      </c>
    </row>
    <row r="11" spans="1:17" x14ac:dyDescent="0.25">
      <c r="A11" s="13" t="s">
        <v>1327</v>
      </c>
      <c r="B11" s="14">
        <v>2429.3890000000001</v>
      </c>
      <c r="C11" s="14">
        <v>87392.14</v>
      </c>
      <c r="D11" s="14">
        <v>23621.839273269998</v>
      </c>
      <c r="E11" s="14">
        <v>31959.397088000002</v>
      </c>
      <c r="F11" s="19">
        <f t="shared" si="0"/>
        <v>35.972888656365861</v>
      </c>
      <c r="G11" s="18">
        <f t="shared" si="1"/>
        <v>202.44908333333333</v>
      </c>
      <c r="H11" s="19">
        <f t="shared" si="2"/>
        <v>9.7233663580719245</v>
      </c>
      <c r="J11" s="12" t="s">
        <v>750</v>
      </c>
      <c r="K11" s="14">
        <v>1104.2599999999998</v>
      </c>
      <c r="L11" s="14">
        <v>24855.750000000004</v>
      </c>
      <c r="M11" s="14">
        <v>6596.6723932300001</v>
      </c>
      <c r="N11" s="14">
        <v>18259.077606769999</v>
      </c>
      <c r="O11" s="17" t="e">
        <f t="shared" si="3"/>
        <v>#DIV/0!</v>
      </c>
      <c r="P11" s="17" t="e">
        <f t="shared" si="4"/>
        <v>#DIV/0!</v>
      </c>
      <c r="Q11" s="17" t="e">
        <f t="shared" si="5"/>
        <v>#DIV/0!</v>
      </c>
    </row>
    <row r="12" spans="1:17" x14ac:dyDescent="0.25">
      <c r="A12" s="13" t="s">
        <v>1329</v>
      </c>
      <c r="B12" s="14">
        <v>1358.9770000000005</v>
      </c>
      <c r="C12" s="14">
        <v>41572.529999999992</v>
      </c>
      <c r="D12" s="14">
        <v>6703.0359663699983</v>
      </c>
      <c r="E12" s="14">
        <v>17323.071774360003</v>
      </c>
      <c r="F12" s="19">
        <f t="shared" si="0"/>
        <v>30.591047530605724</v>
      </c>
      <c r="G12" s="18">
        <f t="shared" si="1"/>
        <v>113.24808333333338</v>
      </c>
      <c r="H12" s="19">
        <f t="shared" si="2"/>
        <v>4.9324131066015067</v>
      </c>
      <c r="J12" s="12" t="s">
        <v>708</v>
      </c>
      <c r="K12" s="14">
        <v>793.96</v>
      </c>
      <c r="L12" s="14">
        <v>23340.57</v>
      </c>
      <c r="M12" s="14">
        <v>5844.0617013499987</v>
      </c>
      <c r="N12" s="14">
        <v>17496.508298649998</v>
      </c>
      <c r="O12" s="17" t="e">
        <f t="shared" si="3"/>
        <v>#DIV/0!</v>
      </c>
      <c r="P12" s="17" t="e">
        <f t="shared" si="4"/>
        <v>#DIV/0!</v>
      </c>
      <c r="Q12" s="17" t="e">
        <f t="shared" si="5"/>
        <v>#DIV/0!</v>
      </c>
    </row>
    <row r="13" spans="1:17" x14ac:dyDescent="0.25">
      <c r="A13" s="13" t="s">
        <v>1330</v>
      </c>
      <c r="B13" s="14">
        <v>1786.3095000000005</v>
      </c>
      <c r="C13" s="14">
        <v>50659.960000000006</v>
      </c>
      <c r="D13" s="14">
        <v>11002.285692040006</v>
      </c>
      <c r="E13" s="14">
        <v>28548.191729999988</v>
      </c>
      <c r="F13" s="19">
        <f t="shared" si="0"/>
        <v>28.360124603267234</v>
      </c>
      <c r="G13" s="18">
        <f t="shared" si="1"/>
        <v>148.85912500000003</v>
      </c>
      <c r="H13" s="19">
        <f t="shared" si="2"/>
        <v>6.1592269940007611</v>
      </c>
      <c r="J13" s="12" t="s">
        <v>930</v>
      </c>
      <c r="K13" s="14">
        <v>544</v>
      </c>
      <c r="L13" s="14">
        <v>17965.740000000002</v>
      </c>
      <c r="M13" s="14">
        <v>3014.5341170000006</v>
      </c>
      <c r="N13" s="14">
        <v>14951.205882999999</v>
      </c>
      <c r="O13" s="17" t="e">
        <f t="shared" si="3"/>
        <v>#DIV/0!</v>
      </c>
      <c r="P13" s="17" t="e">
        <f t="shared" si="4"/>
        <v>#DIV/0!</v>
      </c>
      <c r="Q13" s="17" t="e">
        <f t="shared" si="5"/>
        <v>#DIV/0!</v>
      </c>
    </row>
    <row r="14" spans="1:17" x14ac:dyDescent="0.25">
      <c r="A14" s="12" t="s">
        <v>39</v>
      </c>
      <c r="B14" s="14">
        <v>5215.9894999999979</v>
      </c>
      <c r="C14" s="14">
        <v>144426.22</v>
      </c>
      <c r="D14" s="14">
        <v>26828.844791039999</v>
      </c>
      <c r="E14" s="14">
        <v>72088.014710000018</v>
      </c>
      <c r="F14" s="19">
        <f t="shared" si="0"/>
        <v>27.689131659486673</v>
      </c>
      <c r="G14" s="18">
        <f t="shared" si="1"/>
        <v>434.66579166666651</v>
      </c>
      <c r="H14" s="19">
        <f t="shared" si="2"/>
        <v>5.1435772236581396</v>
      </c>
      <c r="J14" s="12" t="s">
        <v>503</v>
      </c>
      <c r="K14" s="14">
        <v>213.15</v>
      </c>
      <c r="L14" s="14">
        <v>17316.62</v>
      </c>
      <c r="M14" s="14">
        <v>3511.0900060000008</v>
      </c>
      <c r="N14" s="14">
        <v>13805.529993999999</v>
      </c>
      <c r="O14" s="17" t="e">
        <f t="shared" si="3"/>
        <v>#DIV/0!</v>
      </c>
      <c r="P14" s="17" t="e">
        <f t="shared" si="4"/>
        <v>#DIV/0!</v>
      </c>
      <c r="Q14" s="17" t="e">
        <f t="shared" si="5"/>
        <v>#DIV/0!</v>
      </c>
    </row>
    <row r="15" spans="1:17" x14ac:dyDescent="0.25">
      <c r="A15" s="13" t="s">
        <v>1326</v>
      </c>
      <c r="B15" s="14">
        <v>1285.0249999999994</v>
      </c>
      <c r="C15" s="14">
        <v>36492.259999999995</v>
      </c>
      <c r="D15" s="14">
        <v>5947.7185780700011</v>
      </c>
      <c r="E15" s="14">
        <v>16543.176349999998</v>
      </c>
      <c r="F15" s="19">
        <f t="shared" si="0"/>
        <v>28.398093422306967</v>
      </c>
      <c r="G15" s="18">
        <f t="shared" si="1"/>
        <v>107.08541666666662</v>
      </c>
      <c r="H15" s="19">
        <f t="shared" si="2"/>
        <v>4.628484720585206</v>
      </c>
      <c r="J15" s="12" t="s">
        <v>717</v>
      </c>
      <c r="K15" s="14">
        <v>676.25</v>
      </c>
      <c r="L15" s="14">
        <v>16429.73</v>
      </c>
      <c r="M15" s="14">
        <v>2788.4197161500001</v>
      </c>
      <c r="N15" s="14">
        <v>13641.31028385</v>
      </c>
      <c r="O15" s="17" t="e">
        <f t="shared" si="3"/>
        <v>#DIV/0!</v>
      </c>
      <c r="P15" s="17" t="e">
        <f t="shared" si="4"/>
        <v>#DIV/0!</v>
      </c>
      <c r="Q15" s="17" t="e">
        <f t="shared" si="5"/>
        <v>#DIV/0!</v>
      </c>
    </row>
    <row r="16" spans="1:17" x14ac:dyDescent="0.25">
      <c r="A16" s="13" t="s">
        <v>1327</v>
      </c>
      <c r="B16" s="14">
        <v>2008.8394999999996</v>
      </c>
      <c r="C16" s="14">
        <v>55036.040000000008</v>
      </c>
      <c r="D16" s="14">
        <v>11339.691221079998</v>
      </c>
      <c r="E16" s="14">
        <v>28567.670020000005</v>
      </c>
      <c r="F16" s="19">
        <f t="shared" si="0"/>
        <v>27.396932407989798</v>
      </c>
      <c r="G16" s="18">
        <f t="shared" si="1"/>
        <v>167.40329166666663</v>
      </c>
      <c r="H16" s="19">
        <f t="shared" si="2"/>
        <v>5.6448965788854712</v>
      </c>
      <c r="J16" s="12" t="s">
        <v>780</v>
      </c>
      <c r="K16" s="14">
        <v>680.6</v>
      </c>
      <c r="L16" s="14">
        <v>15836.539999999999</v>
      </c>
      <c r="M16" s="14">
        <v>3266.0459979999991</v>
      </c>
      <c r="N16" s="14">
        <v>12570.494001999999</v>
      </c>
      <c r="O16" s="17" t="e">
        <f t="shared" si="3"/>
        <v>#DIV/0!</v>
      </c>
      <c r="P16" s="17" t="e">
        <f t="shared" si="4"/>
        <v>#DIV/0!</v>
      </c>
      <c r="Q16" s="17" t="e">
        <f t="shared" si="5"/>
        <v>#DIV/0!</v>
      </c>
    </row>
    <row r="17" spans="1:17" x14ac:dyDescent="0.25">
      <c r="A17" s="13" t="s">
        <v>1329</v>
      </c>
      <c r="B17" s="14">
        <v>1922.1249999999995</v>
      </c>
      <c r="C17" s="14">
        <v>52897.919999999991</v>
      </c>
      <c r="D17" s="14">
        <v>9541.4349918900007</v>
      </c>
      <c r="E17" s="14">
        <v>26977.168340000011</v>
      </c>
      <c r="F17" s="19">
        <f t="shared" si="0"/>
        <v>27.520541067828578</v>
      </c>
      <c r="G17" s="18">
        <f t="shared" si="1"/>
        <v>160.17708333333329</v>
      </c>
      <c r="H17" s="19">
        <f t="shared" si="2"/>
        <v>4.9640033774546417</v>
      </c>
      <c r="J17" s="12" t="s">
        <v>532</v>
      </c>
      <c r="K17" s="14">
        <v>193.02500000000001</v>
      </c>
      <c r="L17" s="14">
        <v>14279.37</v>
      </c>
      <c r="M17" s="14">
        <v>2620.2244360000004</v>
      </c>
      <c r="N17" s="14">
        <v>11659.145564000002</v>
      </c>
      <c r="O17" s="17" t="e">
        <f t="shared" si="3"/>
        <v>#DIV/0!</v>
      </c>
      <c r="P17" s="17" t="e">
        <f t="shared" si="4"/>
        <v>#DIV/0!</v>
      </c>
      <c r="Q17" s="17" t="e">
        <f t="shared" si="5"/>
        <v>#DIV/0!</v>
      </c>
    </row>
    <row r="18" spans="1:17" x14ac:dyDescent="0.25">
      <c r="A18" s="12" t="s">
        <v>48</v>
      </c>
      <c r="B18" s="14">
        <v>21779.460999999999</v>
      </c>
      <c r="C18" s="14">
        <v>681478.19000000006</v>
      </c>
      <c r="D18" s="14">
        <v>135605.80312219998</v>
      </c>
      <c r="E18" s="14">
        <v>282339.77690746001</v>
      </c>
      <c r="F18" s="19">
        <f t="shared" si="0"/>
        <v>31.289947441766355</v>
      </c>
      <c r="G18" s="18">
        <f t="shared" si="1"/>
        <v>1814.9550833333333</v>
      </c>
      <c r="H18" s="19">
        <f t="shared" si="2"/>
        <v>6.2263158451074609</v>
      </c>
      <c r="J18" s="12" t="s">
        <v>1201</v>
      </c>
      <c r="K18" s="14">
        <v>361</v>
      </c>
      <c r="L18" s="14">
        <v>12742.889999999998</v>
      </c>
      <c r="M18" s="14">
        <v>1456.0567620000002</v>
      </c>
      <c r="N18" s="14">
        <v>11286.833237999999</v>
      </c>
      <c r="O18" s="17" t="e">
        <f t="shared" si="3"/>
        <v>#DIV/0!</v>
      </c>
      <c r="P18" s="17" t="e">
        <f t="shared" si="4"/>
        <v>#DIV/0!</v>
      </c>
      <c r="Q18" s="17" t="e">
        <f t="shared" si="5"/>
        <v>#DIV/0!</v>
      </c>
    </row>
    <row r="19" spans="1:17" x14ac:dyDescent="0.25">
      <c r="J19" s="12" t="s">
        <v>1040</v>
      </c>
      <c r="K19" s="14">
        <v>455.45</v>
      </c>
      <c r="L19" s="14">
        <v>13889.919999999998</v>
      </c>
      <c r="M19" s="14">
        <v>2664.3475460499999</v>
      </c>
      <c r="N19" s="14">
        <v>11225.572453949999</v>
      </c>
      <c r="O19" s="17" t="e">
        <f t="shared" si="3"/>
        <v>#DIV/0!</v>
      </c>
      <c r="P19" s="17" t="e">
        <f t="shared" si="4"/>
        <v>#DIV/0!</v>
      </c>
      <c r="Q19" s="17" t="e">
        <f t="shared" si="5"/>
        <v>#DIV/0!</v>
      </c>
    </row>
    <row r="20" spans="1:17" x14ac:dyDescent="0.25">
      <c r="A20" s="36" t="s">
        <v>1334</v>
      </c>
      <c r="B20" s="37" t="s">
        <v>1315</v>
      </c>
      <c r="J20" s="12" t="s">
        <v>767</v>
      </c>
      <c r="K20" s="14">
        <v>326.14999999999998</v>
      </c>
      <c r="L20" s="14">
        <v>10684.220000000001</v>
      </c>
      <c r="M20" s="14">
        <v>1495.6842846899999</v>
      </c>
      <c r="N20" s="14">
        <v>9188.5357153099976</v>
      </c>
      <c r="O20" s="17" t="e">
        <f t="shared" si="3"/>
        <v>#DIV/0!</v>
      </c>
      <c r="P20" s="17" t="e">
        <f t="shared" si="4"/>
        <v>#DIV/0!</v>
      </c>
      <c r="Q20" s="17" t="e">
        <f t="shared" si="5"/>
        <v>#DIV/0!</v>
      </c>
    </row>
    <row r="21" spans="1:17" x14ac:dyDescent="0.25">
      <c r="J21" s="12" t="s">
        <v>1086</v>
      </c>
      <c r="K21" s="14">
        <v>392</v>
      </c>
      <c r="L21" s="14">
        <v>9906.630000000001</v>
      </c>
      <c r="M21" s="14">
        <v>1142.892722</v>
      </c>
      <c r="N21" s="14">
        <v>8763.7372780000005</v>
      </c>
      <c r="O21" s="17" t="e">
        <f t="shared" si="3"/>
        <v>#DIV/0!</v>
      </c>
      <c r="P21" s="17" t="e">
        <f t="shared" si="4"/>
        <v>#DIV/0!</v>
      </c>
      <c r="Q21" s="17" t="e">
        <f t="shared" si="5"/>
        <v>#DIV/0!</v>
      </c>
    </row>
    <row r="22" spans="1:17" x14ac:dyDescent="0.25">
      <c r="A22" s="36" t="s">
        <v>1335</v>
      </c>
      <c r="B22" s="37" t="s">
        <v>3</v>
      </c>
      <c r="C22" s="37" t="s">
        <v>5</v>
      </c>
      <c r="D22" s="37" t="s">
        <v>6</v>
      </c>
      <c r="E22" s="37" t="s">
        <v>4</v>
      </c>
      <c r="J22" s="12" t="s">
        <v>957</v>
      </c>
      <c r="K22" s="14">
        <v>343</v>
      </c>
      <c r="L22" s="14">
        <v>9476.06</v>
      </c>
      <c r="M22" s="14">
        <v>1013.9979000000001</v>
      </c>
      <c r="N22" s="14">
        <v>8462.0620999999992</v>
      </c>
      <c r="O22" s="17" t="e">
        <f t="shared" si="3"/>
        <v>#DIV/0!</v>
      </c>
      <c r="P22" s="17" t="e">
        <f t="shared" si="4"/>
        <v>#DIV/0!</v>
      </c>
      <c r="Q22" s="17" t="e">
        <f t="shared" si="5"/>
        <v>#DIV/0!</v>
      </c>
    </row>
    <row r="23" spans="1:17" x14ac:dyDescent="0.25">
      <c r="A23" s="38" t="s">
        <v>764</v>
      </c>
      <c r="B23" s="39">
        <v>3897.7300000000009</v>
      </c>
      <c r="C23" s="39">
        <v>112220.72999999994</v>
      </c>
      <c r="D23" s="39">
        <v>56357.202880000004</v>
      </c>
      <c r="E23" s="39">
        <v>14684.84242739</v>
      </c>
      <c r="F23" s="14">
        <f>+C23-E23</f>
        <v>97535.887572609936</v>
      </c>
      <c r="G23" s="14">
        <f>+F23/B23</f>
        <v>25.023767057392359</v>
      </c>
      <c r="J23" s="12" t="s">
        <v>1285</v>
      </c>
      <c r="K23" s="14">
        <v>465.09999999999997</v>
      </c>
      <c r="L23" s="14">
        <v>10943.72</v>
      </c>
      <c r="M23" s="14">
        <v>2861.0935780999998</v>
      </c>
      <c r="N23" s="14">
        <v>8082.6264219000004</v>
      </c>
      <c r="O23" s="17" t="e">
        <f t="shared" si="3"/>
        <v>#DIV/0!</v>
      </c>
      <c r="P23" s="17" t="e">
        <f t="shared" si="4"/>
        <v>#DIV/0!</v>
      </c>
      <c r="Q23" s="17" t="e">
        <f t="shared" si="5"/>
        <v>#DIV/0!</v>
      </c>
    </row>
    <row r="24" spans="1:17" x14ac:dyDescent="0.25">
      <c r="A24" s="38" t="s">
        <v>1</v>
      </c>
      <c r="B24" s="39">
        <v>2286.8509999999997</v>
      </c>
      <c r="C24" s="39">
        <v>110183.57000000002</v>
      </c>
      <c r="D24" s="39">
        <v>46410.016508639979</v>
      </c>
      <c r="E24" s="39">
        <v>21890.727139190003</v>
      </c>
      <c r="F24" s="14">
        <f t="shared" ref="F24:F39" si="6">+C24-E24</f>
        <v>88292.842860810022</v>
      </c>
      <c r="G24" s="14">
        <f t="shared" ref="G24:G39" si="7">+F24/B24</f>
        <v>38.608918054044636</v>
      </c>
      <c r="J24" s="12" t="s">
        <v>1032</v>
      </c>
      <c r="K24" s="14">
        <v>285</v>
      </c>
      <c r="L24" s="14">
        <v>8527.61</v>
      </c>
      <c r="M24" s="14">
        <v>1841.6096190000001</v>
      </c>
      <c r="N24" s="14">
        <v>6686.0003809999998</v>
      </c>
      <c r="O24" s="17" t="e">
        <f t="shared" si="3"/>
        <v>#DIV/0!</v>
      </c>
      <c r="P24" s="17" t="e">
        <f t="shared" si="4"/>
        <v>#DIV/0!</v>
      </c>
      <c r="Q24" s="17" t="e">
        <f t="shared" si="5"/>
        <v>#DIV/0!</v>
      </c>
    </row>
    <row r="25" spans="1:17" x14ac:dyDescent="0.25">
      <c r="A25" s="38" t="s">
        <v>419</v>
      </c>
      <c r="B25" s="39">
        <v>3610.5699999999997</v>
      </c>
      <c r="C25" s="39">
        <v>90090.960000000021</v>
      </c>
      <c r="D25" s="39">
        <v>39891.272082500007</v>
      </c>
      <c r="E25" s="39">
        <v>20707.174602049996</v>
      </c>
      <c r="F25" s="14">
        <f t="shared" si="6"/>
        <v>69383.785397950021</v>
      </c>
      <c r="G25" s="14">
        <f t="shared" si="7"/>
        <v>19.216850912169001</v>
      </c>
      <c r="J25" s="12" t="s">
        <v>944</v>
      </c>
      <c r="K25" s="14">
        <v>262.60000000000002</v>
      </c>
      <c r="L25" s="14">
        <v>7443.98</v>
      </c>
      <c r="M25" s="14">
        <v>846.82541019999996</v>
      </c>
      <c r="N25" s="14">
        <v>6597.1545897999995</v>
      </c>
      <c r="O25" s="17" t="e">
        <f t="shared" si="3"/>
        <v>#DIV/0!</v>
      </c>
      <c r="P25" s="17" t="e">
        <f t="shared" si="4"/>
        <v>#DIV/0!</v>
      </c>
      <c r="Q25" s="17" t="e">
        <f t="shared" si="5"/>
        <v>#DIV/0!</v>
      </c>
    </row>
    <row r="26" spans="1:17" x14ac:dyDescent="0.25">
      <c r="A26" s="38" t="s">
        <v>686</v>
      </c>
      <c r="B26" s="39">
        <v>2293.4</v>
      </c>
      <c r="C26" s="39">
        <v>83631.69000000009</v>
      </c>
      <c r="D26" s="39">
        <v>29625.676894720007</v>
      </c>
      <c r="E26" s="39">
        <v>14803.8832441</v>
      </c>
      <c r="F26" s="14">
        <f t="shared" si="6"/>
        <v>68827.806755900092</v>
      </c>
      <c r="G26" s="14">
        <f t="shared" si="7"/>
        <v>30.011252618775657</v>
      </c>
      <c r="J26" s="12" t="s">
        <v>1297</v>
      </c>
      <c r="K26" s="14">
        <v>386.2</v>
      </c>
      <c r="L26" s="14">
        <v>7960.0800000000008</v>
      </c>
      <c r="M26" s="14">
        <v>1452.6239433999999</v>
      </c>
      <c r="N26" s="14">
        <v>6507.4560566</v>
      </c>
      <c r="O26" s="17" t="e">
        <f t="shared" si="3"/>
        <v>#DIV/0!</v>
      </c>
      <c r="P26" s="17" t="e">
        <f t="shared" si="4"/>
        <v>#DIV/0!</v>
      </c>
      <c r="Q26" s="17" t="e">
        <f t="shared" si="5"/>
        <v>#DIV/0!</v>
      </c>
    </row>
    <row r="27" spans="1:17" x14ac:dyDescent="0.25">
      <c r="A27" s="38" t="s">
        <v>405</v>
      </c>
      <c r="B27" s="39">
        <v>3164.4399999999978</v>
      </c>
      <c r="C27" s="39">
        <v>80095.459999999992</v>
      </c>
      <c r="D27" s="39">
        <v>35419.535962599999</v>
      </c>
      <c r="E27" s="39">
        <v>16997.334811620014</v>
      </c>
      <c r="F27" s="14">
        <f t="shared" si="6"/>
        <v>63098.125188379978</v>
      </c>
      <c r="G27" s="14">
        <f t="shared" si="7"/>
        <v>19.939744532486007</v>
      </c>
      <c r="J27" s="12" t="s">
        <v>805</v>
      </c>
      <c r="K27" s="14">
        <v>335</v>
      </c>
      <c r="L27" s="14">
        <v>7492.1699999999992</v>
      </c>
      <c r="M27" s="14">
        <v>1185.7600260000002</v>
      </c>
      <c r="N27" s="14">
        <v>6306.4099739999992</v>
      </c>
      <c r="O27" s="17" t="e">
        <f t="shared" si="3"/>
        <v>#DIV/0!</v>
      </c>
      <c r="P27" s="17" t="e">
        <f t="shared" si="4"/>
        <v>#DIV/0!</v>
      </c>
      <c r="Q27" s="17" t="e">
        <f t="shared" si="5"/>
        <v>#DIV/0!</v>
      </c>
    </row>
    <row r="28" spans="1:17" x14ac:dyDescent="0.25">
      <c r="A28" s="38" t="s">
        <v>430</v>
      </c>
      <c r="B28" s="39">
        <v>2086.1499999999996</v>
      </c>
      <c r="C28" s="39">
        <v>61982.750000000015</v>
      </c>
      <c r="D28" s="39">
        <v>22741.591924000004</v>
      </c>
      <c r="E28" s="39">
        <v>5985.6919318499977</v>
      </c>
      <c r="F28" s="14">
        <f t="shared" si="6"/>
        <v>55997.058068150014</v>
      </c>
      <c r="G28" s="14">
        <f t="shared" si="7"/>
        <v>26.842297087050319</v>
      </c>
      <c r="J28" s="12" t="s">
        <v>1175</v>
      </c>
      <c r="K28" s="14">
        <v>239.5</v>
      </c>
      <c r="L28" s="14">
        <v>7953.9800000000005</v>
      </c>
      <c r="M28" s="14">
        <v>1850.8931634999999</v>
      </c>
      <c r="N28" s="14">
        <v>6103.0868365000006</v>
      </c>
      <c r="O28" s="17" t="e">
        <f t="shared" si="3"/>
        <v>#DIV/0!</v>
      </c>
      <c r="P28" s="17" t="e">
        <f t="shared" si="4"/>
        <v>#DIV/0!</v>
      </c>
      <c r="Q28" s="17" t="e">
        <f t="shared" si="5"/>
        <v>#DIV/0!</v>
      </c>
    </row>
    <row r="29" spans="1:17" x14ac:dyDescent="0.25">
      <c r="A29" s="38" t="s">
        <v>1242</v>
      </c>
      <c r="B29" s="39">
        <v>888.58000000000015</v>
      </c>
      <c r="C29" s="39">
        <v>45746.44</v>
      </c>
      <c r="D29" s="39">
        <v>12755.976079999999</v>
      </c>
      <c r="E29" s="39">
        <v>25272.957549010003</v>
      </c>
      <c r="F29" s="14">
        <f t="shared" si="6"/>
        <v>20473.482450989999</v>
      </c>
      <c r="G29" s="14">
        <f t="shared" si="7"/>
        <v>23.040674391714866</v>
      </c>
      <c r="J29" s="12" t="s">
        <v>1197</v>
      </c>
      <c r="K29" s="14">
        <v>191</v>
      </c>
      <c r="L29" s="14">
        <v>6931.17</v>
      </c>
      <c r="M29" s="14">
        <v>1527.1869059999999</v>
      </c>
      <c r="N29" s="14">
        <v>5403.9830940000011</v>
      </c>
      <c r="O29" s="17" t="e">
        <f t="shared" si="3"/>
        <v>#DIV/0!</v>
      </c>
      <c r="P29" s="17" t="e">
        <f t="shared" si="4"/>
        <v>#DIV/0!</v>
      </c>
      <c r="Q29" s="17" t="e">
        <f t="shared" si="5"/>
        <v>#DIV/0!</v>
      </c>
    </row>
    <row r="30" spans="1:17" x14ac:dyDescent="0.25">
      <c r="A30" s="38" t="s">
        <v>757</v>
      </c>
      <c r="B30" s="39">
        <v>1676.0500000000004</v>
      </c>
      <c r="C30" s="39">
        <v>38628.769999999997</v>
      </c>
      <c r="D30" s="39">
        <v>19179.669135</v>
      </c>
      <c r="E30" s="39">
        <v>7292.4780508000022</v>
      </c>
      <c r="F30" s="14">
        <f t="shared" si="6"/>
        <v>31336.291949199993</v>
      </c>
      <c r="G30" s="14">
        <f t="shared" si="7"/>
        <v>18.69651379684376</v>
      </c>
      <c r="J30" s="12" t="s">
        <v>1080</v>
      </c>
      <c r="K30" s="14">
        <v>414.75</v>
      </c>
      <c r="L30" s="14">
        <v>9600.41</v>
      </c>
      <c r="M30" s="14">
        <v>4287.6710922499997</v>
      </c>
      <c r="N30" s="14">
        <v>5312.7389077500002</v>
      </c>
      <c r="O30" s="17" t="e">
        <f t="shared" si="3"/>
        <v>#DIV/0!</v>
      </c>
      <c r="P30" s="17" t="e">
        <f t="shared" si="4"/>
        <v>#DIV/0!</v>
      </c>
      <c r="Q30" s="17" t="e">
        <f t="shared" si="5"/>
        <v>#DIV/0!</v>
      </c>
    </row>
    <row r="31" spans="1:17" x14ac:dyDescent="0.25">
      <c r="A31" s="38" t="s">
        <v>735</v>
      </c>
      <c r="B31" s="39">
        <v>1063.3500000000001</v>
      </c>
      <c r="C31" s="39">
        <v>34503.61</v>
      </c>
      <c r="D31" s="39">
        <v>9924.525959999999</v>
      </c>
      <c r="E31" s="39">
        <v>4394.3781840700003</v>
      </c>
      <c r="F31" s="14">
        <f t="shared" si="6"/>
        <v>30109.231815930001</v>
      </c>
      <c r="G31" s="14">
        <f t="shared" si="7"/>
        <v>28.315448174100716</v>
      </c>
      <c r="H31" s="14"/>
      <c r="J31" s="12" t="s">
        <v>917</v>
      </c>
      <c r="K31" s="14">
        <v>196</v>
      </c>
      <c r="L31" s="14">
        <v>5999.59</v>
      </c>
      <c r="M31" s="14">
        <v>1072.3286129999999</v>
      </c>
      <c r="N31" s="14">
        <v>4927.2613870000005</v>
      </c>
      <c r="O31" s="17" t="e">
        <f t="shared" si="3"/>
        <v>#DIV/0!</v>
      </c>
      <c r="P31" s="17" t="e">
        <f t="shared" si="4"/>
        <v>#DIV/0!</v>
      </c>
      <c r="Q31" s="17" t="e">
        <f t="shared" si="5"/>
        <v>#DIV/0!</v>
      </c>
    </row>
    <row r="32" spans="1:17" x14ac:dyDescent="0.25">
      <c r="A32" s="38" t="s">
        <v>496</v>
      </c>
      <c r="B32" s="39">
        <v>640.38</v>
      </c>
      <c r="C32" s="39">
        <v>18451.399999999998</v>
      </c>
      <c r="D32" s="39">
        <v>7221.7421999999988</v>
      </c>
      <c r="E32" s="39">
        <v>2792.8945457400005</v>
      </c>
      <c r="F32" s="14">
        <f t="shared" si="6"/>
        <v>15658.505454259997</v>
      </c>
      <c r="G32" s="14">
        <f t="shared" si="7"/>
        <v>24.451896458758856</v>
      </c>
      <c r="J32" s="12" t="s">
        <v>820</v>
      </c>
      <c r="K32" s="14">
        <v>358</v>
      </c>
      <c r="L32" s="14">
        <v>7813.56</v>
      </c>
      <c r="M32" s="14">
        <v>2908.4879700000001</v>
      </c>
      <c r="N32" s="14">
        <v>4905.0720300000003</v>
      </c>
      <c r="O32" s="17" t="e">
        <f t="shared" si="3"/>
        <v>#DIV/0!</v>
      </c>
      <c r="P32" s="17" t="e">
        <f t="shared" si="4"/>
        <v>#DIV/0!</v>
      </c>
      <c r="Q32" s="17" t="e">
        <f t="shared" si="5"/>
        <v>#DIV/0!</v>
      </c>
    </row>
    <row r="33" spans="1:17" x14ac:dyDescent="0.25">
      <c r="A33" s="38" t="s">
        <v>409</v>
      </c>
      <c r="B33" s="39">
        <v>171.95999999999998</v>
      </c>
      <c r="C33" s="39">
        <v>5942.8099999999995</v>
      </c>
      <c r="D33" s="39">
        <v>2812.5672800000002</v>
      </c>
      <c r="E33" s="39">
        <v>783.44063637999989</v>
      </c>
      <c r="F33" s="14">
        <f t="shared" si="6"/>
        <v>5159.3693636199996</v>
      </c>
      <c r="G33" s="14">
        <f t="shared" si="7"/>
        <v>30.003311023610141</v>
      </c>
      <c r="J33" s="12" t="s">
        <v>586</v>
      </c>
      <c r="K33" s="14">
        <v>86</v>
      </c>
      <c r="L33" s="14">
        <v>5254.0500000000011</v>
      </c>
      <c r="M33" s="14">
        <v>600.70654200000001</v>
      </c>
      <c r="N33" s="14">
        <v>4653.3434580000003</v>
      </c>
      <c r="O33" s="17" t="e">
        <f t="shared" si="3"/>
        <v>#DIV/0!</v>
      </c>
      <c r="P33" s="17" t="e">
        <f t="shared" si="4"/>
        <v>#DIV/0!</v>
      </c>
      <c r="Q33" s="17" t="e">
        <f t="shared" si="5"/>
        <v>#DIV/0!</v>
      </c>
    </row>
    <row r="34" spans="1:17" x14ac:dyDescent="0.25">
      <c r="A34" s="38" t="s">
        <v>48</v>
      </c>
      <c r="B34" s="39">
        <v>21779.460999999999</v>
      </c>
      <c r="C34" s="39">
        <v>681478.19000000018</v>
      </c>
      <c r="D34" s="39">
        <v>282339.77690746001</v>
      </c>
      <c r="E34" s="39">
        <v>135605.80312220001</v>
      </c>
      <c r="F34" s="14"/>
      <c r="G34" s="14"/>
      <c r="J34" s="12" t="s">
        <v>1148</v>
      </c>
      <c r="K34" s="14">
        <v>24.92</v>
      </c>
      <c r="L34" s="14">
        <v>4717.34</v>
      </c>
      <c r="M34" s="14">
        <v>477.58225600000003</v>
      </c>
      <c r="N34" s="14">
        <v>4239.7577439999995</v>
      </c>
      <c r="O34" s="17" t="e">
        <f t="shared" si="3"/>
        <v>#DIV/0!</v>
      </c>
      <c r="P34" s="17" t="e">
        <f t="shared" si="4"/>
        <v>#DIV/0!</v>
      </c>
      <c r="Q34" s="17" t="e">
        <f t="shared" si="5"/>
        <v>#DIV/0!</v>
      </c>
    </row>
    <row r="35" spans="1:17" x14ac:dyDescent="0.25">
      <c r="F35" s="14"/>
      <c r="G35" s="14"/>
      <c r="J35" s="12" t="s">
        <v>792</v>
      </c>
      <c r="K35" s="14">
        <v>221.2</v>
      </c>
      <c r="L35" s="14">
        <v>5220.25</v>
      </c>
      <c r="M35" s="14">
        <v>1297.1548654000001</v>
      </c>
      <c r="N35" s="14">
        <v>3923.0951346000006</v>
      </c>
      <c r="O35" s="17" t="e">
        <f t="shared" si="3"/>
        <v>#DIV/0!</v>
      </c>
      <c r="P35" s="17" t="e">
        <f t="shared" si="4"/>
        <v>#DIV/0!</v>
      </c>
      <c r="Q35" s="17" t="e">
        <f t="shared" si="5"/>
        <v>#DIV/0!</v>
      </c>
    </row>
    <row r="36" spans="1:17" x14ac:dyDescent="0.25">
      <c r="F36" s="14"/>
      <c r="G36" s="14"/>
      <c r="J36" s="12" t="s">
        <v>1278</v>
      </c>
      <c r="K36" s="14">
        <v>148.4</v>
      </c>
      <c r="L36" s="14">
        <v>4707.97</v>
      </c>
      <c r="M36" s="14">
        <v>851.42621129999998</v>
      </c>
      <c r="N36" s="14">
        <v>3856.5437886999998</v>
      </c>
      <c r="O36" s="17" t="e">
        <f t="shared" si="3"/>
        <v>#DIV/0!</v>
      </c>
      <c r="P36" s="17" t="e">
        <f t="shared" si="4"/>
        <v>#DIV/0!</v>
      </c>
      <c r="Q36" s="17" t="e">
        <f t="shared" si="5"/>
        <v>#DIV/0!</v>
      </c>
    </row>
    <row r="37" spans="1:17" x14ac:dyDescent="0.25">
      <c r="F37" s="14"/>
      <c r="G37" s="14"/>
      <c r="J37" s="12" t="s">
        <v>1272</v>
      </c>
      <c r="K37" s="14">
        <v>122.03999999999998</v>
      </c>
      <c r="L37" s="14">
        <v>4577.34</v>
      </c>
      <c r="M37" s="14">
        <v>754.69142872000009</v>
      </c>
      <c r="N37" s="14">
        <v>3822.6485712800004</v>
      </c>
      <c r="O37" s="17" t="e">
        <f t="shared" si="3"/>
        <v>#DIV/0!</v>
      </c>
      <c r="P37" s="17" t="e">
        <f t="shared" si="4"/>
        <v>#DIV/0!</v>
      </c>
      <c r="Q37" s="17" t="e">
        <f t="shared" si="5"/>
        <v>#DIV/0!</v>
      </c>
    </row>
    <row r="38" spans="1:17" x14ac:dyDescent="0.25">
      <c r="F38" s="14"/>
      <c r="G38" s="14"/>
      <c r="J38" s="12" t="s">
        <v>742</v>
      </c>
      <c r="K38" s="14">
        <v>223.58</v>
      </c>
      <c r="L38" s="14">
        <v>4878.6400000000003</v>
      </c>
      <c r="M38" s="14">
        <v>1345.9892898800001</v>
      </c>
      <c r="N38" s="14">
        <v>3532.65071012</v>
      </c>
      <c r="O38" s="17" t="e">
        <f t="shared" si="3"/>
        <v>#DIV/0!</v>
      </c>
      <c r="P38" s="17" t="e">
        <f t="shared" si="4"/>
        <v>#DIV/0!</v>
      </c>
      <c r="Q38" s="17" t="e">
        <f t="shared" si="5"/>
        <v>#DIV/0!</v>
      </c>
    </row>
    <row r="39" spans="1:17" x14ac:dyDescent="0.25">
      <c r="F39" s="14"/>
      <c r="G39" s="14"/>
      <c r="J39" s="12" t="s">
        <v>590</v>
      </c>
      <c r="K39" s="14">
        <v>82.5</v>
      </c>
      <c r="L39" s="14">
        <v>4055.51</v>
      </c>
      <c r="M39" s="14">
        <v>745.809076</v>
      </c>
      <c r="N39" s="14">
        <v>3309.7009239999998</v>
      </c>
      <c r="O39" s="17" t="e">
        <f t="shared" si="3"/>
        <v>#DIV/0!</v>
      </c>
      <c r="P39" s="17" t="e">
        <f t="shared" si="4"/>
        <v>#DIV/0!</v>
      </c>
      <c r="Q39" s="17" t="e">
        <f t="shared" si="5"/>
        <v>#DIV/0!</v>
      </c>
    </row>
    <row r="40" spans="1:17" x14ac:dyDescent="0.25">
      <c r="F40" s="14"/>
      <c r="J40" s="12" t="s">
        <v>696</v>
      </c>
      <c r="K40" s="14">
        <v>151.19999999999999</v>
      </c>
      <c r="L40" s="14">
        <v>4043.75</v>
      </c>
      <c r="M40" s="14">
        <v>755.79404579999994</v>
      </c>
      <c r="N40" s="14">
        <v>3287.9559542000002</v>
      </c>
      <c r="O40" s="17" t="e">
        <f t="shared" si="3"/>
        <v>#DIV/0!</v>
      </c>
      <c r="P40" s="17" t="e">
        <f t="shared" si="4"/>
        <v>#DIV/0!</v>
      </c>
      <c r="Q40" s="17" t="e">
        <f t="shared" si="5"/>
        <v>#DIV/0!</v>
      </c>
    </row>
    <row r="41" spans="1:17" x14ac:dyDescent="0.25">
      <c r="F41" s="14"/>
      <c r="J41" s="12" t="s">
        <v>500</v>
      </c>
      <c r="K41" s="14">
        <v>38.15</v>
      </c>
      <c r="L41" s="14">
        <v>3507.4</v>
      </c>
      <c r="M41" s="14">
        <v>293.74508500000002</v>
      </c>
      <c r="N41" s="14">
        <v>3213.6549149999996</v>
      </c>
      <c r="O41" s="17" t="e">
        <f t="shared" si="3"/>
        <v>#DIV/0!</v>
      </c>
      <c r="P41" s="17" t="e">
        <f t="shared" si="4"/>
        <v>#DIV/0!</v>
      </c>
      <c r="Q41" s="17" t="e">
        <f t="shared" si="5"/>
        <v>#DIV/0!</v>
      </c>
    </row>
    <row r="42" spans="1:17" x14ac:dyDescent="0.25">
      <c r="F42" s="14"/>
      <c r="J42" s="12" t="s">
        <v>806</v>
      </c>
      <c r="K42" s="14">
        <v>149.19999999999999</v>
      </c>
      <c r="L42" s="14">
        <v>3678.6099999999997</v>
      </c>
      <c r="M42" s="14">
        <v>524.25804180000011</v>
      </c>
      <c r="N42" s="14">
        <v>3154.3519581999999</v>
      </c>
      <c r="O42" s="34" t="e">
        <f t="shared" si="3"/>
        <v>#DIV/0!</v>
      </c>
      <c r="P42" s="17" t="e">
        <f t="shared" si="4"/>
        <v>#DIV/0!</v>
      </c>
      <c r="Q42" s="17" t="e">
        <f t="shared" si="5"/>
        <v>#DIV/0!</v>
      </c>
    </row>
    <row r="43" spans="1:17" x14ac:dyDescent="0.25">
      <c r="F43" s="14"/>
      <c r="J43" s="12" t="s">
        <v>421</v>
      </c>
      <c r="K43" s="14">
        <v>168.62</v>
      </c>
      <c r="L43" s="14">
        <v>3961.62</v>
      </c>
      <c r="M43" s="14">
        <v>982.23510113999998</v>
      </c>
      <c r="N43" s="14">
        <v>2979.3848988599998</v>
      </c>
      <c r="O43" s="34" t="e">
        <f t="shared" si="3"/>
        <v>#DIV/0!</v>
      </c>
      <c r="P43" s="17" t="e">
        <f t="shared" si="4"/>
        <v>#DIV/0!</v>
      </c>
      <c r="Q43" s="17" t="e">
        <f t="shared" si="5"/>
        <v>#DIV/0!</v>
      </c>
    </row>
    <row r="44" spans="1:17" x14ac:dyDescent="0.25">
      <c r="F44" s="14"/>
      <c r="J44" s="12" t="s">
        <v>523</v>
      </c>
      <c r="K44" s="14">
        <v>38.15</v>
      </c>
      <c r="L44" s="14">
        <v>2779.13</v>
      </c>
      <c r="M44" s="14">
        <v>376.79452200000003</v>
      </c>
      <c r="N44" s="14">
        <v>2402.335478</v>
      </c>
      <c r="O44" s="34" t="e">
        <f t="shared" si="3"/>
        <v>#DIV/0!</v>
      </c>
      <c r="P44" s="17" t="e">
        <f t="shared" si="4"/>
        <v>#DIV/0!</v>
      </c>
      <c r="Q44" s="17" t="e">
        <f t="shared" si="5"/>
        <v>#DIV/0!</v>
      </c>
    </row>
    <row r="45" spans="1:17" x14ac:dyDescent="0.25">
      <c r="F45" s="14"/>
      <c r="J45" s="12" t="s">
        <v>1300</v>
      </c>
      <c r="K45" s="14">
        <v>125.29999999999998</v>
      </c>
      <c r="L45" s="14">
        <v>2931.1400000000003</v>
      </c>
      <c r="M45" s="14">
        <v>533.53884779999998</v>
      </c>
      <c r="N45" s="14">
        <v>2397.6011521999999</v>
      </c>
      <c r="O45" s="34" t="e">
        <f t="shared" si="3"/>
        <v>#DIV/0!</v>
      </c>
      <c r="P45" s="17" t="e">
        <f t="shared" si="4"/>
        <v>#DIV/0!</v>
      </c>
      <c r="Q45" s="17" t="e">
        <f t="shared" si="5"/>
        <v>#DIV/0!</v>
      </c>
    </row>
    <row r="46" spans="1:17" x14ac:dyDescent="0.25">
      <c r="F46" s="14"/>
      <c r="J46" s="12" t="s">
        <v>1095</v>
      </c>
      <c r="K46" s="14">
        <v>88.05</v>
      </c>
      <c r="L46" s="14">
        <v>2755.4</v>
      </c>
      <c r="M46" s="14">
        <v>376.23734959000001</v>
      </c>
      <c r="N46" s="14">
        <v>2379.16265041</v>
      </c>
      <c r="O46" s="34" t="e">
        <f t="shared" si="3"/>
        <v>#DIV/0!</v>
      </c>
      <c r="P46" s="34" t="e">
        <f t="shared" si="4"/>
        <v>#DIV/0!</v>
      </c>
      <c r="Q46" s="17" t="e">
        <f t="shared" si="5"/>
        <v>#DIV/0!</v>
      </c>
    </row>
    <row r="47" spans="1:17" x14ac:dyDescent="0.25">
      <c r="F47" s="14"/>
      <c r="J47" s="12" t="s">
        <v>689</v>
      </c>
      <c r="K47" s="14">
        <v>102.2</v>
      </c>
      <c r="L47" s="14">
        <v>2438.3199999999997</v>
      </c>
      <c r="M47" s="14">
        <v>120.69068899999999</v>
      </c>
      <c r="N47" s="14">
        <v>2317.6293110000001</v>
      </c>
      <c r="O47" s="34" t="e">
        <f t="shared" si="3"/>
        <v>#DIV/0!</v>
      </c>
      <c r="P47" s="34" t="e">
        <f t="shared" si="4"/>
        <v>#DIV/0!</v>
      </c>
      <c r="Q47" s="15" t="e">
        <f t="shared" si="5"/>
        <v>#DIV/0!</v>
      </c>
    </row>
    <row r="48" spans="1:17" x14ac:dyDescent="0.25">
      <c r="F48" s="14"/>
      <c r="J48" s="12" t="s">
        <v>904</v>
      </c>
      <c r="K48" s="14">
        <v>81.900000000000006</v>
      </c>
      <c r="L48" s="14">
        <v>2557.0100000000002</v>
      </c>
      <c r="M48" s="14">
        <v>346.04232699999994</v>
      </c>
      <c r="N48" s="14">
        <v>2210.9676730000001</v>
      </c>
      <c r="O48" s="34" t="e">
        <f t="shared" si="3"/>
        <v>#DIV/0!</v>
      </c>
      <c r="P48" s="34" t="e">
        <f t="shared" si="4"/>
        <v>#DIV/0!</v>
      </c>
      <c r="Q48" s="15" t="e">
        <f t="shared" si="5"/>
        <v>#DIV/0!</v>
      </c>
    </row>
    <row r="49" spans="6:17" x14ac:dyDescent="0.25">
      <c r="F49" s="14"/>
      <c r="J49" s="12" t="s">
        <v>1161</v>
      </c>
      <c r="K49" s="14">
        <v>22.5</v>
      </c>
      <c r="L49" s="14">
        <v>2367.71</v>
      </c>
      <c r="M49" s="14">
        <v>223.88451000000001</v>
      </c>
      <c r="N49" s="14">
        <v>2143.8254899999997</v>
      </c>
      <c r="O49" s="34" t="e">
        <f t="shared" si="3"/>
        <v>#DIV/0!</v>
      </c>
      <c r="P49" s="34" t="e">
        <f t="shared" si="4"/>
        <v>#DIV/0!</v>
      </c>
      <c r="Q49" s="15" t="e">
        <f t="shared" si="5"/>
        <v>#DIV/0!</v>
      </c>
    </row>
    <row r="50" spans="6:17" x14ac:dyDescent="0.25">
      <c r="F50" s="14"/>
      <c r="J50" s="12" t="s">
        <v>1257</v>
      </c>
      <c r="K50" s="14">
        <v>77.839999999999989</v>
      </c>
      <c r="L50" s="14">
        <v>2775.16</v>
      </c>
      <c r="M50" s="14">
        <v>671.16457544000002</v>
      </c>
      <c r="N50" s="14">
        <v>2103.9954245600002</v>
      </c>
      <c r="O50" s="34" t="e">
        <f t="shared" si="3"/>
        <v>#DIV/0!</v>
      </c>
      <c r="P50" s="34" t="e">
        <f t="shared" si="4"/>
        <v>#DIV/0!</v>
      </c>
      <c r="Q50" s="15" t="e">
        <f t="shared" si="5"/>
        <v>#DIV/0!</v>
      </c>
    </row>
    <row r="51" spans="6:17" x14ac:dyDescent="0.25">
      <c r="F51" s="14"/>
      <c r="J51" s="12" t="s">
        <v>1141</v>
      </c>
      <c r="K51" s="14">
        <v>83.580000000000013</v>
      </c>
      <c r="L51" s="14">
        <v>2838.1600000000003</v>
      </c>
      <c r="M51" s="14">
        <v>740.44132790999993</v>
      </c>
      <c r="N51" s="14">
        <v>2097.7186720899999</v>
      </c>
      <c r="O51" s="34" t="e">
        <f t="shared" si="3"/>
        <v>#DIV/0!</v>
      </c>
      <c r="P51" s="34" t="e">
        <f t="shared" si="4"/>
        <v>#DIV/0!</v>
      </c>
      <c r="Q51" s="15" t="e">
        <f t="shared" si="5"/>
        <v>#DIV/0!</v>
      </c>
    </row>
    <row r="52" spans="6:17" x14ac:dyDescent="0.25">
      <c r="F52" s="14"/>
      <c r="J52" s="12" t="s">
        <v>1134</v>
      </c>
      <c r="K52" s="14">
        <v>79.050000000000026</v>
      </c>
      <c r="L52" s="14">
        <v>2666.98</v>
      </c>
      <c r="M52" s="14">
        <v>588.56118339</v>
      </c>
      <c r="N52" s="14">
        <v>2078.4188166100002</v>
      </c>
      <c r="O52" s="34" t="e">
        <f t="shared" si="3"/>
        <v>#DIV/0!</v>
      </c>
      <c r="P52" s="34" t="e">
        <f t="shared" si="4"/>
        <v>#DIV/0!</v>
      </c>
      <c r="Q52" s="15" t="e">
        <f t="shared" si="5"/>
        <v>#DIV/0!</v>
      </c>
    </row>
    <row r="53" spans="6:17" x14ac:dyDescent="0.25">
      <c r="F53" s="14"/>
      <c r="J53" s="12" t="s">
        <v>567</v>
      </c>
      <c r="K53" s="14">
        <v>10.946999999999999</v>
      </c>
      <c r="L53" s="14">
        <v>2241.16</v>
      </c>
      <c r="M53" s="14">
        <v>216.60589099999999</v>
      </c>
      <c r="N53" s="14">
        <v>2024.5541089999997</v>
      </c>
      <c r="O53" s="34" t="e">
        <f t="shared" si="3"/>
        <v>#DIV/0!</v>
      </c>
      <c r="P53" s="34" t="e">
        <f t="shared" si="4"/>
        <v>#DIV/0!</v>
      </c>
      <c r="Q53" s="15" t="e">
        <f t="shared" si="5"/>
        <v>#DIV/0!</v>
      </c>
    </row>
    <row r="54" spans="6:17" x14ac:dyDescent="0.25">
      <c r="F54" s="14"/>
      <c r="J54" s="12" t="s">
        <v>1238</v>
      </c>
      <c r="K54" s="14">
        <v>66</v>
      </c>
      <c r="L54" s="14">
        <v>2164.87</v>
      </c>
      <c r="M54" s="14">
        <v>210.973085</v>
      </c>
      <c r="N54" s="14">
        <v>1953.896915</v>
      </c>
      <c r="O54" s="34" t="e">
        <f t="shared" si="3"/>
        <v>#DIV/0!</v>
      </c>
      <c r="P54" s="34" t="e">
        <f t="shared" si="4"/>
        <v>#DIV/0!</v>
      </c>
      <c r="Q54" s="15" t="e">
        <f t="shared" si="5"/>
        <v>#DIV/0!</v>
      </c>
    </row>
    <row r="55" spans="6:17" x14ac:dyDescent="0.25">
      <c r="F55" s="14"/>
      <c r="J55" s="12" t="s">
        <v>761</v>
      </c>
      <c r="K55" s="14">
        <v>81.900000000000006</v>
      </c>
      <c r="L55" s="14">
        <v>2048.31</v>
      </c>
      <c r="M55" s="14">
        <v>178.08465839999997</v>
      </c>
      <c r="N55" s="14">
        <v>1870.2253416000001</v>
      </c>
      <c r="O55" s="34" t="e">
        <f t="shared" si="3"/>
        <v>#DIV/0!</v>
      </c>
      <c r="P55" s="34" t="e">
        <f t="shared" si="4"/>
        <v>#DIV/0!</v>
      </c>
      <c r="Q55" s="15" t="e">
        <f t="shared" si="5"/>
        <v>#DIV/0!</v>
      </c>
    </row>
    <row r="56" spans="6:17" x14ac:dyDescent="0.25">
      <c r="F56" s="14"/>
      <c r="J56" s="12" t="s">
        <v>1016</v>
      </c>
      <c r="K56" s="14">
        <v>66.3</v>
      </c>
      <c r="L56" s="14">
        <v>2390.58</v>
      </c>
      <c r="M56" s="14">
        <v>563.02894690000005</v>
      </c>
      <c r="N56" s="14">
        <v>1827.5510531</v>
      </c>
      <c r="O56" s="34" t="e">
        <f t="shared" si="3"/>
        <v>#DIV/0!</v>
      </c>
      <c r="P56" s="34" t="e">
        <f t="shared" si="4"/>
        <v>#DIV/0!</v>
      </c>
      <c r="Q56" s="15" t="e">
        <f t="shared" si="5"/>
        <v>#DIV/0!</v>
      </c>
    </row>
    <row r="57" spans="6:17" x14ac:dyDescent="0.25">
      <c r="F57" s="14"/>
      <c r="J57" s="12" t="s">
        <v>694</v>
      </c>
      <c r="K57" s="14">
        <v>56</v>
      </c>
      <c r="L57" s="14">
        <v>1632.96</v>
      </c>
      <c r="M57" s="14">
        <v>0</v>
      </c>
      <c r="N57" s="14">
        <v>1632.96</v>
      </c>
      <c r="O57" s="34" t="e">
        <f t="shared" si="3"/>
        <v>#DIV/0!</v>
      </c>
      <c r="P57" s="34" t="e">
        <f t="shared" si="4"/>
        <v>#DIV/0!</v>
      </c>
      <c r="Q57" s="15" t="e">
        <f t="shared" si="5"/>
        <v>#DIV/0!</v>
      </c>
    </row>
    <row r="58" spans="6:17" x14ac:dyDescent="0.25">
      <c r="F58" s="14"/>
      <c r="J58" s="12" t="s">
        <v>901</v>
      </c>
      <c r="K58" s="14">
        <v>46.28</v>
      </c>
      <c r="L58" s="14">
        <v>1936.4</v>
      </c>
      <c r="M58" s="14">
        <v>306.10714044000002</v>
      </c>
      <c r="N58" s="14">
        <v>1630.2928595600001</v>
      </c>
      <c r="O58" s="34" t="e">
        <f t="shared" si="3"/>
        <v>#DIV/0!</v>
      </c>
      <c r="P58" s="34" t="e">
        <f t="shared" si="4"/>
        <v>#DIV/0!</v>
      </c>
      <c r="Q58" s="15" t="e">
        <f t="shared" si="5"/>
        <v>#DIV/0!</v>
      </c>
    </row>
    <row r="59" spans="6:17" x14ac:dyDescent="0.25">
      <c r="F59" s="14"/>
      <c r="J59" s="12" t="s">
        <v>775</v>
      </c>
      <c r="K59" s="14">
        <v>97.3</v>
      </c>
      <c r="L59" s="14">
        <v>2026.3099999999997</v>
      </c>
      <c r="M59" s="14">
        <v>418.65196859999998</v>
      </c>
      <c r="N59" s="14">
        <v>1607.6580314</v>
      </c>
      <c r="O59" s="34" t="e">
        <f t="shared" si="3"/>
        <v>#DIV/0!</v>
      </c>
      <c r="P59" s="34" t="e">
        <f t="shared" si="4"/>
        <v>#DIV/0!</v>
      </c>
      <c r="Q59" s="15" t="e">
        <f t="shared" si="5"/>
        <v>#DIV/0!</v>
      </c>
    </row>
    <row r="60" spans="6:17" x14ac:dyDescent="0.25">
      <c r="F60" s="14"/>
      <c r="J60" s="12" t="s">
        <v>692</v>
      </c>
      <c r="K60" s="14">
        <v>82</v>
      </c>
      <c r="L60" s="14">
        <v>1969.9700000000003</v>
      </c>
      <c r="M60" s="14">
        <v>426.91461700000002</v>
      </c>
      <c r="N60" s="14">
        <v>1543.0553830000003</v>
      </c>
      <c r="O60" s="34" t="e">
        <f t="shared" si="3"/>
        <v>#DIV/0!</v>
      </c>
      <c r="P60" s="34" t="e">
        <f t="shared" si="4"/>
        <v>#DIV/0!</v>
      </c>
      <c r="Q60" s="15" t="e">
        <f t="shared" si="5"/>
        <v>#DIV/0!</v>
      </c>
    </row>
    <row r="61" spans="6:17" x14ac:dyDescent="0.25">
      <c r="F61" s="14"/>
      <c r="J61" s="12" t="s">
        <v>683</v>
      </c>
      <c r="K61" s="14">
        <v>86</v>
      </c>
      <c r="L61" s="14">
        <v>2036.9599999999998</v>
      </c>
      <c r="M61" s="14">
        <v>525.35117600000001</v>
      </c>
      <c r="N61" s="14">
        <v>1511.6088239999999</v>
      </c>
      <c r="O61" s="34" t="e">
        <f t="shared" si="3"/>
        <v>#DIV/0!</v>
      </c>
      <c r="P61" s="34" t="e">
        <f t="shared" si="4"/>
        <v>#DIV/0!</v>
      </c>
      <c r="Q61" s="15" t="e">
        <f t="shared" si="5"/>
        <v>#DIV/0!</v>
      </c>
    </row>
    <row r="62" spans="6:17" x14ac:dyDescent="0.25">
      <c r="F62" s="14"/>
      <c r="J62" s="12" t="s">
        <v>406</v>
      </c>
      <c r="K62" s="14">
        <v>61.92</v>
      </c>
      <c r="L62" s="14">
        <v>1846.21</v>
      </c>
      <c r="M62" s="14">
        <v>352.86717792000002</v>
      </c>
      <c r="N62" s="14">
        <v>1493.3428220799999</v>
      </c>
      <c r="O62" s="34" t="e">
        <f t="shared" si="3"/>
        <v>#DIV/0!</v>
      </c>
      <c r="P62" s="34" t="e">
        <f t="shared" si="4"/>
        <v>#DIV/0!</v>
      </c>
      <c r="Q62" s="15" t="e">
        <f t="shared" si="5"/>
        <v>#DIV/0!</v>
      </c>
    </row>
    <row r="63" spans="6:17" x14ac:dyDescent="0.25">
      <c r="F63" s="14"/>
      <c r="J63" s="12" t="s">
        <v>570</v>
      </c>
      <c r="K63" s="14">
        <v>11.685000000000002</v>
      </c>
      <c r="L63" s="14">
        <v>1706.7900000000002</v>
      </c>
      <c r="M63" s="14">
        <v>214.17378299999993</v>
      </c>
      <c r="N63" s="14">
        <v>1492.6162170000002</v>
      </c>
      <c r="O63" s="34" t="e">
        <f t="shared" si="3"/>
        <v>#DIV/0!</v>
      </c>
      <c r="P63" s="34" t="e">
        <f t="shared" si="4"/>
        <v>#DIV/0!</v>
      </c>
      <c r="Q63" s="15" t="e">
        <f t="shared" si="5"/>
        <v>#DIV/0!</v>
      </c>
    </row>
    <row r="64" spans="6:17" x14ac:dyDescent="0.25">
      <c r="F64" s="14"/>
      <c r="J64" s="12" t="s">
        <v>556</v>
      </c>
      <c r="K64" s="14">
        <v>13.125</v>
      </c>
      <c r="L64" s="14">
        <v>1723.75</v>
      </c>
      <c r="M64" s="14">
        <v>232.31100499999999</v>
      </c>
      <c r="N64" s="14">
        <v>1491.438995</v>
      </c>
      <c r="O64" s="34" t="e">
        <f t="shared" si="3"/>
        <v>#DIV/0!</v>
      </c>
      <c r="P64" s="34" t="e">
        <f t="shared" si="4"/>
        <v>#DIV/0!</v>
      </c>
      <c r="Q64" s="15" t="e">
        <f t="shared" si="5"/>
        <v>#DIV/0!</v>
      </c>
    </row>
    <row r="65" spans="6:17" x14ac:dyDescent="0.25">
      <c r="F65" s="14"/>
      <c r="J65" s="12" t="s">
        <v>695</v>
      </c>
      <c r="K65" s="14">
        <v>70</v>
      </c>
      <c r="L65" s="14">
        <v>2404.5</v>
      </c>
      <c r="M65" s="14">
        <v>923.31371999999999</v>
      </c>
      <c r="N65" s="14">
        <v>1481.1862799999999</v>
      </c>
      <c r="O65" s="34" t="e">
        <f t="shared" si="3"/>
        <v>#DIV/0!</v>
      </c>
      <c r="P65" s="34" t="e">
        <f t="shared" si="4"/>
        <v>#DIV/0!</v>
      </c>
      <c r="Q65" s="15" t="e">
        <f t="shared" si="5"/>
        <v>#DIV/0!</v>
      </c>
    </row>
    <row r="66" spans="6:17" x14ac:dyDescent="0.25">
      <c r="F66" s="14"/>
      <c r="J66" s="12" t="s">
        <v>1154</v>
      </c>
      <c r="K66" s="14">
        <v>11.55</v>
      </c>
      <c r="L66" s="14">
        <v>1590.17</v>
      </c>
      <c r="M66" s="14">
        <v>138.53264000000001</v>
      </c>
      <c r="N66" s="14">
        <v>1451.6373599999999</v>
      </c>
      <c r="O66" s="34" t="e">
        <f t="shared" si="3"/>
        <v>#DIV/0!</v>
      </c>
      <c r="P66" s="34" t="e">
        <f t="shared" si="4"/>
        <v>#DIV/0!</v>
      </c>
      <c r="Q66" s="15" t="e">
        <f t="shared" si="5"/>
        <v>#DIV/0!</v>
      </c>
    </row>
    <row r="67" spans="6:17" x14ac:dyDescent="0.25">
      <c r="J67" s="12" t="s">
        <v>952</v>
      </c>
      <c r="K67" s="14">
        <v>59</v>
      </c>
      <c r="L67" s="14">
        <v>1605.7500000000002</v>
      </c>
      <c r="M67" s="14">
        <v>168.66483400000001</v>
      </c>
      <c r="N67" s="14">
        <v>1437.0851660000001</v>
      </c>
      <c r="O67" s="34" t="e">
        <f t="shared" si="3"/>
        <v>#DIV/0!</v>
      </c>
      <c r="P67" s="34" t="e">
        <f t="shared" si="4"/>
        <v>#DIV/0!</v>
      </c>
      <c r="Q67" s="15" t="e">
        <f t="shared" si="5"/>
        <v>#DIV/0!</v>
      </c>
    </row>
    <row r="68" spans="6:17" x14ac:dyDescent="0.25">
      <c r="J68" s="12" t="s">
        <v>1223</v>
      </c>
      <c r="K68" s="14">
        <v>37.5</v>
      </c>
      <c r="L68" s="14">
        <v>1685.6</v>
      </c>
      <c r="M68" s="14">
        <v>283.125</v>
      </c>
      <c r="N68" s="14">
        <v>1402.4749999999999</v>
      </c>
      <c r="O68" s="34" t="e">
        <f t="shared" si="3"/>
        <v>#DIV/0!</v>
      </c>
      <c r="P68" s="34" t="e">
        <f t="shared" si="4"/>
        <v>#DIV/0!</v>
      </c>
      <c r="Q68" s="15" t="e">
        <f t="shared" si="5"/>
        <v>#DIV/0!</v>
      </c>
    </row>
    <row r="69" spans="6:17" x14ac:dyDescent="0.25">
      <c r="J69" s="12" t="s">
        <v>736</v>
      </c>
      <c r="K69" s="14">
        <v>25.2</v>
      </c>
      <c r="L69" s="14">
        <v>1566</v>
      </c>
      <c r="M69" s="14">
        <v>165.42000000000002</v>
      </c>
      <c r="N69" s="14">
        <v>1400.58</v>
      </c>
      <c r="O69" s="34" t="e">
        <f t="shared" ref="O69:O132" si="8">+K69/$K$156</f>
        <v>#DIV/0!</v>
      </c>
      <c r="P69" s="34" t="e">
        <f t="shared" ref="P69:P132" si="9">+L69/$L$156</f>
        <v>#DIV/0!</v>
      </c>
      <c r="Q69" s="15" t="e">
        <f t="shared" ref="Q69:Q132" si="10">N69/$N$156</f>
        <v>#DIV/0!</v>
      </c>
    </row>
    <row r="70" spans="6:17" x14ac:dyDescent="0.25">
      <c r="J70" s="12" t="s">
        <v>1217</v>
      </c>
      <c r="K70" s="14">
        <v>41</v>
      </c>
      <c r="L70" s="14">
        <v>1605.6200000000001</v>
      </c>
      <c r="M70" s="14">
        <v>240.78413700000002</v>
      </c>
      <c r="N70" s="14">
        <v>1364.8358629999998</v>
      </c>
      <c r="O70" s="34" t="e">
        <f t="shared" si="8"/>
        <v>#DIV/0!</v>
      </c>
      <c r="P70" s="34" t="e">
        <f t="shared" si="9"/>
        <v>#DIV/0!</v>
      </c>
      <c r="Q70" s="15" t="e">
        <f t="shared" si="10"/>
        <v>#DIV/0!</v>
      </c>
    </row>
    <row r="71" spans="6:17" x14ac:dyDescent="0.25">
      <c r="J71" s="12" t="s">
        <v>1039</v>
      </c>
      <c r="K71" s="14">
        <v>69</v>
      </c>
      <c r="L71" s="14">
        <v>1809.0500000000002</v>
      </c>
      <c r="M71" s="14">
        <v>445.74747499999995</v>
      </c>
      <c r="N71" s="14">
        <v>1363.3025250000001</v>
      </c>
      <c r="O71" s="34" t="e">
        <f t="shared" si="8"/>
        <v>#DIV/0!</v>
      </c>
      <c r="P71" s="34" t="e">
        <f t="shared" si="9"/>
        <v>#DIV/0!</v>
      </c>
      <c r="Q71" s="15" t="e">
        <f t="shared" si="10"/>
        <v>#DIV/0!</v>
      </c>
    </row>
    <row r="72" spans="6:17" x14ac:dyDescent="0.25">
      <c r="J72" s="12" t="s">
        <v>974</v>
      </c>
      <c r="K72" s="14">
        <v>42</v>
      </c>
      <c r="L72" s="14">
        <v>1635.43</v>
      </c>
      <c r="M72" s="14">
        <v>307.615475</v>
      </c>
      <c r="N72" s="14">
        <v>1327.8145250000002</v>
      </c>
      <c r="O72" s="34" t="e">
        <f t="shared" si="8"/>
        <v>#DIV/0!</v>
      </c>
      <c r="P72" s="34" t="e">
        <f t="shared" si="9"/>
        <v>#DIV/0!</v>
      </c>
      <c r="Q72" s="15" t="e">
        <f t="shared" si="10"/>
        <v>#DIV/0!</v>
      </c>
    </row>
    <row r="73" spans="6:17" x14ac:dyDescent="0.25">
      <c r="J73" s="12" t="s">
        <v>1066</v>
      </c>
      <c r="K73" s="14">
        <v>34.6</v>
      </c>
      <c r="L73" s="14">
        <v>1445.46</v>
      </c>
      <c r="M73" s="14">
        <v>168.85850099999999</v>
      </c>
      <c r="N73" s="14">
        <v>1276.6014990000001</v>
      </c>
      <c r="O73" s="34" t="e">
        <f t="shared" si="8"/>
        <v>#DIV/0!</v>
      </c>
      <c r="P73" s="34" t="e">
        <f t="shared" si="9"/>
        <v>#DIV/0!</v>
      </c>
      <c r="Q73" s="15" t="e">
        <f t="shared" si="10"/>
        <v>#DIV/0!</v>
      </c>
    </row>
    <row r="74" spans="6:17" x14ac:dyDescent="0.25">
      <c r="J74" s="12" t="s">
        <v>902</v>
      </c>
      <c r="K74" s="14">
        <v>33.54</v>
      </c>
      <c r="L74" s="14">
        <v>1403.58</v>
      </c>
      <c r="M74" s="14">
        <v>190.31153968000001</v>
      </c>
      <c r="N74" s="14">
        <v>1213.2684603199998</v>
      </c>
      <c r="O74" s="34" t="e">
        <f t="shared" si="8"/>
        <v>#DIV/0!</v>
      </c>
      <c r="P74" s="34" t="e">
        <f t="shared" si="9"/>
        <v>#DIV/0!</v>
      </c>
      <c r="Q74" s="15" t="e">
        <f t="shared" si="10"/>
        <v>#DIV/0!</v>
      </c>
    </row>
    <row r="75" spans="6:17" x14ac:dyDescent="0.25">
      <c r="J75" s="12" t="s">
        <v>576</v>
      </c>
      <c r="K75" s="14">
        <v>31</v>
      </c>
      <c r="L75" s="14">
        <v>1410.5</v>
      </c>
      <c r="M75" s="14">
        <v>208.21685599999998</v>
      </c>
      <c r="N75" s="14">
        <v>1202.283144</v>
      </c>
      <c r="O75" s="34" t="e">
        <f t="shared" si="8"/>
        <v>#DIV/0!</v>
      </c>
      <c r="P75" s="34" t="e">
        <f t="shared" si="9"/>
        <v>#DIV/0!</v>
      </c>
      <c r="Q75" s="15" t="e">
        <f t="shared" si="10"/>
        <v>#DIV/0!</v>
      </c>
    </row>
    <row r="76" spans="6:17" x14ac:dyDescent="0.25">
      <c r="J76" s="12" t="s">
        <v>1059</v>
      </c>
      <c r="K76" s="14">
        <v>64.53</v>
      </c>
      <c r="L76" s="14">
        <v>1502.62</v>
      </c>
      <c r="M76" s="14">
        <v>315.47726908999999</v>
      </c>
      <c r="N76" s="14">
        <v>1187.14273091</v>
      </c>
      <c r="O76" s="34" t="e">
        <f t="shared" si="8"/>
        <v>#DIV/0!</v>
      </c>
      <c r="P76" s="34" t="e">
        <f t="shared" si="9"/>
        <v>#DIV/0!</v>
      </c>
      <c r="Q76" s="15" t="e">
        <f t="shared" si="10"/>
        <v>#DIV/0!</v>
      </c>
    </row>
    <row r="77" spans="6:17" x14ac:dyDescent="0.25">
      <c r="J77" s="12" t="s">
        <v>1241</v>
      </c>
      <c r="K77" s="14">
        <v>29.28</v>
      </c>
      <c r="L77" s="14">
        <v>1362.99</v>
      </c>
      <c r="M77" s="14">
        <v>185.41724207999999</v>
      </c>
      <c r="N77" s="14">
        <v>1177.5727579200002</v>
      </c>
      <c r="O77" s="34" t="e">
        <f t="shared" si="8"/>
        <v>#DIV/0!</v>
      </c>
      <c r="P77" s="34" t="e">
        <f t="shared" si="9"/>
        <v>#DIV/0!</v>
      </c>
      <c r="Q77" s="15" t="e">
        <f t="shared" si="10"/>
        <v>#DIV/0!</v>
      </c>
    </row>
    <row r="78" spans="6:17" x14ac:dyDescent="0.25">
      <c r="J78" s="12" t="s">
        <v>1268</v>
      </c>
      <c r="K78" s="14">
        <v>50.519999999999996</v>
      </c>
      <c r="L78" s="14">
        <v>1581.28</v>
      </c>
      <c r="M78" s="14">
        <v>420.61507552</v>
      </c>
      <c r="N78" s="14">
        <v>1160.6649244800001</v>
      </c>
      <c r="O78" s="34" t="e">
        <f t="shared" si="8"/>
        <v>#DIV/0!</v>
      </c>
      <c r="P78" s="34" t="e">
        <f t="shared" si="9"/>
        <v>#DIV/0!</v>
      </c>
      <c r="Q78" s="15" t="e">
        <f t="shared" si="10"/>
        <v>#DIV/0!</v>
      </c>
    </row>
    <row r="79" spans="6:17" x14ac:dyDescent="0.25">
      <c r="J79" s="12" t="s">
        <v>822</v>
      </c>
      <c r="K79" s="14">
        <v>74.250000000000014</v>
      </c>
      <c r="L79" s="14">
        <v>1510.0199999999998</v>
      </c>
      <c r="M79" s="14">
        <v>358.64898299999999</v>
      </c>
      <c r="N79" s="14">
        <v>1151.3710169999999</v>
      </c>
      <c r="O79" s="34" t="e">
        <f t="shared" si="8"/>
        <v>#DIV/0!</v>
      </c>
      <c r="P79" s="34" t="e">
        <f t="shared" si="9"/>
        <v>#DIV/0!</v>
      </c>
      <c r="Q79" s="15" t="e">
        <f t="shared" si="10"/>
        <v>#DIV/0!</v>
      </c>
    </row>
    <row r="80" spans="6:17" x14ac:dyDescent="0.25">
      <c r="J80" s="12" t="s">
        <v>497</v>
      </c>
      <c r="K80" s="14">
        <v>44.1</v>
      </c>
      <c r="L80" s="14">
        <v>1636.55</v>
      </c>
      <c r="M80" s="14">
        <v>487.14099210000001</v>
      </c>
      <c r="N80" s="14">
        <v>1149.4090079</v>
      </c>
      <c r="O80" s="34" t="e">
        <f t="shared" si="8"/>
        <v>#DIV/0!</v>
      </c>
      <c r="P80" s="34" t="e">
        <f t="shared" si="9"/>
        <v>#DIV/0!</v>
      </c>
      <c r="Q80" s="15" t="e">
        <f t="shared" si="10"/>
        <v>#DIV/0!</v>
      </c>
    </row>
    <row r="81" spans="10:17" x14ac:dyDescent="0.25">
      <c r="J81" s="12" t="s">
        <v>559</v>
      </c>
      <c r="K81" s="14">
        <v>9.2749999999999986</v>
      </c>
      <c r="L81" s="14">
        <v>1205.75</v>
      </c>
      <c r="M81" s="14">
        <v>96.998427000000007</v>
      </c>
      <c r="N81" s="14">
        <v>1108.751573</v>
      </c>
      <c r="O81" s="34" t="e">
        <f t="shared" si="8"/>
        <v>#DIV/0!</v>
      </c>
      <c r="P81" s="34" t="e">
        <f t="shared" si="9"/>
        <v>#DIV/0!</v>
      </c>
      <c r="Q81" s="15" t="e">
        <f t="shared" si="10"/>
        <v>#DIV/0!</v>
      </c>
    </row>
    <row r="82" spans="10:17" x14ac:dyDescent="0.25">
      <c r="J82" s="12" t="s">
        <v>1057</v>
      </c>
      <c r="K82" s="14">
        <v>51.48</v>
      </c>
      <c r="L82" s="14">
        <v>1410.97</v>
      </c>
      <c r="M82" s="14">
        <v>306.30599999999998</v>
      </c>
      <c r="N82" s="14">
        <v>1104.664</v>
      </c>
      <c r="O82" s="34" t="e">
        <f t="shared" si="8"/>
        <v>#DIV/0!</v>
      </c>
      <c r="P82" s="34" t="e">
        <f t="shared" si="9"/>
        <v>#DIV/0!</v>
      </c>
      <c r="Q82" s="15" t="e">
        <f t="shared" si="10"/>
        <v>#DIV/0!</v>
      </c>
    </row>
    <row r="83" spans="10:17" x14ac:dyDescent="0.25">
      <c r="J83" s="12" t="s">
        <v>1158</v>
      </c>
      <c r="K83" s="14">
        <v>11.5</v>
      </c>
      <c r="L83" s="14">
        <v>1188.82</v>
      </c>
      <c r="M83" s="14">
        <v>89.846000000000004</v>
      </c>
      <c r="N83" s="14">
        <v>1098.9739999999999</v>
      </c>
      <c r="O83" s="34" t="e">
        <f t="shared" si="8"/>
        <v>#DIV/0!</v>
      </c>
      <c r="P83" s="34" t="e">
        <f t="shared" si="9"/>
        <v>#DIV/0!</v>
      </c>
      <c r="Q83" s="15" t="e">
        <f t="shared" si="10"/>
        <v>#DIV/0!</v>
      </c>
    </row>
    <row r="84" spans="10:17" x14ac:dyDescent="0.25">
      <c r="J84" s="12" t="s">
        <v>1050</v>
      </c>
      <c r="K84" s="14">
        <v>32.5</v>
      </c>
      <c r="L84" s="14">
        <v>1349.25</v>
      </c>
      <c r="M84" s="14">
        <v>286.39375000000001</v>
      </c>
      <c r="N84" s="14">
        <v>1062.85625</v>
      </c>
      <c r="O84" s="34" t="e">
        <f t="shared" si="8"/>
        <v>#DIV/0!</v>
      </c>
      <c r="P84" s="34" t="e">
        <f t="shared" si="9"/>
        <v>#DIV/0!</v>
      </c>
      <c r="Q84" s="15" t="e">
        <f t="shared" si="10"/>
        <v>#DIV/0!</v>
      </c>
    </row>
    <row r="85" spans="10:17" x14ac:dyDescent="0.25">
      <c r="J85" s="12" t="s">
        <v>739</v>
      </c>
      <c r="K85" s="14">
        <v>37.71</v>
      </c>
      <c r="L85" s="14">
        <v>1256.67</v>
      </c>
      <c r="M85" s="14">
        <v>194.60764218</v>
      </c>
      <c r="N85" s="14">
        <v>1062.06235782</v>
      </c>
      <c r="O85" s="34" t="e">
        <f t="shared" si="8"/>
        <v>#DIV/0!</v>
      </c>
      <c r="P85" s="34" t="e">
        <f t="shared" si="9"/>
        <v>#DIV/0!</v>
      </c>
      <c r="Q85" s="15" t="e">
        <f t="shared" si="10"/>
        <v>#DIV/0!</v>
      </c>
    </row>
    <row r="86" spans="10:17" x14ac:dyDescent="0.25">
      <c r="J86" s="12" t="s">
        <v>1092</v>
      </c>
      <c r="K86" s="14">
        <v>26.99</v>
      </c>
      <c r="L86" s="14">
        <v>1230.08</v>
      </c>
      <c r="M86" s="14">
        <v>190.36348254000001</v>
      </c>
      <c r="N86" s="14">
        <v>1039.71651746</v>
      </c>
      <c r="O86" s="34" t="e">
        <f t="shared" si="8"/>
        <v>#DIV/0!</v>
      </c>
      <c r="P86" s="34" t="e">
        <f t="shared" si="9"/>
        <v>#DIV/0!</v>
      </c>
      <c r="Q86" s="15" t="e">
        <f t="shared" si="10"/>
        <v>#DIV/0!</v>
      </c>
    </row>
    <row r="87" spans="10:17" x14ac:dyDescent="0.25">
      <c r="J87" s="12" t="s">
        <v>1220</v>
      </c>
      <c r="K87" s="14">
        <v>34.5</v>
      </c>
      <c r="L87" s="14">
        <v>1188.75</v>
      </c>
      <c r="M87" s="14">
        <v>218.88597200000001</v>
      </c>
      <c r="N87" s="14">
        <v>969.86402800000008</v>
      </c>
      <c r="O87" s="34" t="e">
        <f t="shared" si="8"/>
        <v>#DIV/0!</v>
      </c>
      <c r="P87" s="34" t="e">
        <f t="shared" si="9"/>
        <v>#DIV/0!</v>
      </c>
      <c r="Q87" s="15" t="e">
        <f t="shared" si="10"/>
        <v>#DIV/0!</v>
      </c>
    </row>
    <row r="88" spans="10:17" x14ac:dyDescent="0.25">
      <c r="J88" s="12" t="s">
        <v>581</v>
      </c>
      <c r="K88" s="14">
        <v>19.75</v>
      </c>
      <c r="L88" s="14">
        <v>1019.4999999999999</v>
      </c>
      <c r="M88" s="14">
        <v>119.89044799999999</v>
      </c>
      <c r="N88" s="14">
        <v>899.60955199999989</v>
      </c>
      <c r="O88" s="34" t="e">
        <f t="shared" si="8"/>
        <v>#DIV/0!</v>
      </c>
      <c r="P88" s="34" t="e">
        <f t="shared" si="9"/>
        <v>#DIV/0!</v>
      </c>
      <c r="Q88" s="15" t="e">
        <f t="shared" si="10"/>
        <v>#DIV/0!</v>
      </c>
    </row>
    <row r="89" spans="10:17" x14ac:dyDescent="0.25">
      <c r="J89" s="12" t="s">
        <v>1089</v>
      </c>
      <c r="K89" s="14">
        <v>24.95</v>
      </c>
      <c r="L89" s="14">
        <v>993.54</v>
      </c>
      <c r="M89" s="14">
        <v>149.94875475000001</v>
      </c>
      <c r="N89" s="14">
        <v>843.59124525000004</v>
      </c>
      <c r="O89" s="34" t="e">
        <f t="shared" si="8"/>
        <v>#DIV/0!</v>
      </c>
      <c r="P89" s="34" t="e">
        <f t="shared" si="9"/>
        <v>#DIV/0!</v>
      </c>
      <c r="Q89" s="15" t="e">
        <f t="shared" si="10"/>
        <v>#DIV/0!</v>
      </c>
    </row>
    <row r="90" spans="10:17" x14ac:dyDescent="0.25">
      <c r="J90" s="12" t="s">
        <v>972</v>
      </c>
      <c r="K90" s="14">
        <v>24.64</v>
      </c>
      <c r="L90" s="14">
        <v>898.74</v>
      </c>
      <c r="M90" s="14">
        <v>61.548944199999994</v>
      </c>
      <c r="N90" s="14">
        <v>837.19105580000007</v>
      </c>
      <c r="O90" s="34" t="e">
        <f t="shared" si="8"/>
        <v>#DIV/0!</v>
      </c>
      <c r="P90" s="34" t="e">
        <f t="shared" si="9"/>
        <v>#DIV/0!</v>
      </c>
      <c r="Q90" s="15" t="e">
        <f t="shared" si="10"/>
        <v>#DIV/0!</v>
      </c>
    </row>
    <row r="91" spans="10:17" x14ac:dyDescent="0.25">
      <c r="J91" s="12" t="s">
        <v>838</v>
      </c>
      <c r="K91" s="14">
        <v>64.08</v>
      </c>
      <c r="L91" s="14">
        <v>1210.6300000000001</v>
      </c>
      <c r="M91" s="14">
        <v>390.99808944</v>
      </c>
      <c r="N91" s="14">
        <v>819.63191056000005</v>
      </c>
      <c r="O91" s="34" t="e">
        <f t="shared" si="8"/>
        <v>#DIV/0!</v>
      </c>
      <c r="P91" s="34" t="e">
        <f t="shared" si="9"/>
        <v>#DIV/0!</v>
      </c>
      <c r="Q91" s="15" t="e">
        <f t="shared" si="10"/>
        <v>#DIV/0!</v>
      </c>
    </row>
    <row r="92" spans="10:17" x14ac:dyDescent="0.25">
      <c r="J92" s="12" t="s">
        <v>1015</v>
      </c>
      <c r="K92" s="14">
        <v>42</v>
      </c>
      <c r="L92" s="14">
        <v>1350.8</v>
      </c>
      <c r="M92" s="14">
        <v>532.16162999999995</v>
      </c>
      <c r="N92" s="14">
        <v>818.63837000000001</v>
      </c>
      <c r="O92" s="34" t="e">
        <f t="shared" si="8"/>
        <v>#DIV/0!</v>
      </c>
      <c r="P92" s="34" t="e">
        <f t="shared" si="9"/>
        <v>#DIV/0!</v>
      </c>
      <c r="Q92" s="15" t="e">
        <f t="shared" si="10"/>
        <v>#DIV/0!</v>
      </c>
    </row>
    <row r="93" spans="10:17" x14ac:dyDescent="0.25">
      <c r="J93" s="12" t="s">
        <v>832</v>
      </c>
      <c r="K93" s="14">
        <v>41.400000000000006</v>
      </c>
      <c r="L93" s="14">
        <v>1068.1099999999999</v>
      </c>
      <c r="M93" s="14">
        <v>269.62064512000001</v>
      </c>
      <c r="N93" s="14">
        <v>798.48935488000006</v>
      </c>
      <c r="O93" s="34" t="e">
        <f t="shared" si="8"/>
        <v>#DIV/0!</v>
      </c>
      <c r="P93" s="34" t="e">
        <f t="shared" si="9"/>
        <v>#DIV/0!</v>
      </c>
      <c r="Q93" s="15" t="e">
        <f t="shared" si="10"/>
        <v>#DIV/0!</v>
      </c>
    </row>
    <row r="94" spans="10:17" x14ac:dyDescent="0.25">
      <c r="J94" s="12" t="s">
        <v>685</v>
      </c>
      <c r="K94" s="14">
        <v>38</v>
      </c>
      <c r="L94" s="14">
        <v>783.18</v>
      </c>
      <c r="M94" s="14">
        <v>0</v>
      </c>
      <c r="N94" s="14">
        <v>783.18</v>
      </c>
      <c r="O94" s="34" t="e">
        <f t="shared" si="8"/>
        <v>#DIV/0!</v>
      </c>
      <c r="P94" s="34" t="e">
        <f t="shared" si="9"/>
        <v>#DIV/0!</v>
      </c>
      <c r="Q94" s="15" t="e">
        <f t="shared" si="10"/>
        <v>#DIV/0!</v>
      </c>
    </row>
    <row r="95" spans="10:17" x14ac:dyDescent="0.25">
      <c r="J95" s="12" t="s">
        <v>1084</v>
      </c>
      <c r="K95" s="14">
        <v>39</v>
      </c>
      <c r="L95" s="14">
        <v>985.61</v>
      </c>
      <c r="M95" s="14">
        <v>243.099987</v>
      </c>
      <c r="N95" s="14">
        <v>742.51001300000007</v>
      </c>
      <c r="O95" s="34" t="e">
        <f t="shared" si="8"/>
        <v>#DIV/0!</v>
      </c>
      <c r="P95" s="34" t="e">
        <f t="shared" si="9"/>
        <v>#DIV/0!</v>
      </c>
      <c r="Q95" s="15" t="e">
        <f t="shared" si="10"/>
        <v>#DIV/0!</v>
      </c>
    </row>
    <row r="96" spans="10:17" x14ac:dyDescent="0.25">
      <c r="J96" s="12" t="s">
        <v>1053</v>
      </c>
      <c r="K96" s="14">
        <v>20.63</v>
      </c>
      <c r="L96" s="14">
        <v>822.57999999999993</v>
      </c>
      <c r="M96" s="14">
        <v>82.237385840000002</v>
      </c>
      <c r="N96" s="14">
        <v>740.34261415999993</v>
      </c>
      <c r="O96" s="34" t="e">
        <f t="shared" si="8"/>
        <v>#DIV/0!</v>
      </c>
      <c r="P96" s="34" t="e">
        <f t="shared" si="9"/>
        <v>#DIV/0!</v>
      </c>
      <c r="Q96" s="15" t="e">
        <f t="shared" si="10"/>
        <v>#DIV/0!</v>
      </c>
    </row>
    <row r="97" spans="10:17" x14ac:dyDescent="0.25">
      <c r="J97" s="12" t="s">
        <v>680</v>
      </c>
      <c r="K97" s="14">
        <v>39.5</v>
      </c>
      <c r="L97" s="14">
        <v>900.83</v>
      </c>
      <c r="M97" s="14">
        <v>183.78258500000001</v>
      </c>
      <c r="N97" s="14">
        <v>717.047415</v>
      </c>
      <c r="O97" s="34" t="e">
        <f t="shared" si="8"/>
        <v>#DIV/0!</v>
      </c>
      <c r="P97" s="34" t="e">
        <f t="shared" si="9"/>
        <v>#DIV/0!</v>
      </c>
      <c r="Q97" s="15" t="e">
        <f t="shared" si="10"/>
        <v>#DIV/0!</v>
      </c>
    </row>
    <row r="98" spans="10:17" x14ac:dyDescent="0.25">
      <c r="J98" s="12" t="s">
        <v>1077</v>
      </c>
      <c r="K98" s="14">
        <v>43.4</v>
      </c>
      <c r="L98" s="14">
        <v>1081.79</v>
      </c>
      <c r="M98" s="14">
        <v>412.24128179999997</v>
      </c>
      <c r="N98" s="14">
        <v>669.54871819999994</v>
      </c>
      <c r="O98" s="34" t="e">
        <f t="shared" si="8"/>
        <v>#DIV/0!</v>
      </c>
      <c r="P98" s="34" t="e">
        <f t="shared" si="9"/>
        <v>#DIV/0!</v>
      </c>
      <c r="Q98" s="15" t="e">
        <f t="shared" si="10"/>
        <v>#DIV/0!</v>
      </c>
    </row>
    <row r="99" spans="10:17" x14ac:dyDescent="0.25">
      <c r="J99" s="12" t="s">
        <v>605</v>
      </c>
      <c r="K99" s="14">
        <v>27.5</v>
      </c>
      <c r="L99" s="14">
        <v>780.61</v>
      </c>
      <c r="M99" s="14">
        <v>112.961524</v>
      </c>
      <c r="N99" s="14">
        <v>667.64847600000007</v>
      </c>
      <c r="O99" s="34" t="e">
        <f t="shared" si="8"/>
        <v>#DIV/0!</v>
      </c>
      <c r="P99" s="34" t="e">
        <f t="shared" si="9"/>
        <v>#DIV/0!</v>
      </c>
      <c r="Q99" s="15" t="e">
        <f t="shared" si="10"/>
        <v>#DIV/0!</v>
      </c>
    </row>
    <row r="100" spans="10:17" x14ac:dyDescent="0.25">
      <c r="J100" s="12" t="s">
        <v>1146</v>
      </c>
      <c r="K100" s="14">
        <v>5.0400000000000009</v>
      </c>
      <c r="L100" s="14">
        <v>751.94</v>
      </c>
      <c r="M100" s="14">
        <v>100.288878</v>
      </c>
      <c r="N100" s="14">
        <v>651.65112199999999</v>
      </c>
      <c r="O100" s="34" t="e">
        <f t="shared" si="8"/>
        <v>#DIV/0!</v>
      </c>
      <c r="P100" s="34" t="e">
        <f t="shared" si="9"/>
        <v>#DIV/0!</v>
      </c>
      <c r="Q100" s="15" t="e">
        <f t="shared" si="10"/>
        <v>#DIV/0!</v>
      </c>
    </row>
    <row r="101" spans="10:17" x14ac:dyDescent="0.25">
      <c r="J101" s="12" t="s">
        <v>1281</v>
      </c>
      <c r="K101" s="14">
        <v>28.7</v>
      </c>
      <c r="L101" s="14">
        <v>704.52</v>
      </c>
      <c r="M101" s="14">
        <v>58.932109599999997</v>
      </c>
      <c r="N101" s="14">
        <v>645.58789039999999</v>
      </c>
      <c r="O101" s="34" t="e">
        <f t="shared" si="8"/>
        <v>#DIV/0!</v>
      </c>
      <c r="P101" s="34" t="e">
        <f t="shared" si="9"/>
        <v>#DIV/0!</v>
      </c>
      <c r="Q101" s="15" t="e">
        <f t="shared" si="10"/>
        <v>#DIV/0!</v>
      </c>
    </row>
    <row r="102" spans="10:17" x14ac:dyDescent="0.25">
      <c r="J102" s="12" t="s">
        <v>759</v>
      </c>
      <c r="K102" s="14">
        <v>30.1</v>
      </c>
      <c r="L102" s="14">
        <v>643.66</v>
      </c>
      <c r="M102" s="14">
        <v>17.948509600000001</v>
      </c>
      <c r="N102" s="14">
        <v>625.7114904</v>
      </c>
      <c r="O102" s="34" t="e">
        <f t="shared" si="8"/>
        <v>#DIV/0!</v>
      </c>
      <c r="P102" s="34" t="e">
        <f t="shared" si="9"/>
        <v>#DIV/0!</v>
      </c>
      <c r="Q102" s="15" t="e">
        <f t="shared" si="10"/>
        <v>#DIV/0!</v>
      </c>
    </row>
    <row r="103" spans="10:17" x14ac:dyDescent="0.25">
      <c r="J103" s="12" t="s">
        <v>583</v>
      </c>
      <c r="K103" s="14">
        <v>19.25</v>
      </c>
      <c r="L103" s="14">
        <v>1009.85</v>
      </c>
      <c r="M103" s="14">
        <v>412.922617</v>
      </c>
      <c r="N103" s="14">
        <v>596.92738299999996</v>
      </c>
      <c r="O103" s="34" t="e">
        <f t="shared" si="8"/>
        <v>#DIV/0!</v>
      </c>
      <c r="P103" s="34" t="e">
        <f t="shared" si="9"/>
        <v>#DIV/0!</v>
      </c>
      <c r="Q103" s="15" t="e">
        <f t="shared" si="10"/>
        <v>#DIV/0!</v>
      </c>
    </row>
    <row r="104" spans="10:17" x14ac:dyDescent="0.25">
      <c r="J104" s="12" t="s">
        <v>691</v>
      </c>
      <c r="K104" s="14">
        <v>21</v>
      </c>
      <c r="L104" s="14">
        <v>595.11</v>
      </c>
      <c r="M104" s="14">
        <v>0</v>
      </c>
      <c r="N104" s="14">
        <v>595.11</v>
      </c>
      <c r="O104" s="34" t="e">
        <f t="shared" si="8"/>
        <v>#DIV/0!</v>
      </c>
      <c r="P104" s="34" t="e">
        <f t="shared" si="9"/>
        <v>#DIV/0!</v>
      </c>
      <c r="Q104" s="15" t="e">
        <f t="shared" si="10"/>
        <v>#DIV/0!</v>
      </c>
    </row>
    <row r="105" spans="10:17" x14ac:dyDescent="0.25">
      <c r="J105" s="12" t="s">
        <v>939</v>
      </c>
      <c r="K105" s="14">
        <v>20.68</v>
      </c>
      <c r="L105" s="14">
        <v>763.94999999999993</v>
      </c>
      <c r="M105" s="14">
        <v>175.08774696</v>
      </c>
      <c r="N105" s="14">
        <v>588.86225304000004</v>
      </c>
      <c r="O105" s="34" t="e">
        <f t="shared" si="8"/>
        <v>#DIV/0!</v>
      </c>
      <c r="P105" s="34" t="e">
        <f t="shared" si="9"/>
        <v>#DIV/0!</v>
      </c>
      <c r="Q105" s="15" t="e">
        <f t="shared" si="10"/>
        <v>#DIV/0!</v>
      </c>
    </row>
    <row r="106" spans="10:17" x14ac:dyDescent="0.25">
      <c r="J106" s="12" t="s">
        <v>1277</v>
      </c>
      <c r="K106" s="14">
        <v>17</v>
      </c>
      <c r="L106" s="14">
        <v>588.80999999999995</v>
      </c>
      <c r="M106" s="14">
        <v>0</v>
      </c>
      <c r="N106" s="14">
        <v>588.80999999999995</v>
      </c>
      <c r="O106" s="34" t="e">
        <f t="shared" si="8"/>
        <v>#DIV/0!</v>
      </c>
      <c r="P106" s="34" t="e">
        <f t="shared" si="9"/>
        <v>#DIV/0!</v>
      </c>
      <c r="Q106" s="15" t="e">
        <f t="shared" si="10"/>
        <v>#DIV/0!</v>
      </c>
    </row>
    <row r="107" spans="10:17" x14ac:dyDescent="0.25">
      <c r="J107" s="12" t="s">
        <v>1085</v>
      </c>
      <c r="K107" s="14">
        <v>26</v>
      </c>
      <c r="L107" s="14">
        <v>657.07</v>
      </c>
      <c r="M107" s="14">
        <v>79.695642000000007</v>
      </c>
      <c r="N107" s="14">
        <v>577.37435800000003</v>
      </c>
      <c r="O107" s="34" t="e">
        <f t="shared" si="8"/>
        <v>#DIV/0!</v>
      </c>
      <c r="P107" s="34" t="e">
        <f t="shared" si="9"/>
        <v>#DIV/0!</v>
      </c>
      <c r="Q107" s="15" t="e">
        <f t="shared" si="10"/>
        <v>#DIV/0!</v>
      </c>
    </row>
    <row r="108" spans="10:17" x14ac:dyDescent="0.25">
      <c r="J108" s="12" t="s">
        <v>687</v>
      </c>
      <c r="K108" s="14">
        <v>16.13</v>
      </c>
      <c r="L108" s="14">
        <v>678.39</v>
      </c>
      <c r="M108" s="14">
        <v>128.35089414000001</v>
      </c>
      <c r="N108" s="14">
        <v>550.03910585999995</v>
      </c>
      <c r="O108" s="34" t="e">
        <f t="shared" si="8"/>
        <v>#DIV/0!</v>
      </c>
      <c r="P108" s="34" t="e">
        <f t="shared" si="9"/>
        <v>#DIV/0!</v>
      </c>
      <c r="Q108" s="15" t="e">
        <f t="shared" si="10"/>
        <v>#DIV/0!</v>
      </c>
    </row>
    <row r="109" spans="10:17" x14ac:dyDescent="0.25">
      <c r="J109" s="12" t="s">
        <v>560</v>
      </c>
      <c r="K109" s="14">
        <v>5.0749999999999993</v>
      </c>
      <c r="L109" s="14">
        <v>618.41</v>
      </c>
      <c r="M109" s="14">
        <v>79.076797999999997</v>
      </c>
      <c r="N109" s="14">
        <v>539.33320200000003</v>
      </c>
      <c r="O109" s="34" t="e">
        <f t="shared" si="8"/>
        <v>#DIV/0!</v>
      </c>
      <c r="P109" s="34" t="e">
        <f t="shared" si="9"/>
        <v>#DIV/0!</v>
      </c>
      <c r="Q109" s="15" t="e">
        <f t="shared" si="10"/>
        <v>#DIV/0!</v>
      </c>
    </row>
    <row r="110" spans="10:17" x14ac:dyDescent="0.25">
      <c r="J110" s="12" t="s">
        <v>968</v>
      </c>
      <c r="K110" s="14">
        <v>18</v>
      </c>
      <c r="L110" s="14">
        <v>630.17000000000007</v>
      </c>
      <c r="M110" s="14">
        <v>103.8501</v>
      </c>
      <c r="N110" s="14">
        <v>526.31989999999996</v>
      </c>
      <c r="O110" s="34" t="e">
        <f t="shared" si="8"/>
        <v>#DIV/0!</v>
      </c>
      <c r="P110" s="34" t="e">
        <f t="shared" si="9"/>
        <v>#DIV/0!</v>
      </c>
      <c r="Q110" s="15" t="e">
        <f t="shared" si="10"/>
        <v>#DIV/0!</v>
      </c>
    </row>
    <row r="111" spans="10:17" x14ac:dyDescent="0.25">
      <c r="J111" s="12" t="s">
        <v>1252</v>
      </c>
      <c r="K111" s="14">
        <v>14.75</v>
      </c>
      <c r="L111" s="14">
        <v>560.5</v>
      </c>
      <c r="M111" s="14">
        <v>65.784999999999997</v>
      </c>
      <c r="N111" s="14">
        <v>494.71500000000003</v>
      </c>
      <c r="O111" s="34" t="e">
        <f t="shared" si="8"/>
        <v>#DIV/0!</v>
      </c>
      <c r="P111" s="34" t="e">
        <f t="shared" si="9"/>
        <v>#DIV/0!</v>
      </c>
      <c r="Q111" s="15" t="e">
        <f t="shared" si="10"/>
        <v>#DIV/0!</v>
      </c>
    </row>
    <row r="112" spans="10:17" x14ac:dyDescent="0.25">
      <c r="J112" s="12" t="s">
        <v>1253</v>
      </c>
      <c r="K112" s="14">
        <v>21.56</v>
      </c>
      <c r="L112" s="14">
        <v>746.75</v>
      </c>
      <c r="M112" s="14">
        <v>281.73294995999998</v>
      </c>
      <c r="N112" s="14">
        <v>465.01705004000002</v>
      </c>
      <c r="O112" s="34" t="e">
        <f t="shared" si="8"/>
        <v>#DIV/0!</v>
      </c>
      <c r="P112" s="34" t="e">
        <f t="shared" si="9"/>
        <v>#DIV/0!</v>
      </c>
      <c r="Q112" s="15" t="e">
        <f t="shared" si="10"/>
        <v>#DIV/0!</v>
      </c>
    </row>
    <row r="113" spans="10:17" x14ac:dyDescent="0.25">
      <c r="J113" s="12" t="s">
        <v>1240</v>
      </c>
      <c r="K113" s="14">
        <v>16</v>
      </c>
      <c r="L113" s="14">
        <v>435.46</v>
      </c>
      <c r="M113" s="14">
        <v>15.4</v>
      </c>
      <c r="N113" s="14">
        <v>420.06</v>
      </c>
      <c r="O113" s="34" t="e">
        <f t="shared" si="8"/>
        <v>#DIV/0!</v>
      </c>
      <c r="P113" s="34" t="e">
        <f t="shared" si="9"/>
        <v>#DIV/0!</v>
      </c>
      <c r="Q113" s="15" t="e">
        <f t="shared" si="10"/>
        <v>#DIV/0!</v>
      </c>
    </row>
    <row r="114" spans="10:17" x14ac:dyDescent="0.25">
      <c r="J114" s="12" t="s">
        <v>1162</v>
      </c>
      <c r="K114" s="14">
        <v>8.875</v>
      </c>
      <c r="L114" s="14">
        <v>778.3</v>
      </c>
      <c r="M114" s="14">
        <v>366.79450700000001</v>
      </c>
      <c r="N114" s="14">
        <v>411.505493</v>
      </c>
      <c r="O114" s="34" t="e">
        <f t="shared" si="8"/>
        <v>#DIV/0!</v>
      </c>
      <c r="P114" s="34" t="e">
        <f t="shared" si="9"/>
        <v>#DIV/0!</v>
      </c>
      <c r="Q114" s="15" t="e">
        <f t="shared" si="10"/>
        <v>#DIV/0!</v>
      </c>
    </row>
    <row r="115" spans="10:17" x14ac:dyDescent="0.25">
      <c r="J115" s="12" t="s">
        <v>911</v>
      </c>
      <c r="K115" s="14">
        <v>19</v>
      </c>
      <c r="L115" s="14">
        <v>496.36</v>
      </c>
      <c r="M115" s="14">
        <v>87.253636</v>
      </c>
      <c r="N115" s="14">
        <v>409.10636399999999</v>
      </c>
      <c r="O115" s="34" t="e">
        <f t="shared" si="8"/>
        <v>#DIV/0!</v>
      </c>
      <c r="P115" s="34" t="e">
        <f t="shared" si="9"/>
        <v>#DIV/0!</v>
      </c>
      <c r="Q115" s="15" t="e">
        <f t="shared" si="10"/>
        <v>#DIV/0!</v>
      </c>
    </row>
    <row r="116" spans="10:17" x14ac:dyDescent="0.25">
      <c r="J116" s="12" t="s">
        <v>1055</v>
      </c>
      <c r="K116" s="14">
        <v>15</v>
      </c>
      <c r="L116" s="14">
        <v>541.11</v>
      </c>
      <c r="M116" s="14">
        <v>137.85</v>
      </c>
      <c r="N116" s="14">
        <v>403.26</v>
      </c>
      <c r="O116" s="34" t="e">
        <f t="shared" si="8"/>
        <v>#DIV/0!</v>
      </c>
      <c r="P116" s="34" t="e">
        <f t="shared" si="9"/>
        <v>#DIV/0!</v>
      </c>
      <c r="Q116" s="15" t="e">
        <f t="shared" si="10"/>
        <v>#DIV/0!</v>
      </c>
    </row>
    <row r="117" spans="10:17" x14ac:dyDescent="0.25">
      <c r="J117" s="12" t="s">
        <v>1069</v>
      </c>
      <c r="K117" s="14">
        <v>13.8</v>
      </c>
      <c r="L117" s="14">
        <v>439.25</v>
      </c>
      <c r="M117" s="14">
        <v>55.088647799999997</v>
      </c>
      <c r="N117" s="14">
        <v>384.16135220000001</v>
      </c>
      <c r="O117" s="34" t="e">
        <f t="shared" si="8"/>
        <v>#DIV/0!</v>
      </c>
      <c r="P117" s="34" t="e">
        <f t="shared" si="9"/>
        <v>#DIV/0!</v>
      </c>
      <c r="Q117" s="15" t="e">
        <f t="shared" si="10"/>
        <v>#DIV/0!</v>
      </c>
    </row>
    <row r="118" spans="10:17" x14ac:dyDescent="0.25">
      <c r="J118" s="12" t="s">
        <v>569</v>
      </c>
      <c r="K118" s="14">
        <v>2.214</v>
      </c>
      <c r="L118" s="14">
        <v>393.41</v>
      </c>
      <c r="M118" s="14">
        <v>24.017143999999998</v>
      </c>
      <c r="N118" s="14">
        <v>369.39285599999994</v>
      </c>
      <c r="O118" s="34" t="e">
        <f t="shared" si="8"/>
        <v>#DIV/0!</v>
      </c>
      <c r="P118" s="34" t="e">
        <f t="shared" si="9"/>
        <v>#DIV/0!</v>
      </c>
      <c r="Q118" s="15" t="e">
        <f t="shared" si="10"/>
        <v>#DIV/0!</v>
      </c>
    </row>
    <row r="119" spans="10:17" x14ac:dyDescent="0.25">
      <c r="J119" s="12" t="s">
        <v>927</v>
      </c>
      <c r="K119" s="14">
        <v>18</v>
      </c>
      <c r="L119" s="14">
        <v>489.89</v>
      </c>
      <c r="M119" s="14">
        <v>121.5</v>
      </c>
      <c r="N119" s="14">
        <v>368.39</v>
      </c>
      <c r="O119" s="34" t="e">
        <f t="shared" si="8"/>
        <v>#DIV/0!</v>
      </c>
      <c r="P119" s="34" t="e">
        <f t="shared" si="9"/>
        <v>#DIV/0!</v>
      </c>
      <c r="Q119" s="15" t="e">
        <f t="shared" si="10"/>
        <v>#DIV/0!</v>
      </c>
    </row>
    <row r="120" spans="10:17" x14ac:dyDescent="0.25">
      <c r="J120" s="12" t="s">
        <v>566</v>
      </c>
      <c r="K120" s="14">
        <v>1.599</v>
      </c>
      <c r="L120" s="14">
        <v>381.5</v>
      </c>
      <c r="M120" s="14">
        <v>19.306667000000001</v>
      </c>
      <c r="N120" s="14">
        <v>362.193333</v>
      </c>
      <c r="O120" s="34" t="e">
        <f t="shared" si="8"/>
        <v>#DIV/0!</v>
      </c>
      <c r="P120" s="34" t="e">
        <f t="shared" si="9"/>
        <v>#DIV/0!</v>
      </c>
      <c r="Q120" s="15" t="e">
        <f t="shared" si="10"/>
        <v>#DIV/0!</v>
      </c>
    </row>
    <row r="121" spans="10:17" x14ac:dyDescent="0.25">
      <c r="J121" s="12" t="s">
        <v>1255</v>
      </c>
      <c r="K121" s="14">
        <v>18.48</v>
      </c>
      <c r="L121" s="14">
        <v>502.90999999999997</v>
      </c>
      <c r="M121" s="14">
        <v>144.788084</v>
      </c>
      <c r="N121" s="14">
        <v>358.121916</v>
      </c>
      <c r="O121" s="34" t="e">
        <f t="shared" si="8"/>
        <v>#DIV/0!</v>
      </c>
      <c r="P121" s="34" t="e">
        <f t="shared" si="9"/>
        <v>#DIV/0!</v>
      </c>
      <c r="Q121" s="15" t="e">
        <f t="shared" si="10"/>
        <v>#DIV/0!</v>
      </c>
    </row>
    <row r="122" spans="10:17" x14ac:dyDescent="0.25">
      <c r="J122" s="12" t="s">
        <v>1094</v>
      </c>
      <c r="K122" s="14">
        <v>13.54</v>
      </c>
      <c r="L122" s="14">
        <v>458.98</v>
      </c>
      <c r="M122" s="14">
        <v>114.18687252000001</v>
      </c>
      <c r="N122" s="14">
        <v>344.79312748000001</v>
      </c>
      <c r="O122" s="34" t="e">
        <f t="shared" si="8"/>
        <v>#DIV/0!</v>
      </c>
      <c r="P122" s="34" t="e">
        <f t="shared" si="9"/>
        <v>#DIV/0!</v>
      </c>
      <c r="Q122" s="15" t="e">
        <f t="shared" si="10"/>
        <v>#DIV/0!</v>
      </c>
    </row>
    <row r="123" spans="10:17" x14ac:dyDescent="0.25">
      <c r="J123" s="12" t="s">
        <v>971</v>
      </c>
      <c r="K123" s="14">
        <v>14</v>
      </c>
      <c r="L123" s="14">
        <v>299.38</v>
      </c>
      <c r="M123" s="14">
        <v>0</v>
      </c>
      <c r="N123" s="14">
        <v>299.38</v>
      </c>
      <c r="O123" s="34" t="e">
        <f t="shared" si="8"/>
        <v>#DIV/0!</v>
      </c>
      <c r="P123" s="34" t="e">
        <f t="shared" si="9"/>
        <v>#DIV/0!</v>
      </c>
      <c r="Q123" s="15" t="e">
        <f t="shared" si="10"/>
        <v>#DIV/0!</v>
      </c>
    </row>
    <row r="124" spans="10:17" x14ac:dyDescent="0.25">
      <c r="J124" s="12" t="s">
        <v>909</v>
      </c>
      <c r="K124" s="14">
        <v>13</v>
      </c>
      <c r="L124" s="14">
        <v>354.9</v>
      </c>
      <c r="M124" s="14">
        <v>61.210006</v>
      </c>
      <c r="N124" s="14">
        <v>293.68999399999996</v>
      </c>
      <c r="O124" s="34" t="e">
        <f t="shared" si="8"/>
        <v>#DIV/0!</v>
      </c>
      <c r="P124" s="34" t="e">
        <f t="shared" si="9"/>
        <v>#DIV/0!</v>
      </c>
      <c r="Q124" s="15" t="e">
        <f t="shared" si="10"/>
        <v>#DIV/0!</v>
      </c>
    </row>
    <row r="125" spans="10:17" x14ac:dyDescent="0.25">
      <c r="J125" s="12" t="s">
        <v>1152</v>
      </c>
      <c r="K125" s="14">
        <v>2.3800000000000003</v>
      </c>
      <c r="L125" s="14">
        <v>331.5</v>
      </c>
      <c r="M125" s="14">
        <v>46.758091999999998</v>
      </c>
      <c r="N125" s="14">
        <v>284.74190800000002</v>
      </c>
      <c r="O125" s="34" t="e">
        <f t="shared" si="8"/>
        <v>#DIV/0!</v>
      </c>
      <c r="P125" s="34" t="e">
        <f t="shared" si="9"/>
        <v>#DIV/0!</v>
      </c>
      <c r="Q125" s="15" t="e">
        <f t="shared" si="10"/>
        <v>#DIV/0!</v>
      </c>
    </row>
    <row r="126" spans="10:17" x14ac:dyDescent="0.25">
      <c r="J126" s="12" t="s">
        <v>1037</v>
      </c>
      <c r="K126" s="14">
        <v>20</v>
      </c>
      <c r="L126" s="14">
        <v>427.68</v>
      </c>
      <c r="M126" s="14">
        <v>172.48334</v>
      </c>
      <c r="N126" s="14">
        <v>255.19666000000001</v>
      </c>
      <c r="O126" s="34" t="e">
        <f t="shared" si="8"/>
        <v>#DIV/0!</v>
      </c>
      <c r="P126" s="34" t="e">
        <f t="shared" si="9"/>
        <v>#DIV/0!</v>
      </c>
      <c r="Q126" s="15" t="e">
        <f t="shared" si="10"/>
        <v>#DIV/0!</v>
      </c>
    </row>
    <row r="127" spans="10:17" x14ac:dyDescent="0.25">
      <c r="J127" s="12" t="s">
        <v>678</v>
      </c>
      <c r="K127" s="14">
        <v>12</v>
      </c>
      <c r="L127" s="14">
        <v>291.71999999999997</v>
      </c>
      <c r="M127" s="14">
        <v>50.390001999999996</v>
      </c>
      <c r="N127" s="14">
        <v>241.32999799999999</v>
      </c>
      <c r="O127" s="34" t="e">
        <f t="shared" si="8"/>
        <v>#DIV/0!</v>
      </c>
      <c r="P127" s="34" t="e">
        <f t="shared" si="9"/>
        <v>#DIV/0!</v>
      </c>
      <c r="Q127" s="15" t="e">
        <f t="shared" si="10"/>
        <v>#DIV/0!</v>
      </c>
    </row>
    <row r="128" spans="10:17" x14ac:dyDescent="0.25">
      <c r="J128" s="12" t="s">
        <v>564</v>
      </c>
      <c r="K128" s="14">
        <v>1.23</v>
      </c>
      <c r="L128" s="14">
        <v>227.5</v>
      </c>
      <c r="M128" s="14">
        <v>14.07</v>
      </c>
      <c r="N128" s="14">
        <v>213.42999999999998</v>
      </c>
      <c r="O128" s="34" t="e">
        <f t="shared" si="8"/>
        <v>#DIV/0!</v>
      </c>
      <c r="P128" s="34" t="e">
        <f t="shared" si="9"/>
        <v>#DIV/0!</v>
      </c>
      <c r="Q128" s="15" t="e">
        <f t="shared" si="10"/>
        <v>#DIV/0!</v>
      </c>
    </row>
    <row r="129" spans="10:17" x14ac:dyDescent="0.25">
      <c r="J129" s="12" t="s">
        <v>1083</v>
      </c>
      <c r="K129" s="14">
        <v>11</v>
      </c>
      <c r="L129" s="14">
        <v>277.99</v>
      </c>
      <c r="M129" s="14">
        <v>69.701918000000006</v>
      </c>
      <c r="N129" s="14">
        <v>208.288082</v>
      </c>
      <c r="O129" s="34" t="e">
        <f t="shared" si="8"/>
        <v>#DIV/0!</v>
      </c>
      <c r="P129" s="34" t="e">
        <f t="shared" si="9"/>
        <v>#DIV/0!</v>
      </c>
      <c r="Q129" s="15" t="e">
        <f t="shared" si="10"/>
        <v>#DIV/0!</v>
      </c>
    </row>
    <row r="130" spans="10:17" x14ac:dyDescent="0.25">
      <c r="J130" s="12" t="s">
        <v>1310</v>
      </c>
      <c r="K130" s="14">
        <v>9.8000000000000007</v>
      </c>
      <c r="L130" s="14">
        <v>239.31</v>
      </c>
      <c r="M130" s="14">
        <v>43.399703199999998</v>
      </c>
      <c r="N130" s="14">
        <v>195.9102968</v>
      </c>
      <c r="O130" s="34" t="e">
        <f t="shared" si="8"/>
        <v>#DIV/0!</v>
      </c>
      <c r="P130" s="34" t="e">
        <f t="shared" si="9"/>
        <v>#DIV/0!</v>
      </c>
      <c r="Q130" s="15" t="e">
        <f t="shared" si="10"/>
        <v>#DIV/0!</v>
      </c>
    </row>
    <row r="131" spans="10:17" x14ac:dyDescent="0.25">
      <c r="J131" s="12" t="s">
        <v>565</v>
      </c>
      <c r="K131" s="14">
        <v>1.23</v>
      </c>
      <c r="L131" s="14">
        <v>191.34</v>
      </c>
      <c r="M131" s="14">
        <v>26.289830000000002</v>
      </c>
      <c r="N131" s="14">
        <v>165.05017000000001</v>
      </c>
      <c r="O131" s="34" t="e">
        <f t="shared" si="8"/>
        <v>#DIV/0!</v>
      </c>
      <c r="P131" s="34" t="e">
        <f t="shared" si="9"/>
        <v>#DIV/0!</v>
      </c>
      <c r="Q131" s="15" t="e">
        <f t="shared" si="10"/>
        <v>#DIV/0!</v>
      </c>
    </row>
    <row r="132" spans="10:17" x14ac:dyDescent="0.25">
      <c r="J132" s="12" t="s">
        <v>1036</v>
      </c>
      <c r="K132" s="14">
        <v>4</v>
      </c>
      <c r="L132" s="14">
        <v>152.78</v>
      </c>
      <c r="M132" s="14">
        <v>0</v>
      </c>
      <c r="N132" s="14">
        <v>152.78</v>
      </c>
      <c r="O132" s="34" t="e">
        <f t="shared" si="8"/>
        <v>#DIV/0!</v>
      </c>
      <c r="P132" s="34" t="e">
        <f t="shared" si="9"/>
        <v>#DIV/0!</v>
      </c>
      <c r="Q132" s="15" t="e">
        <f t="shared" si="10"/>
        <v>#DIV/0!</v>
      </c>
    </row>
    <row r="133" spans="10:17" x14ac:dyDescent="0.25">
      <c r="J133" s="12" t="s">
        <v>608</v>
      </c>
      <c r="K133" s="14">
        <v>3</v>
      </c>
      <c r="L133" s="14">
        <v>132.6</v>
      </c>
      <c r="M133" s="14">
        <v>0</v>
      </c>
      <c r="N133" s="14">
        <v>132.6</v>
      </c>
      <c r="O133" s="34" t="e">
        <f t="shared" ref="O133:O155" si="11">+K133/$K$156</f>
        <v>#DIV/0!</v>
      </c>
      <c r="P133" s="34" t="e">
        <f t="shared" ref="P133:P155" si="12">+L133/$L$156</f>
        <v>#DIV/0!</v>
      </c>
      <c r="Q133" s="15" t="e">
        <f t="shared" ref="Q133:Q155" si="13">N133/$N$156</f>
        <v>#DIV/0!</v>
      </c>
    </row>
    <row r="134" spans="10:17" x14ac:dyDescent="0.25">
      <c r="J134" s="12" t="s">
        <v>688</v>
      </c>
      <c r="K134" s="14">
        <v>3</v>
      </c>
      <c r="L134" s="14">
        <v>161.34</v>
      </c>
      <c r="M134" s="14">
        <v>32.267499999999998</v>
      </c>
      <c r="N134" s="14">
        <v>129.07249999999999</v>
      </c>
      <c r="O134" s="34" t="e">
        <f t="shared" si="11"/>
        <v>#DIV/0!</v>
      </c>
      <c r="P134" s="34" t="e">
        <f t="shared" si="12"/>
        <v>#DIV/0!</v>
      </c>
      <c r="Q134" s="15" t="e">
        <f t="shared" si="13"/>
        <v>#DIV/0!</v>
      </c>
    </row>
    <row r="135" spans="10:17" x14ac:dyDescent="0.25">
      <c r="J135" s="12" t="s">
        <v>802</v>
      </c>
      <c r="K135" s="14">
        <v>6.5</v>
      </c>
      <c r="L135" s="14">
        <v>172.9</v>
      </c>
      <c r="M135" s="14">
        <v>45.924999999999997</v>
      </c>
      <c r="N135" s="14">
        <v>126.97500000000001</v>
      </c>
      <c r="O135" s="34" t="e">
        <f t="shared" si="11"/>
        <v>#DIV/0!</v>
      </c>
      <c r="P135" s="34" t="e">
        <f t="shared" si="12"/>
        <v>#DIV/0!</v>
      </c>
      <c r="Q135" s="15" t="e">
        <f t="shared" si="13"/>
        <v>#DIV/0!</v>
      </c>
    </row>
    <row r="136" spans="10:17" x14ac:dyDescent="0.25">
      <c r="J136" s="12" t="s">
        <v>498</v>
      </c>
      <c r="K136" s="14">
        <v>8</v>
      </c>
      <c r="L136" s="14">
        <v>217.73</v>
      </c>
      <c r="M136" s="14">
        <v>112</v>
      </c>
      <c r="N136" s="14">
        <v>105.72999999999999</v>
      </c>
      <c r="O136" s="34" t="e">
        <f t="shared" si="11"/>
        <v>#DIV/0!</v>
      </c>
      <c r="P136" s="34" t="e">
        <f t="shared" si="12"/>
        <v>#DIV/0!</v>
      </c>
      <c r="Q136" s="15" t="e">
        <f t="shared" si="13"/>
        <v>#DIV/0!</v>
      </c>
    </row>
    <row r="137" spans="10:17" x14ac:dyDescent="0.25">
      <c r="J137" s="12" t="s">
        <v>1313</v>
      </c>
      <c r="K137" s="14">
        <v>7</v>
      </c>
      <c r="L137" s="14">
        <v>137.69999999999999</v>
      </c>
      <c r="M137" s="14">
        <v>32.914000000000001</v>
      </c>
      <c r="N137" s="14">
        <v>104.786</v>
      </c>
      <c r="O137" s="34" t="e">
        <f t="shared" si="11"/>
        <v>#DIV/0!</v>
      </c>
      <c r="P137" s="34" t="e">
        <f t="shared" si="12"/>
        <v>#DIV/0!</v>
      </c>
      <c r="Q137" s="15" t="e">
        <f t="shared" si="13"/>
        <v>#DIV/0!</v>
      </c>
    </row>
    <row r="138" spans="10:17" x14ac:dyDescent="0.25">
      <c r="J138" s="12" t="s">
        <v>561</v>
      </c>
      <c r="K138" s="14">
        <v>0.87499999999999989</v>
      </c>
      <c r="L138" s="14">
        <v>113.75</v>
      </c>
      <c r="M138" s="14">
        <v>16.41</v>
      </c>
      <c r="N138" s="14">
        <v>97.34</v>
      </c>
      <c r="O138" s="34" t="e">
        <f t="shared" si="11"/>
        <v>#DIV/0!</v>
      </c>
      <c r="P138" s="34" t="e">
        <f t="shared" si="12"/>
        <v>#DIV/0!</v>
      </c>
      <c r="Q138" s="15" t="e">
        <f t="shared" si="13"/>
        <v>#DIV/0!</v>
      </c>
    </row>
    <row r="139" spans="10:17" x14ac:dyDescent="0.25">
      <c r="J139" s="12" t="s">
        <v>604</v>
      </c>
      <c r="K139" s="14">
        <v>4.5</v>
      </c>
      <c r="L139" s="14">
        <v>109.4</v>
      </c>
      <c r="M139" s="14">
        <v>17.684041499999999</v>
      </c>
      <c r="N139" s="14">
        <v>91.715958499999999</v>
      </c>
      <c r="O139" s="34" t="e">
        <f t="shared" si="11"/>
        <v>#DIV/0!</v>
      </c>
      <c r="P139" s="34" t="e">
        <f t="shared" si="12"/>
        <v>#DIV/0!</v>
      </c>
      <c r="Q139" s="15" t="e">
        <f t="shared" si="13"/>
        <v>#DIV/0!</v>
      </c>
    </row>
    <row r="140" spans="10:17" x14ac:dyDescent="0.25">
      <c r="J140" s="12" t="s">
        <v>563</v>
      </c>
      <c r="K140" s="14">
        <v>0.246</v>
      </c>
      <c r="L140" s="14">
        <v>70</v>
      </c>
      <c r="M140" s="14">
        <v>2.38</v>
      </c>
      <c r="N140" s="14">
        <v>67.62</v>
      </c>
      <c r="O140" s="34" t="e">
        <f t="shared" si="11"/>
        <v>#DIV/0!</v>
      </c>
      <c r="P140" s="34" t="e">
        <f t="shared" si="12"/>
        <v>#DIV/0!</v>
      </c>
      <c r="Q140" s="15" t="e">
        <f t="shared" si="13"/>
        <v>#DIV/0!</v>
      </c>
    </row>
    <row r="141" spans="10:17" x14ac:dyDescent="0.25">
      <c r="J141" s="12" t="s">
        <v>48</v>
      </c>
      <c r="K141" s="14">
        <v>21607.500999999997</v>
      </c>
      <c r="L141" s="14">
        <v>675535.38</v>
      </c>
      <c r="M141" s="14">
        <v>134822.36248582005</v>
      </c>
      <c r="N141" s="14">
        <v>540713.01751417993</v>
      </c>
      <c r="O141" s="34" t="e">
        <f t="shared" si="11"/>
        <v>#DIV/0!</v>
      </c>
      <c r="P141" s="34" t="e">
        <f t="shared" si="12"/>
        <v>#DIV/0!</v>
      </c>
      <c r="Q141" s="15" t="e">
        <f t="shared" si="13"/>
        <v>#DIV/0!</v>
      </c>
    </row>
    <row r="142" spans="10:17" x14ac:dyDescent="0.25">
      <c r="O142" s="34" t="e">
        <f t="shared" si="11"/>
        <v>#DIV/0!</v>
      </c>
      <c r="P142" s="34" t="e">
        <f t="shared" si="12"/>
        <v>#DIV/0!</v>
      </c>
      <c r="Q142" s="15" t="e">
        <f t="shared" si="13"/>
        <v>#DIV/0!</v>
      </c>
    </row>
    <row r="143" spans="10:17" x14ac:dyDescent="0.25">
      <c r="O143" s="34" t="e">
        <f t="shared" si="11"/>
        <v>#DIV/0!</v>
      </c>
      <c r="P143" s="34" t="e">
        <f t="shared" si="12"/>
        <v>#DIV/0!</v>
      </c>
      <c r="Q143" s="15" t="e">
        <f t="shared" si="13"/>
        <v>#DIV/0!</v>
      </c>
    </row>
    <row r="144" spans="10:17" x14ac:dyDescent="0.25">
      <c r="O144" s="34" t="e">
        <f t="shared" si="11"/>
        <v>#DIV/0!</v>
      </c>
      <c r="P144" s="34" t="e">
        <f t="shared" si="12"/>
        <v>#DIV/0!</v>
      </c>
      <c r="Q144" s="15" t="e">
        <f t="shared" si="13"/>
        <v>#DIV/0!</v>
      </c>
    </row>
    <row r="145" spans="15:17" x14ac:dyDescent="0.25">
      <c r="O145" s="34" t="e">
        <f t="shared" si="11"/>
        <v>#DIV/0!</v>
      </c>
      <c r="P145" s="34" t="e">
        <f t="shared" si="12"/>
        <v>#DIV/0!</v>
      </c>
      <c r="Q145" s="15" t="e">
        <f t="shared" si="13"/>
        <v>#DIV/0!</v>
      </c>
    </row>
    <row r="146" spans="15:17" x14ac:dyDescent="0.25">
      <c r="O146" s="34" t="e">
        <f t="shared" si="11"/>
        <v>#DIV/0!</v>
      </c>
      <c r="P146" s="34" t="e">
        <f t="shared" si="12"/>
        <v>#DIV/0!</v>
      </c>
      <c r="Q146" s="15" t="e">
        <f t="shared" si="13"/>
        <v>#DIV/0!</v>
      </c>
    </row>
    <row r="147" spans="15:17" x14ac:dyDescent="0.25">
      <c r="O147" s="34" t="e">
        <f t="shared" si="11"/>
        <v>#DIV/0!</v>
      </c>
      <c r="P147" s="34" t="e">
        <f t="shared" si="12"/>
        <v>#DIV/0!</v>
      </c>
      <c r="Q147" s="15" t="e">
        <f t="shared" si="13"/>
        <v>#DIV/0!</v>
      </c>
    </row>
    <row r="148" spans="15:17" x14ac:dyDescent="0.25">
      <c r="O148" s="34" t="e">
        <f t="shared" si="11"/>
        <v>#DIV/0!</v>
      </c>
      <c r="P148" s="34" t="e">
        <f t="shared" si="12"/>
        <v>#DIV/0!</v>
      </c>
      <c r="Q148" s="15" t="e">
        <f t="shared" si="13"/>
        <v>#DIV/0!</v>
      </c>
    </row>
    <row r="149" spans="15:17" x14ac:dyDescent="0.25">
      <c r="O149" s="34" t="e">
        <f t="shared" si="11"/>
        <v>#DIV/0!</v>
      </c>
      <c r="P149" s="34" t="e">
        <f t="shared" si="12"/>
        <v>#DIV/0!</v>
      </c>
      <c r="Q149" s="15" t="e">
        <f t="shared" si="13"/>
        <v>#DIV/0!</v>
      </c>
    </row>
    <row r="150" spans="15:17" x14ac:dyDescent="0.25">
      <c r="O150" s="34" t="e">
        <f t="shared" si="11"/>
        <v>#DIV/0!</v>
      </c>
      <c r="P150" s="34" t="e">
        <f t="shared" si="12"/>
        <v>#DIV/0!</v>
      </c>
      <c r="Q150" s="15" t="e">
        <f t="shared" si="13"/>
        <v>#DIV/0!</v>
      </c>
    </row>
    <row r="151" spans="15:17" x14ac:dyDescent="0.25">
      <c r="O151" s="34" t="e">
        <f t="shared" si="11"/>
        <v>#DIV/0!</v>
      </c>
      <c r="P151" s="34" t="e">
        <f t="shared" si="12"/>
        <v>#DIV/0!</v>
      </c>
      <c r="Q151" s="15" t="e">
        <f t="shared" si="13"/>
        <v>#DIV/0!</v>
      </c>
    </row>
    <row r="152" spans="15:17" x14ac:dyDescent="0.25">
      <c r="O152" s="34" t="e">
        <f t="shared" si="11"/>
        <v>#DIV/0!</v>
      </c>
      <c r="P152" s="34" t="e">
        <f t="shared" si="12"/>
        <v>#DIV/0!</v>
      </c>
      <c r="Q152" s="15" t="e">
        <f t="shared" si="13"/>
        <v>#DIV/0!</v>
      </c>
    </row>
    <row r="153" spans="15:17" x14ac:dyDescent="0.25">
      <c r="O153" s="34" t="e">
        <f t="shared" si="11"/>
        <v>#DIV/0!</v>
      </c>
      <c r="P153" s="34" t="e">
        <f t="shared" si="12"/>
        <v>#DIV/0!</v>
      </c>
      <c r="Q153" s="15" t="e">
        <f t="shared" si="13"/>
        <v>#DIV/0!</v>
      </c>
    </row>
    <row r="154" spans="15:17" x14ac:dyDescent="0.25">
      <c r="O154" s="34" t="e">
        <f t="shared" si="11"/>
        <v>#DIV/0!</v>
      </c>
      <c r="P154" s="34" t="e">
        <f t="shared" si="12"/>
        <v>#DIV/0!</v>
      </c>
      <c r="Q154" s="15" t="e">
        <f t="shared" si="13"/>
        <v>#DIV/0!</v>
      </c>
    </row>
    <row r="155" spans="15:17" x14ac:dyDescent="0.25">
      <c r="O155" s="34" t="e">
        <f t="shared" si="11"/>
        <v>#DIV/0!</v>
      </c>
      <c r="P155" s="34" t="e">
        <f t="shared" si="12"/>
        <v>#DIV/0!</v>
      </c>
      <c r="Q155" s="15" t="e">
        <f t="shared" si="13"/>
        <v>#DIV/0!</v>
      </c>
    </row>
    <row r="156" spans="15:17" x14ac:dyDescent="0.25">
      <c r="O156" s="15"/>
      <c r="P156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F809-E1FE-4119-B5E7-6DCE7181D81C}">
  <dimension ref="A1:N45"/>
  <sheetViews>
    <sheetView workbookViewId="0">
      <selection activeCell="J15" sqref="J15"/>
    </sheetView>
  </sheetViews>
  <sheetFormatPr baseColWidth="10" defaultColWidth="11.42578125" defaultRowHeight="15" x14ac:dyDescent="0.25"/>
  <cols>
    <col min="1" max="1" width="18.42578125" bestFit="1" customWidth="1"/>
  </cols>
  <sheetData>
    <row r="1" spans="1:14" x14ac:dyDescent="0.25">
      <c r="A1" s="29" t="s">
        <v>49</v>
      </c>
      <c r="B1" s="29" t="s">
        <v>0</v>
      </c>
      <c r="C1" s="29" t="s">
        <v>50</v>
      </c>
      <c r="D1" s="29" t="s">
        <v>51</v>
      </c>
      <c r="E1" s="29" t="s">
        <v>1353</v>
      </c>
      <c r="F1" s="29" t="s">
        <v>53</v>
      </c>
      <c r="G1" s="29" t="s">
        <v>54</v>
      </c>
      <c r="H1" s="29" t="s">
        <v>55</v>
      </c>
      <c r="I1" s="29" t="s">
        <v>57</v>
      </c>
      <c r="J1" s="29" t="s">
        <v>58</v>
      </c>
      <c r="K1" s="29" t="s">
        <v>59</v>
      </c>
      <c r="L1" s="30" t="s">
        <v>1354</v>
      </c>
      <c r="M1" s="30" t="s">
        <v>61</v>
      </c>
      <c r="N1" s="29" t="s">
        <v>1355</v>
      </c>
    </row>
    <row r="2" spans="1:14" x14ac:dyDescent="0.25">
      <c r="A2" s="31">
        <v>45042</v>
      </c>
      <c r="B2" s="20" t="s">
        <v>64</v>
      </c>
      <c r="C2" s="20" t="s">
        <v>65</v>
      </c>
      <c r="D2" s="20" t="s">
        <v>1356</v>
      </c>
      <c r="E2" s="20"/>
      <c r="F2" s="20" t="s">
        <v>1357</v>
      </c>
      <c r="G2" s="21">
        <v>1</v>
      </c>
      <c r="H2" s="20" t="s">
        <v>69</v>
      </c>
      <c r="I2" s="32">
        <v>0</v>
      </c>
      <c r="J2" s="32">
        <v>3571.43</v>
      </c>
      <c r="K2" s="32"/>
      <c r="L2" s="24">
        <f>+Tabla1[[#This Row],[Costo Venta]]/Tabla1[[#This Row],[Cantidad]]</f>
        <v>0</v>
      </c>
      <c r="M2" s="22">
        <v>1</v>
      </c>
      <c r="N2" s="33">
        <f>+Tabla1[[#This Row],[Conversión]]*Tabla1[[#This Row],[Cantidad]]</f>
        <v>1</v>
      </c>
    </row>
    <row r="3" spans="1:14" x14ac:dyDescent="0.25">
      <c r="A3" s="31">
        <v>45925</v>
      </c>
      <c r="B3" s="20" t="s">
        <v>1358</v>
      </c>
      <c r="C3" s="20" t="s">
        <v>1359</v>
      </c>
      <c r="D3" s="20" t="s">
        <v>1360</v>
      </c>
      <c r="E3" s="20"/>
      <c r="F3" s="20" t="s">
        <v>1361</v>
      </c>
      <c r="G3" s="21">
        <v>1</v>
      </c>
      <c r="H3" s="20" t="s">
        <v>1362</v>
      </c>
      <c r="I3" s="32">
        <v>0</v>
      </c>
      <c r="J3" s="32">
        <v>6666.67</v>
      </c>
      <c r="K3" s="32"/>
      <c r="L3" s="24">
        <f>+Tabla1[[#This Row],[Costo Venta]]/Tabla1[[#This Row],[Cantidad]]</f>
        <v>0</v>
      </c>
      <c r="M3" s="22">
        <v>1</v>
      </c>
      <c r="N3" s="33">
        <f>+Tabla1[[#This Row],[Conversión]]*Tabla1[[#This Row],[Cantidad]]</f>
        <v>1</v>
      </c>
    </row>
    <row r="4" spans="1:14" ht="64.5" x14ac:dyDescent="0.25">
      <c r="A4" s="31">
        <v>45881</v>
      </c>
      <c r="B4" s="20" t="s">
        <v>430</v>
      </c>
      <c r="C4" s="20" t="s">
        <v>1359</v>
      </c>
      <c r="D4" s="20" t="s">
        <v>1363</v>
      </c>
      <c r="E4" s="20"/>
      <c r="F4" s="20" t="s">
        <v>1364</v>
      </c>
      <c r="G4" s="21">
        <v>8.2200000000000006</v>
      </c>
      <c r="H4" s="26" t="s">
        <v>1349</v>
      </c>
      <c r="I4" s="32">
        <v>0</v>
      </c>
      <c r="J4" s="32">
        <v>319.58999999999997</v>
      </c>
      <c r="K4" s="32">
        <v>14.7656682</v>
      </c>
      <c r="L4" s="24">
        <f>+Tabla1[[#This Row],[Costo Venta]]/Tabla1[[#This Row],[Cantidad]]</f>
        <v>0</v>
      </c>
      <c r="M4" s="22">
        <v>1</v>
      </c>
      <c r="N4" s="33">
        <f>+Tabla1[[#This Row],[Conversión]]*Tabla1[[#This Row],[Cantidad]]</f>
        <v>1</v>
      </c>
    </row>
    <row r="5" spans="1:14" x14ac:dyDescent="0.25">
      <c r="A5" s="31">
        <v>45861</v>
      </c>
      <c r="B5" s="20" t="s">
        <v>430</v>
      </c>
      <c r="C5" s="20" t="s">
        <v>1359</v>
      </c>
      <c r="D5" s="20" t="s">
        <v>1365</v>
      </c>
      <c r="E5" s="20"/>
      <c r="F5" s="20" t="s">
        <v>1366</v>
      </c>
      <c r="G5" s="21">
        <v>47</v>
      </c>
      <c r="H5" s="20" t="s">
        <v>1338</v>
      </c>
      <c r="I5" s="32">
        <v>0</v>
      </c>
      <c r="J5" s="32">
        <v>1827.36</v>
      </c>
      <c r="K5" s="32">
        <v>95.655293</v>
      </c>
      <c r="L5" s="24">
        <f>+Tabla1[[#This Row],[Costo Venta]]/Tabla1[[#This Row],[Cantidad]]</f>
        <v>0</v>
      </c>
      <c r="M5" s="22">
        <v>1</v>
      </c>
      <c r="N5" s="33">
        <f>+Tabla1[[#This Row],[Conversión]]*Tabla1[[#This Row],[Cantidad]]</f>
        <v>1</v>
      </c>
    </row>
    <row r="6" spans="1:14" x14ac:dyDescent="0.25">
      <c r="A6" s="31">
        <v>45881</v>
      </c>
      <c r="B6" s="20" t="s">
        <v>430</v>
      </c>
      <c r="C6" s="20" t="s">
        <v>1359</v>
      </c>
      <c r="D6" s="20" t="s">
        <v>1363</v>
      </c>
      <c r="E6" s="20"/>
      <c r="F6" s="20" t="s">
        <v>1364</v>
      </c>
      <c r="G6" s="21">
        <v>4.8099999999999996</v>
      </c>
      <c r="H6" s="20" t="s">
        <v>1352</v>
      </c>
      <c r="I6" s="32">
        <v>0</v>
      </c>
      <c r="J6" s="32">
        <v>187.01</v>
      </c>
      <c r="K6" s="32">
        <v>13.096773819999999</v>
      </c>
      <c r="L6" s="24">
        <f>+Tabla1[[#This Row],[Costo Venta]]/Tabla1[[#This Row],[Cantidad]]</f>
        <v>0</v>
      </c>
      <c r="M6" s="22">
        <v>1</v>
      </c>
      <c r="N6" s="33">
        <f>+Tabla1[[#This Row],[Conversión]]*Tabla1[[#This Row],[Cantidad]]</f>
        <v>1</v>
      </c>
    </row>
    <row r="7" spans="1:14" x14ac:dyDescent="0.25">
      <c r="A7" s="31">
        <v>45876</v>
      </c>
      <c r="B7" s="20" t="s">
        <v>430</v>
      </c>
      <c r="C7" s="20" t="s">
        <v>65</v>
      </c>
      <c r="D7" s="20" t="s">
        <v>1367</v>
      </c>
      <c r="E7" s="20"/>
      <c r="F7" s="20" t="s">
        <v>1368</v>
      </c>
      <c r="G7" s="21">
        <v>15</v>
      </c>
      <c r="H7" s="20" t="s">
        <v>1328</v>
      </c>
      <c r="I7" s="32">
        <v>0</v>
      </c>
      <c r="J7" s="32">
        <v>583.20000000000005</v>
      </c>
      <c r="K7" s="32">
        <v>42.720750000000002</v>
      </c>
      <c r="L7" s="24">
        <f>+Tabla1[[#This Row],[Costo Venta]]/Tabla1[[#This Row],[Cantidad]]</f>
        <v>0</v>
      </c>
      <c r="M7" s="22">
        <v>1</v>
      </c>
      <c r="N7" s="33">
        <f>+Tabla1[[#This Row],[Conversión]]*Tabla1[[#This Row],[Cantidad]]</f>
        <v>1</v>
      </c>
    </row>
    <row r="8" spans="1:14" x14ac:dyDescent="0.25">
      <c r="A8" s="31">
        <v>45861</v>
      </c>
      <c r="B8" s="20" t="s">
        <v>430</v>
      </c>
      <c r="C8" s="20" t="s">
        <v>1359</v>
      </c>
      <c r="D8" s="20" t="s">
        <v>1365</v>
      </c>
      <c r="E8" s="20"/>
      <c r="F8" s="20" t="s">
        <v>1366</v>
      </c>
      <c r="G8" s="21">
        <v>60.98</v>
      </c>
      <c r="H8" s="20" t="s">
        <v>1341</v>
      </c>
      <c r="I8" s="32">
        <v>0</v>
      </c>
      <c r="J8" s="32">
        <v>2370.9</v>
      </c>
      <c r="K8" s="32">
        <v>97.590379659999996</v>
      </c>
      <c r="L8" s="24">
        <f>+Tabla1[[#This Row],[Costo Venta]]/Tabla1[[#This Row],[Cantidad]]</f>
        <v>0</v>
      </c>
      <c r="M8" s="22">
        <v>1</v>
      </c>
      <c r="N8" s="33">
        <f>+Tabla1[[#This Row],[Conversión]]*Tabla1[[#This Row],[Cantidad]]</f>
        <v>1</v>
      </c>
    </row>
    <row r="9" spans="1:14" x14ac:dyDescent="0.25">
      <c r="A9" s="31">
        <v>45876</v>
      </c>
      <c r="B9" s="20" t="s">
        <v>1</v>
      </c>
      <c r="C9" s="20" t="s">
        <v>65</v>
      </c>
      <c r="D9" s="20" t="s">
        <v>1367</v>
      </c>
      <c r="E9" s="20"/>
      <c r="F9" s="20" t="s">
        <v>1368</v>
      </c>
      <c r="G9" s="21">
        <v>10</v>
      </c>
      <c r="H9" s="20" t="s">
        <v>523</v>
      </c>
      <c r="I9" s="32">
        <v>0</v>
      </c>
      <c r="J9" s="32">
        <v>198.8</v>
      </c>
      <c r="K9" s="32">
        <v>17.219740000000002</v>
      </c>
      <c r="L9" s="24">
        <f>+Tabla1[[#This Row],[Costo Venta]]/Tabla1[[#This Row],[Cantidad]]</f>
        <v>0</v>
      </c>
      <c r="M9" s="22">
        <v>0.17499999999999999</v>
      </c>
      <c r="N9" s="33">
        <f>+Tabla1[[#This Row],[Conversión]]*Tabla1[[#This Row],[Cantidad]]</f>
        <v>1</v>
      </c>
    </row>
    <row r="10" spans="1:14" x14ac:dyDescent="0.25">
      <c r="A10" s="31">
        <v>45876</v>
      </c>
      <c r="B10" s="20" t="s">
        <v>1</v>
      </c>
      <c r="C10" s="20" t="s">
        <v>65</v>
      </c>
      <c r="D10" s="20" t="s">
        <v>1367</v>
      </c>
      <c r="E10" s="20"/>
      <c r="F10" s="20" t="s">
        <v>1368</v>
      </c>
      <c r="G10" s="21">
        <v>10</v>
      </c>
      <c r="H10" s="20" t="s">
        <v>559</v>
      </c>
      <c r="I10" s="32">
        <v>0</v>
      </c>
      <c r="J10" s="32">
        <v>258.8</v>
      </c>
      <c r="K10" s="32">
        <v>18.31963</v>
      </c>
      <c r="L10" s="24">
        <f>+Tabla1[[#This Row],[Costo Venta]]/Tabla1[[#This Row],[Cantidad]]</f>
        <v>0</v>
      </c>
      <c r="M10" s="22">
        <v>0.17499999999999999</v>
      </c>
      <c r="N10" s="33">
        <f>+Tabla1[[#This Row],[Conversión]]*Tabla1[[#This Row],[Cantidad]]</f>
        <v>1</v>
      </c>
    </row>
    <row r="11" spans="1:14" x14ac:dyDescent="0.25">
      <c r="A11" s="31">
        <v>45876</v>
      </c>
      <c r="B11" s="20" t="s">
        <v>1</v>
      </c>
      <c r="C11" s="20" t="s">
        <v>65</v>
      </c>
      <c r="D11" s="20" t="s">
        <v>1367</v>
      </c>
      <c r="E11" s="20"/>
      <c r="F11" s="20" t="s">
        <v>1368</v>
      </c>
      <c r="G11" s="21">
        <v>36</v>
      </c>
      <c r="H11" s="20" t="s">
        <v>581</v>
      </c>
      <c r="I11" s="32">
        <v>0</v>
      </c>
      <c r="J11" s="32">
        <v>715.68</v>
      </c>
      <c r="K11" s="32">
        <v>53.516052000000002</v>
      </c>
      <c r="L11" s="24">
        <f>+Tabla1[[#This Row],[Costo Venta]]/Tabla1[[#This Row],[Cantidad]]</f>
        <v>0</v>
      </c>
      <c r="M11" s="22">
        <v>0.25</v>
      </c>
      <c r="N11" s="33">
        <f>+Tabla1[[#This Row],[Conversión]]*Tabla1[[#This Row],[Cantidad]]</f>
        <v>1</v>
      </c>
    </row>
    <row r="12" spans="1:14" x14ac:dyDescent="0.25">
      <c r="A12" s="31">
        <v>45876</v>
      </c>
      <c r="B12" s="20" t="s">
        <v>1</v>
      </c>
      <c r="C12" s="20" t="s">
        <v>65</v>
      </c>
      <c r="D12" s="20" t="s">
        <v>1367</v>
      </c>
      <c r="E12" s="20"/>
      <c r="F12" s="20" t="s">
        <v>1368</v>
      </c>
      <c r="G12" s="21">
        <v>37</v>
      </c>
      <c r="H12" s="20" t="s">
        <v>1340</v>
      </c>
      <c r="I12" s="32">
        <v>0</v>
      </c>
      <c r="J12" s="32">
        <v>735.56</v>
      </c>
      <c r="K12" s="32">
        <v>67.583755999999994</v>
      </c>
      <c r="L12" s="24">
        <f>+Tabla1[[#This Row],[Costo Venta]]/Tabla1[[#This Row],[Cantidad]]</f>
        <v>0</v>
      </c>
      <c r="M12" s="22">
        <v>0.25</v>
      </c>
      <c r="N12" s="33">
        <f>+Tabla1[[#This Row],[Conversión]]*Tabla1[[#This Row],[Cantidad]]</f>
        <v>1</v>
      </c>
    </row>
    <row r="13" spans="1:14" x14ac:dyDescent="0.25">
      <c r="A13" s="31">
        <v>45778</v>
      </c>
      <c r="B13" s="20" t="s">
        <v>481</v>
      </c>
      <c r="C13" s="20" t="s">
        <v>1359</v>
      </c>
      <c r="D13" s="20" t="s">
        <v>1369</v>
      </c>
      <c r="E13" s="20"/>
      <c r="F13" s="20" t="s">
        <v>1370</v>
      </c>
      <c r="G13" s="21">
        <v>60</v>
      </c>
      <c r="H13" s="20" t="s">
        <v>598</v>
      </c>
      <c r="I13" s="32">
        <v>8.5679999999999996</v>
      </c>
      <c r="J13" s="32">
        <v>171.43</v>
      </c>
      <c r="K13" s="32">
        <v>312</v>
      </c>
      <c r="L13" s="24">
        <f>+Tabla1[[#This Row],[Costo Venta]]/Tabla1[[#This Row],[Cantidad]]</f>
        <v>0</v>
      </c>
      <c r="M13" s="22">
        <v>1</v>
      </c>
      <c r="N13" s="33">
        <f>+Tabla1[[#This Row],[Conversión]]*Tabla1[[#This Row],[Cantidad]]</f>
        <v>1</v>
      </c>
    </row>
    <row r="14" spans="1:14" x14ac:dyDescent="0.25">
      <c r="A14" s="31">
        <v>45791</v>
      </c>
      <c r="B14" s="20" t="s">
        <v>481</v>
      </c>
      <c r="C14" s="20" t="s">
        <v>1359</v>
      </c>
      <c r="D14" s="20" t="s">
        <v>1371</v>
      </c>
      <c r="E14" s="20"/>
      <c r="F14" s="20" t="s">
        <v>1372</v>
      </c>
      <c r="G14" s="21">
        <v>15</v>
      </c>
      <c r="H14" s="20" t="s">
        <v>598</v>
      </c>
      <c r="I14" s="32">
        <v>0</v>
      </c>
      <c r="J14" s="32">
        <v>45</v>
      </c>
      <c r="K14" s="32">
        <v>78</v>
      </c>
      <c r="L14" s="24">
        <f>+Tabla1[[#This Row],[Costo Venta]]/Tabla1[[#This Row],[Cantidad]]</f>
        <v>0</v>
      </c>
      <c r="M14" s="22">
        <v>1</v>
      </c>
      <c r="N14" s="33">
        <f>+Tabla1[[#This Row],[Conversión]]*Tabla1[[#This Row],[Cantidad]]</f>
        <v>1</v>
      </c>
    </row>
    <row r="15" spans="1:14" x14ac:dyDescent="0.25">
      <c r="A15" s="31">
        <v>45751</v>
      </c>
      <c r="B15" s="20" t="s">
        <v>1337</v>
      </c>
      <c r="C15" s="20" t="s">
        <v>1359</v>
      </c>
      <c r="D15" s="20" t="s">
        <v>1373</v>
      </c>
      <c r="E15" s="20"/>
      <c r="F15" s="20" t="s">
        <v>1374</v>
      </c>
      <c r="G15" s="21">
        <v>20</v>
      </c>
      <c r="H15" s="20" t="s">
        <v>1345</v>
      </c>
      <c r="I15" s="32">
        <v>346.36</v>
      </c>
      <c r="J15" s="32">
        <v>643.24</v>
      </c>
      <c r="K15" s="32">
        <v>82.742559999999997</v>
      </c>
      <c r="L15" s="24">
        <f>+Tabla1[[#This Row],[Costo Venta]]/Tabla1[[#This Row],[Cantidad]]</f>
        <v>0</v>
      </c>
      <c r="M15" s="22">
        <v>1</v>
      </c>
      <c r="N15" s="33">
        <f>+Tabla1[[#This Row],[Conversión]]*Tabla1[[#This Row],[Cantidad]]</f>
        <v>1</v>
      </c>
    </row>
    <row r="16" spans="1:14" x14ac:dyDescent="0.25">
      <c r="A16" s="31">
        <v>45861</v>
      </c>
      <c r="B16" s="20" t="s">
        <v>686</v>
      </c>
      <c r="C16" s="20" t="s">
        <v>1359</v>
      </c>
      <c r="D16" s="20" t="s">
        <v>1365</v>
      </c>
      <c r="E16" s="20"/>
      <c r="F16" s="20" t="s">
        <v>1366</v>
      </c>
      <c r="G16" s="21">
        <v>7</v>
      </c>
      <c r="H16" s="20" t="s">
        <v>1350</v>
      </c>
      <c r="I16" s="32">
        <v>0</v>
      </c>
      <c r="J16" s="32">
        <v>346.36</v>
      </c>
      <c r="K16" s="32">
        <v>55.700946000000002</v>
      </c>
      <c r="L16" s="24">
        <f>+Tabla1[[#This Row],[Costo Venta]]/Tabla1[[#This Row],[Cantidad]]</f>
        <v>0</v>
      </c>
      <c r="M16" s="22">
        <v>1</v>
      </c>
      <c r="N16" s="33">
        <f>+Tabla1[[#This Row],[Conversión]]*Tabla1[[#This Row],[Cantidad]]</f>
        <v>1</v>
      </c>
    </row>
    <row r="17" spans="1:14" x14ac:dyDescent="0.25">
      <c r="A17" s="31">
        <v>45751</v>
      </c>
      <c r="B17" s="20" t="s">
        <v>419</v>
      </c>
      <c r="C17" s="20" t="s">
        <v>1359</v>
      </c>
      <c r="D17" s="20" t="s">
        <v>1373</v>
      </c>
      <c r="E17" s="20"/>
      <c r="F17" s="20" t="s">
        <v>1374</v>
      </c>
      <c r="G17" s="21">
        <v>10</v>
      </c>
      <c r="H17" s="20" t="s">
        <v>696</v>
      </c>
      <c r="I17" s="32">
        <v>120.22499999999999</v>
      </c>
      <c r="J17" s="32">
        <v>223.28</v>
      </c>
      <c r="K17" s="32">
        <v>54.532710000000002</v>
      </c>
      <c r="L17" s="24">
        <f>+Tabla1[[#This Row],[Costo Venta]]/Tabla1[[#This Row],[Cantidad]]</f>
        <v>0</v>
      </c>
      <c r="M17" s="22">
        <v>1</v>
      </c>
      <c r="N17" s="33">
        <f>+Tabla1[[#This Row],[Conversión]]*Tabla1[[#This Row],[Cantidad]]</f>
        <v>1</v>
      </c>
    </row>
    <row r="18" spans="1:14" x14ac:dyDescent="0.25">
      <c r="A18" s="31">
        <v>45778</v>
      </c>
      <c r="B18" s="20" t="s">
        <v>419</v>
      </c>
      <c r="C18" s="20" t="s">
        <v>1359</v>
      </c>
      <c r="D18" s="20" t="s">
        <v>1375</v>
      </c>
      <c r="E18" s="20"/>
      <c r="F18" s="20" t="s">
        <v>1370</v>
      </c>
      <c r="G18" s="21">
        <v>20</v>
      </c>
      <c r="H18" s="20" t="s">
        <v>696</v>
      </c>
      <c r="I18" s="32">
        <v>311.89800000000002</v>
      </c>
      <c r="J18" s="32">
        <v>375.1</v>
      </c>
      <c r="K18" s="32">
        <v>109.06542</v>
      </c>
      <c r="L18" s="24">
        <f>+Tabla1[[#This Row],[Costo Venta]]/Tabla1[[#This Row],[Cantidad]]</f>
        <v>0</v>
      </c>
      <c r="M18" s="22">
        <v>1</v>
      </c>
      <c r="N18" s="33">
        <f>+Tabla1[[#This Row],[Conversión]]*Tabla1[[#This Row],[Cantidad]]</f>
        <v>1</v>
      </c>
    </row>
    <row r="19" spans="1:14" x14ac:dyDescent="0.25">
      <c r="A19" s="31">
        <v>45751</v>
      </c>
      <c r="B19" s="20" t="s">
        <v>1376</v>
      </c>
      <c r="C19" s="20" t="s">
        <v>1359</v>
      </c>
      <c r="D19" s="20" t="s">
        <v>1373</v>
      </c>
      <c r="E19" s="20"/>
      <c r="F19" s="20" t="s">
        <v>1374</v>
      </c>
      <c r="G19" s="21">
        <v>10</v>
      </c>
      <c r="H19" s="20" t="s">
        <v>1343</v>
      </c>
      <c r="I19" s="32">
        <v>120.22499999999999</v>
      </c>
      <c r="J19" s="32">
        <v>223.28</v>
      </c>
      <c r="K19" s="32">
        <v>62.525680000000001</v>
      </c>
      <c r="L19" s="24">
        <f>+Tabla1[[#This Row],[Costo Venta]]/Tabla1[[#This Row],[Cantidad]]</f>
        <v>0</v>
      </c>
      <c r="M19" s="22">
        <v>1</v>
      </c>
      <c r="N19" s="33">
        <f>+Tabla1[[#This Row],[Conversión]]*Tabla1[[#This Row],[Cantidad]]</f>
        <v>1</v>
      </c>
    </row>
    <row r="20" spans="1:14" x14ac:dyDescent="0.25">
      <c r="A20" s="31">
        <v>45876</v>
      </c>
      <c r="B20" s="20" t="s">
        <v>1339</v>
      </c>
      <c r="C20" s="20" t="s">
        <v>65</v>
      </c>
      <c r="D20" s="20" t="s">
        <v>1367</v>
      </c>
      <c r="E20" s="20"/>
      <c r="F20" s="20" t="s">
        <v>1368</v>
      </c>
      <c r="G20" s="21">
        <v>15.06</v>
      </c>
      <c r="H20" s="20" t="s">
        <v>1346</v>
      </c>
      <c r="I20" s="32">
        <v>0</v>
      </c>
      <c r="J20" s="32">
        <v>745.17</v>
      </c>
      <c r="K20" s="32">
        <v>60.989716919999999</v>
      </c>
      <c r="L20" s="24">
        <f>+Tabla1[[#This Row],[Costo Venta]]/Tabla1[[#This Row],[Cantidad]]</f>
        <v>0</v>
      </c>
      <c r="M20" s="22">
        <v>1</v>
      </c>
      <c r="N20" s="33">
        <f>+Tabla1[[#This Row],[Conversión]]*Tabla1[[#This Row],[Cantidad]]</f>
        <v>1</v>
      </c>
    </row>
    <row r="21" spans="1:14" x14ac:dyDescent="0.25">
      <c r="A21" s="31">
        <v>45881</v>
      </c>
      <c r="B21" s="20" t="s">
        <v>1339</v>
      </c>
      <c r="C21" s="20" t="s">
        <v>1359</v>
      </c>
      <c r="D21" s="20" t="s">
        <v>1363</v>
      </c>
      <c r="E21" s="20"/>
      <c r="F21" s="20" t="s">
        <v>1364</v>
      </c>
      <c r="G21" s="21">
        <v>15.06</v>
      </c>
      <c r="H21" s="20" t="s">
        <v>1346</v>
      </c>
      <c r="I21" s="32">
        <v>0</v>
      </c>
      <c r="J21" s="32">
        <v>745.17</v>
      </c>
      <c r="K21" s="32">
        <v>60.989716919999999</v>
      </c>
      <c r="L21" s="24">
        <f>+Tabla1[[#This Row],[Costo Venta]]/Tabla1[[#This Row],[Cantidad]]</f>
        <v>0</v>
      </c>
      <c r="M21" s="22">
        <v>1</v>
      </c>
      <c r="N21" s="33">
        <f>+Tabla1[[#This Row],[Conversión]]*Tabla1[[#This Row],[Cantidad]]</f>
        <v>1</v>
      </c>
    </row>
    <row r="22" spans="1:14" x14ac:dyDescent="0.25">
      <c r="A22" s="31">
        <v>45881</v>
      </c>
      <c r="B22" s="20" t="s">
        <v>1339</v>
      </c>
      <c r="C22" s="20" t="s">
        <v>1359</v>
      </c>
      <c r="D22" s="20" t="s">
        <v>1363</v>
      </c>
      <c r="E22" s="20"/>
      <c r="F22" s="20" t="s">
        <v>1364</v>
      </c>
      <c r="G22" s="21">
        <v>5.04</v>
      </c>
      <c r="H22" s="20" t="s">
        <v>1351</v>
      </c>
      <c r="I22" s="32">
        <v>0</v>
      </c>
      <c r="J22" s="32">
        <v>249.38</v>
      </c>
      <c r="K22" s="32">
        <v>32.324039999999997</v>
      </c>
      <c r="L22" s="24">
        <f>+Tabla1[[#This Row],[Costo Venta]]/Tabla1[[#This Row],[Cantidad]]</f>
        <v>0</v>
      </c>
      <c r="M22" s="22">
        <v>1</v>
      </c>
      <c r="N22" s="33">
        <f>+Tabla1[[#This Row],[Conversión]]*Tabla1[[#This Row],[Cantidad]]</f>
        <v>1</v>
      </c>
    </row>
    <row r="23" spans="1:14" x14ac:dyDescent="0.25">
      <c r="A23" s="31">
        <v>45751</v>
      </c>
      <c r="B23" s="20" t="s">
        <v>735</v>
      </c>
      <c r="C23" s="20" t="s">
        <v>1359</v>
      </c>
      <c r="D23" s="20" t="s">
        <v>1373</v>
      </c>
      <c r="E23" s="20"/>
      <c r="F23" s="20" t="s">
        <v>1374</v>
      </c>
      <c r="G23" s="21">
        <v>10</v>
      </c>
      <c r="H23" s="20" t="s">
        <v>1333</v>
      </c>
      <c r="I23" s="32">
        <v>136.08000000000001</v>
      </c>
      <c r="J23" s="32">
        <v>252.72</v>
      </c>
      <c r="K23" s="32">
        <v>31.549019999999999</v>
      </c>
      <c r="L23" s="24">
        <f>+Tabla1[[#This Row],[Costo Venta]]/Tabla1[[#This Row],[Cantidad]]</f>
        <v>0</v>
      </c>
      <c r="M23" s="22">
        <v>1</v>
      </c>
      <c r="N23" s="33">
        <f>+Tabla1[[#This Row],[Conversión]]*Tabla1[[#This Row],[Cantidad]]</f>
        <v>1</v>
      </c>
    </row>
    <row r="24" spans="1:14" x14ac:dyDescent="0.25">
      <c r="A24" s="31">
        <v>45881</v>
      </c>
      <c r="B24" s="20" t="s">
        <v>735</v>
      </c>
      <c r="C24" s="20" t="s">
        <v>1359</v>
      </c>
      <c r="D24" s="20" t="s">
        <v>1363</v>
      </c>
      <c r="E24" s="20"/>
      <c r="F24" s="20" t="s">
        <v>1364</v>
      </c>
      <c r="G24" s="21">
        <v>8</v>
      </c>
      <c r="H24" s="20" t="s">
        <v>1344</v>
      </c>
      <c r="I24" s="32">
        <v>0</v>
      </c>
      <c r="J24" s="32">
        <v>311.04000000000002</v>
      </c>
      <c r="K24" s="32">
        <v>27.321552000000001</v>
      </c>
      <c r="L24" s="24">
        <f>+Tabla1[[#This Row],[Costo Venta]]/Tabla1[[#This Row],[Cantidad]]</f>
        <v>0</v>
      </c>
      <c r="M24" s="22">
        <v>1</v>
      </c>
      <c r="N24" s="33">
        <f>+Tabla1[[#This Row],[Conversión]]*Tabla1[[#This Row],[Cantidad]]</f>
        <v>1</v>
      </c>
    </row>
    <row r="25" spans="1:14" x14ac:dyDescent="0.25">
      <c r="A25" s="31">
        <v>45881</v>
      </c>
      <c r="B25" s="20" t="s">
        <v>764</v>
      </c>
      <c r="C25" s="20" t="s">
        <v>1359</v>
      </c>
      <c r="D25" s="20" t="s">
        <v>1363</v>
      </c>
      <c r="E25" s="20"/>
      <c r="F25" s="20" t="s">
        <v>1364</v>
      </c>
      <c r="G25" s="21">
        <v>17.66</v>
      </c>
      <c r="H25" s="20" t="s">
        <v>1336</v>
      </c>
      <c r="I25" s="32">
        <v>0.34331040000000002</v>
      </c>
      <c r="J25" s="32">
        <v>686.28</v>
      </c>
      <c r="K25" s="32">
        <v>51.492816079999997</v>
      </c>
      <c r="L25" s="24">
        <f>+Tabla1[[#This Row],[Costo Venta]]/Tabla1[[#This Row],[Cantidad]]</f>
        <v>0</v>
      </c>
      <c r="M25" s="22">
        <v>1</v>
      </c>
      <c r="N25" s="33">
        <f>+Tabla1[[#This Row],[Conversión]]*Tabla1[[#This Row],[Cantidad]]</f>
        <v>1</v>
      </c>
    </row>
    <row r="26" spans="1:14" x14ac:dyDescent="0.25">
      <c r="A26" s="31">
        <v>45876</v>
      </c>
      <c r="B26" s="20" t="s">
        <v>764</v>
      </c>
      <c r="C26" s="20" t="s">
        <v>65</v>
      </c>
      <c r="D26" s="20" t="s">
        <v>1367</v>
      </c>
      <c r="E26" s="20"/>
      <c r="F26" s="20" t="s">
        <v>1368</v>
      </c>
      <c r="G26" s="21">
        <v>32</v>
      </c>
      <c r="H26" s="20" t="s">
        <v>968</v>
      </c>
      <c r="I26" s="32">
        <v>0</v>
      </c>
      <c r="J26" s="32">
        <v>1244.1600000000001</v>
      </c>
      <c r="K26" s="32">
        <v>201.68256</v>
      </c>
      <c r="L26" s="24">
        <f>+Tabla1[[#This Row],[Costo Venta]]/Tabla1[[#This Row],[Cantidad]]</f>
        <v>0</v>
      </c>
      <c r="M26" s="22">
        <v>1</v>
      </c>
      <c r="N26" s="33">
        <f>+Tabla1[[#This Row],[Conversión]]*Tabla1[[#This Row],[Cantidad]]</f>
        <v>1</v>
      </c>
    </row>
    <row r="27" spans="1:14" x14ac:dyDescent="0.25">
      <c r="A27" s="31">
        <v>45881</v>
      </c>
      <c r="B27" s="20" t="s">
        <v>764</v>
      </c>
      <c r="C27" s="20" t="s">
        <v>1359</v>
      </c>
      <c r="D27" s="20" t="s">
        <v>1363</v>
      </c>
      <c r="E27" s="20"/>
      <c r="F27" s="20" t="s">
        <v>1364</v>
      </c>
      <c r="G27" s="21">
        <v>32</v>
      </c>
      <c r="H27" s="20" t="s">
        <v>1325</v>
      </c>
      <c r="I27" s="32">
        <v>0</v>
      </c>
      <c r="J27" s="32">
        <v>1244.1600000000001</v>
      </c>
      <c r="K27" s="32">
        <v>75.323391999999998</v>
      </c>
      <c r="L27" s="24">
        <f>+Tabla1[[#This Row],[Costo Venta]]/Tabla1[[#This Row],[Cantidad]]</f>
        <v>0</v>
      </c>
      <c r="M27" s="22">
        <v>1</v>
      </c>
      <c r="N27" s="33">
        <f>+Tabla1[[#This Row],[Conversión]]*Tabla1[[#This Row],[Cantidad]]</f>
        <v>1</v>
      </c>
    </row>
    <row r="28" spans="1:14" x14ac:dyDescent="0.25">
      <c r="A28" s="31">
        <v>45876</v>
      </c>
      <c r="B28" s="20" t="s">
        <v>686</v>
      </c>
      <c r="C28" s="20" t="s">
        <v>65</v>
      </c>
      <c r="D28" s="20" t="s">
        <v>1367</v>
      </c>
      <c r="E28" s="20"/>
      <c r="F28" s="20" t="s">
        <v>1368</v>
      </c>
      <c r="G28" s="21">
        <v>10.14</v>
      </c>
      <c r="H28" s="20" t="s">
        <v>1347</v>
      </c>
      <c r="I28" s="32">
        <v>0</v>
      </c>
      <c r="J28" s="32">
        <v>501.73</v>
      </c>
      <c r="K28" s="32">
        <v>93.878431919999997</v>
      </c>
      <c r="L28" s="24">
        <f>+Tabla1[[#This Row],[Costo Venta]]/Tabla1[[#This Row],[Cantidad]]</f>
        <v>0</v>
      </c>
      <c r="M28" s="22">
        <v>1</v>
      </c>
      <c r="N28" s="33">
        <f>+Tabla1[[#This Row],[Conversión]]*Tabla1[[#This Row],[Cantidad]]</f>
        <v>1</v>
      </c>
    </row>
    <row r="29" spans="1:14" x14ac:dyDescent="0.25">
      <c r="A29" s="31">
        <v>45876</v>
      </c>
      <c r="B29" s="20" t="s">
        <v>1</v>
      </c>
      <c r="C29" s="20" t="s">
        <v>65</v>
      </c>
      <c r="D29" s="20" t="s">
        <v>1367</v>
      </c>
      <c r="E29" s="20"/>
      <c r="F29" s="20" t="s">
        <v>1368</v>
      </c>
      <c r="G29" s="21">
        <v>12</v>
      </c>
      <c r="H29" s="20" t="s">
        <v>1032</v>
      </c>
      <c r="I29" s="32">
        <v>0</v>
      </c>
      <c r="J29" s="32">
        <v>466.56</v>
      </c>
      <c r="K29" s="32">
        <v>61.085832000000003</v>
      </c>
      <c r="L29" s="24">
        <f>+Tabla1[[#This Row],[Costo Venta]]/Tabla1[[#This Row],[Cantidad]]</f>
        <v>0</v>
      </c>
      <c r="M29" s="22">
        <v>1</v>
      </c>
      <c r="N29" s="33">
        <f>+Tabla1[[#This Row],[Conversión]]*Tabla1[[#This Row],[Cantidad]]</f>
        <v>1</v>
      </c>
    </row>
    <row r="30" spans="1:14" x14ac:dyDescent="0.25">
      <c r="A30" s="31">
        <v>45876</v>
      </c>
      <c r="B30" s="20" t="s">
        <v>1</v>
      </c>
      <c r="C30" s="20" t="s">
        <v>65</v>
      </c>
      <c r="D30" s="20" t="s">
        <v>1367</v>
      </c>
      <c r="E30" s="20"/>
      <c r="F30" s="20" t="s">
        <v>1368</v>
      </c>
      <c r="G30" s="21">
        <v>12</v>
      </c>
      <c r="H30" s="20" t="s">
        <v>1332</v>
      </c>
      <c r="I30" s="32">
        <v>0</v>
      </c>
      <c r="J30" s="32">
        <v>466.56</v>
      </c>
      <c r="K30" s="32">
        <v>61.747667999999997</v>
      </c>
      <c r="L30" s="24">
        <f>+Tabla1[[#This Row],[Costo Venta]]/Tabla1[[#This Row],[Cantidad]]</f>
        <v>0</v>
      </c>
      <c r="M30" s="22">
        <v>1</v>
      </c>
      <c r="N30" s="33">
        <f>+Tabla1[[#This Row],[Conversión]]*Tabla1[[#This Row],[Cantidad]]</f>
        <v>1</v>
      </c>
    </row>
    <row r="31" spans="1:14" x14ac:dyDescent="0.25">
      <c r="A31" s="31">
        <v>45881</v>
      </c>
      <c r="B31" s="20" t="s">
        <v>1</v>
      </c>
      <c r="C31" s="20" t="s">
        <v>1359</v>
      </c>
      <c r="D31" s="20" t="s">
        <v>1363</v>
      </c>
      <c r="E31" s="20"/>
      <c r="F31" s="20" t="s">
        <v>1364</v>
      </c>
      <c r="G31" s="21">
        <v>12</v>
      </c>
      <c r="H31" s="20" t="s">
        <v>1055</v>
      </c>
      <c r="I31" s="32">
        <v>0</v>
      </c>
      <c r="J31" s="32">
        <v>466.56</v>
      </c>
      <c r="K31" s="32">
        <v>106.68699599999999</v>
      </c>
      <c r="L31" s="24">
        <f>+Tabla1[[#This Row],[Costo Venta]]/Tabla1[[#This Row],[Cantidad]]</f>
        <v>0</v>
      </c>
      <c r="M31" s="22">
        <v>1</v>
      </c>
      <c r="N31" s="33">
        <f>+Tabla1[[#This Row],[Conversión]]*Tabla1[[#This Row],[Cantidad]]</f>
        <v>1</v>
      </c>
    </row>
    <row r="32" spans="1:14" x14ac:dyDescent="0.25">
      <c r="A32" s="31">
        <v>45861</v>
      </c>
      <c r="B32" s="20" t="s">
        <v>1</v>
      </c>
      <c r="C32" s="20" t="s">
        <v>1359</v>
      </c>
      <c r="D32" s="20" t="s">
        <v>1365</v>
      </c>
      <c r="E32" s="20"/>
      <c r="F32" s="20" t="s">
        <v>1366</v>
      </c>
      <c r="G32" s="21">
        <v>111</v>
      </c>
      <c r="H32" s="20" t="s">
        <v>1059</v>
      </c>
      <c r="I32" s="32">
        <v>0</v>
      </c>
      <c r="J32" s="32">
        <v>4315.68</v>
      </c>
      <c r="K32" s="32">
        <v>549.70285799999999</v>
      </c>
      <c r="L32" s="24">
        <f>+Tabla1[[#This Row],[Costo Venta]]/Tabla1[[#This Row],[Cantidad]]</f>
        <v>0</v>
      </c>
      <c r="M32" s="22">
        <v>1</v>
      </c>
      <c r="N32" s="33">
        <f>+Tabla1[[#This Row],[Conversión]]*Tabla1[[#This Row],[Cantidad]]</f>
        <v>1</v>
      </c>
    </row>
    <row r="33" spans="1:14" x14ac:dyDescent="0.25">
      <c r="A33" s="31">
        <v>45876</v>
      </c>
      <c r="B33" s="20" t="s">
        <v>686</v>
      </c>
      <c r="C33" s="20" t="s">
        <v>65</v>
      </c>
      <c r="D33" s="20" t="s">
        <v>1367</v>
      </c>
      <c r="E33" s="20"/>
      <c r="F33" s="20" t="s">
        <v>1368</v>
      </c>
      <c r="G33" s="21">
        <v>6.29</v>
      </c>
      <c r="H33" s="20" t="s">
        <v>1348</v>
      </c>
      <c r="I33" s="32">
        <v>0</v>
      </c>
      <c r="J33" s="32">
        <v>311.23</v>
      </c>
      <c r="K33" s="32">
        <v>38.407916229999998</v>
      </c>
      <c r="L33" s="24">
        <f>+Tabla1[[#This Row],[Costo Venta]]/Tabla1[[#This Row],[Cantidad]]</f>
        <v>0</v>
      </c>
      <c r="M33" s="22">
        <v>1</v>
      </c>
      <c r="N33" s="33">
        <f>+Tabla1[[#This Row],[Conversión]]*Tabla1[[#This Row],[Cantidad]]</f>
        <v>1</v>
      </c>
    </row>
    <row r="34" spans="1:14" x14ac:dyDescent="0.25">
      <c r="A34" s="31">
        <v>45217</v>
      </c>
      <c r="B34" s="20" t="s">
        <v>686</v>
      </c>
      <c r="C34" s="20" t="s">
        <v>65</v>
      </c>
      <c r="D34" s="20" t="s">
        <v>1377</v>
      </c>
      <c r="E34" s="20"/>
      <c r="F34" s="20" t="s">
        <v>1378</v>
      </c>
      <c r="G34" s="21">
        <v>28.32</v>
      </c>
      <c r="H34" s="20" t="s">
        <v>1331</v>
      </c>
      <c r="I34" s="32">
        <v>1193.1844704</v>
      </c>
      <c r="J34" s="32">
        <v>208.09</v>
      </c>
      <c r="K34" s="32">
        <v>159.38742384</v>
      </c>
      <c r="L34" s="24">
        <f>+Tabla1[[#This Row],[Costo Venta]]/Tabla1[[#This Row],[Cantidad]]</f>
        <v>0</v>
      </c>
      <c r="M34" s="22">
        <v>1</v>
      </c>
      <c r="N34" s="33">
        <f>+Tabla1[[#This Row],[Conversión]]*Tabla1[[#This Row],[Cantidad]]</f>
        <v>1</v>
      </c>
    </row>
    <row r="35" spans="1:14" x14ac:dyDescent="0.25">
      <c r="A35" s="31">
        <v>44958</v>
      </c>
      <c r="B35" s="20" t="s">
        <v>1166</v>
      </c>
      <c r="C35" s="20" t="s">
        <v>143</v>
      </c>
      <c r="D35" s="20" t="s">
        <v>1379</v>
      </c>
      <c r="E35" s="20"/>
      <c r="F35" s="20" t="s">
        <v>1370</v>
      </c>
      <c r="G35" s="21">
        <v>72</v>
      </c>
      <c r="H35" s="20" t="s">
        <v>1169</v>
      </c>
      <c r="I35" s="32">
        <v>0</v>
      </c>
      <c r="J35" s="32">
        <v>64.290000000000006</v>
      </c>
      <c r="K35" s="32">
        <v>0.72</v>
      </c>
      <c r="L35" s="24">
        <f>+Tabla1[[#This Row],[Costo Venta]]/Tabla1[[#This Row],[Cantidad]]</f>
        <v>0</v>
      </c>
      <c r="M35" s="22">
        <v>1</v>
      </c>
      <c r="N35" s="33">
        <f>+Tabla1[[#This Row],[Conversión]]*Tabla1[[#This Row],[Cantidad]]</f>
        <v>1</v>
      </c>
    </row>
    <row r="36" spans="1:14" x14ac:dyDescent="0.25">
      <c r="A36" s="31">
        <v>44980</v>
      </c>
      <c r="B36" s="20" t="s">
        <v>1166</v>
      </c>
      <c r="C36" s="20" t="s">
        <v>143</v>
      </c>
      <c r="D36" s="20" t="s">
        <v>1380</v>
      </c>
      <c r="E36" s="20"/>
      <c r="F36" s="20" t="s">
        <v>1372</v>
      </c>
      <c r="G36" s="21">
        <v>20</v>
      </c>
      <c r="H36" s="20" t="s">
        <v>1169</v>
      </c>
      <c r="I36" s="32">
        <v>0</v>
      </c>
      <c r="J36" s="32">
        <v>17.86</v>
      </c>
      <c r="K36" s="32">
        <v>0.2</v>
      </c>
      <c r="L36" s="24">
        <f>+Tabla1[[#This Row],[Costo Venta]]/Tabla1[[#This Row],[Cantidad]]</f>
        <v>0</v>
      </c>
      <c r="M36" s="22">
        <v>1</v>
      </c>
      <c r="N36" s="33">
        <f>+Tabla1[[#This Row],[Conversión]]*Tabla1[[#This Row],[Cantidad]]</f>
        <v>1</v>
      </c>
    </row>
    <row r="37" spans="1:14" x14ac:dyDescent="0.25">
      <c r="A37" s="31">
        <v>45861</v>
      </c>
      <c r="B37" s="20" t="s">
        <v>686</v>
      </c>
      <c r="C37" s="20" t="s">
        <v>1359</v>
      </c>
      <c r="D37" s="20" t="s">
        <v>1365</v>
      </c>
      <c r="E37" s="20"/>
      <c r="F37" s="20" t="s">
        <v>1366</v>
      </c>
      <c r="G37" s="21">
        <v>10</v>
      </c>
      <c r="H37" s="20" t="s">
        <v>1201</v>
      </c>
      <c r="I37" s="32">
        <v>0</v>
      </c>
      <c r="J37" s="32">
        <v>494.8</v>
      </c>
      <c r="K37" s="32">
        <v>32.293709999999997</v>
      </c>
      <c r="L37" s="24">
        <f>+Tabla1[[#This Row],[Costo Venta]]/Tabla1[[#This Row],[Cantidad]]</f>
        <v>0</v>
      </c>
      <c r="M37" s="22">
        <v>1</v>
      </c>
      <c r="N37" s="33">
        <f>+Tabla1[[#This Row],[Conversión]]*Tabla1[[#This Row],[Cantidad]]</f>
        <v>1</v>
      </c>
    </row>
    <row r="38" spans="1:14" x14ac:dyDescent="0.25">
      <c r="A38" s="31">
        <v>45876</v>
      </c>
      <c r="B38" s="20" t="s">
        <v>686</v>
      </c>
      <c r="C38" s="20" t="s">
        <v>65</v>
      </c>
      <c r="D38" s="20" t="s">
        <v>1367</v>
      </c>
      <c r="E38" s="20"/>
      <c r="F38" s="20" t="s">
        <v>1368</v>
      </c>
      <c r="G38" s="21">
        <v>24</v>
      </c>
      <c r="H38" s="20" t="s">
        <v>1217</v>
      </c>
      <c r="I38" s="32">
        <v>0</v>
      </c>
      <c r="J38" s="32">
        <v>1187.52</v>
      </c>
      <c r="K38" s="32">
        <v>183.27791999999999</v>
      </c>
      <c r="L38" s="24">
        <f>+Tabla1[[#This Row],[Costo Venta]]/Tabla1[[#This Row],[Cantidad]]</f>
        <v>0</v>
      </c>
      <c r="M38" s="22">
        <v>1</v>
      </c>
      <c r="N38" s="33">
        <f>+Tabla1[[#This Row],[Conversión]]*Tabla1[[#This Row],[Cantidad]]</f>
        <v>1</v>
      </c>
    </row>
    <row r="39" spans="1:14" x14ac:dyDescent="0.25">
      <c r="A39" s="31">
        <v>45861</v>
      </c>
      <c r="B39" s="20" t="s">
        <v>686</v>
      </c>
      <c r="C39" s="20" t="s">
        <v>1359</v>
      </c>
      <c r="D39" s="20" t="s">
        <v>1365</v>
      </c>
      <c r="E39" s="20"/>
      <c r="F39" s="20" t="s">
        <v>1366</v>
      </c>
      <c r="G39" s="21">
        <v>10</v>
      </c>
      <c r="H39" s="20" t="s">
        <v>1220</v>
      </c>
      <c r="I39" s="32">
        <v>0</v>
      </c>
      <c r="J39" s="32">
        <v>494.8</v>
      </c>
      <c r="K39" s="32">
        <v>35.995609999999999</v>
      </c>
      <c r="L39" s="24">
        <f>+Tabla1[[#This Row],[Costo Venta]]/Tabla1[[#This Row],[Cantidad]]</f>
        <v>0</v>
      </c>
      <c r="M39" s="22">
        <v>1</v>
      </c>
      <c r="N39" s="33">
        <f>+Tabla1[[#This Row],[Conversión]]*Tabla1[[#This Row],[Cantidad]]</f>
        <v>1</v>
      </c>
    </row>
    <row r="40" spans="1:14" x14ac:dyDescent="0.25">
      <c r="A40" s="31">
        <v>45876</v>
      </c>
      <c r="B40" s="20" t="s">
        <v>686</v>
      </c>
      <c r="C40" s="20" t="s">
        <v>65</v>
      </c>
      <c r="D40" s="20" t="s">
        <v>1367</v>
      </c>
      <c r="E40" s="20"/>
      <c r="F40" s="20" t="s">
        <v>1368</v>
      </c>
      <c r="G40" s="21">
        <v>15</v>
      </c>
      <c r="H40" s="20" t="s">
        <v>1223</v>
      </c>
      <c r="I40" s="32">
        <v>0</v>
      </c>
      <c r="J40" s="32">
        <v>742.2</v>
      </c>
      <c r="K40" s="32">
        <v>102.1194</v>
      </c>
      <c r="L40" s="24">
        <f>+Tabla1[[#This Row],[Costo Venta]]/Tabla1[[#This Row],[Cantidad]]</f>
        <v>0</v>
      </c>
      <c r="M40" s="22">
        <v>1</v>
      </c>
      <c r="N40" s="33">
        <f>+Tabla1[[#This Row],[Conversión]]*Tabla1[[#This Row],[Cantidad]]</f>
        <v>1</v>
      </c>
    </row>
    <row r="41" spans="1:14" x14ac:dyDescent="0.25">
      <c r="A41" s="31">
        <v>45876</v>
      </c>
      <c r="B41" s="20" t="s">
        <v>1242</v>
      </c>
      <c r="C41" s="20" t="s">
        <v>65</v>
      </c>
      <c r="D41" s="20" t="s">
        <v>1367</v>
      </c>
      <c r="E41" s="20"/>
      <c r="F41" s="20" t="s">
        <v>1368</v>
      </c>
      <c r="G41" s="21">
        <v>22.8</v>
      </c>
      <c r="H41" s="20" t="s">
        <v>1243</v>
      </c>
      <c r="I41" s="32">
        <v>0</v>
      </c>
      <c r="J41" s="32">
        <v>1593.26</v>
      </c>
      <c r="K41" s="32">
        <v>513.82358160000001</v>
      </c>
      <c r="L41" s="24">
        <f>+Tabla1[[#This Row],[Costo Venta]]/Tabla1[[#This Row],[Cantidad]]</f>
        <v>0</v>
      </c>
      <c r="M41" s="22">
        <v>1</v>
      </c>
      <c r="N41" s="33">
        <f>+Tabla1[[#This Row],[Conversión]]*Tabla1[[#This Row],[Cantidad]]</f>
        <v>1</v>
      </c>
    </row>
    <row r="42" spans="1:14" x14ac:dyDescent="0.25">
      <c r="A42" s="31">
        <v>45315</v>
      </c>
      <c r="B42" s="20" t="s">
        <v>1342</v>
      </c>
      <c r="C42" s="20" t="s">
        <v>65</v>
      </c>
      <c r="D42" s="20" t="s">
        <v>1381</v>
      </c>
      <c r="E42" s="20"/>
      <c r="F42" s="20" t="s">
        <v>1378</v>
      </c>
      <c r="G42" s="21">
        <v>16.66</v>
      </c>
      <c r="H42" s="20" t="s">
        <v>1382</v>
      </c>
      <c r="I42" s="32">
        <v>654.93791999999996</v>
      </c>
      <c r="J42" s="32">
        <v>44.78</v>
      </c>
      <c r="K42" s="32">
        <v>0</v>
      </c>
      <c r="L42" s="24">
        <f>+Tabla1[[#This Row],[Costo Venta]]/Tabla1[[#This Row],[Cantidad]]</f>
        <v>0</v>
      </c>
      <c r="M42" s="22">
        <v>1</v>
      </c>
      <c r="N42" s="33">
        <f>+Tabla1[[#This Row],[Conversión]]*Tabla1[[#This Row],[Cantidad]]</f>
        <v>1</v>
      </c>
    </row>
    <row r="43" spans="1:14" x14ac:dyDescent="0.25">
      <c r="A43" s="31">
        <v>45778</v>
      </c>
      <c r="B43" s="20" t="s">
        <v>1342</v>
      </c>
      <c r="C43" s="20" t="s">
        <v>65</v>
      </c>
      <c r="D43" s="20" t="s">
        <v>1383</v>
      </c>
      <c r="E43" s="20"/>
      <c r="F43" s="20" t="s">
        <v>1370</v>
      </c>
      <c r="G43" s="21">
        <v>3</v>
      </c>
      <c r="H43" s="20" t="s">
        <v>1382</v>
      </c>
      <c r="I43" s="32">
        <v>129.06502800000001</v>
      </c>
      <c r="J43" s="32">
        <v>8.57</v>
      </c>
      <c r="K43" s="32">
        <v>0</v>
      </c>
      <c r="L43" s="24">
        <f>+Tabla1[[#This Row],[Costo Venta]]/Tabla1[[#This Row],[Cantidad]]</f>
        <v>0</v>
      </c>
      <c r="M43" s="22">
        <v>1</v>
      </c>
      <c r="N43" s="33">
        <f>+Tabla1[[#This Row],[Conversión]]*Tabla1[[#This Row],[Cantidad]]</f>
        <v>1</v>
      </c>
    </row>
    <row r="44" spans="1:14" x14ac:dyDescent="0.25">
      <c r="A44" s="31">
        <v>45903</v>
      </c>
      <c r="B44" s="20" t="s">
        <v>686</v>
      </c>
      <c r="C44" s="20" t="s">
        <v>65</v>
      </c>
      <c r="D44" s="20" t="s">
        <v>1384</v>
      </c>
      <c r="E44" s="20"/>
      <c r="F44" s="20" t="s">
        <v>1385</v>
      </c>
      <c r="G44" s="21">
        <v>7</v>
      </c>
      <c r="H44" s="20" t="s">
        <v>1268</v>
      </c>
      <c r="I44" s="32">
        <v>326.27112</v>
      </c>
      <c r="J44" s="32">
        <v>20.09</v>
      </c>
      <c r="K44" s="32">
        <v>55.178542999999998</v>
      </c>
      <c r="L44" s="24">
        <f>+Tabla1[[#This Row],[Costo Venta]]/Tabla1[[#This Row],[Cantidad]]</f>
        <v>0</v>
      </c>
      <c r="M44" s="22">
        <v>1</v>
      </c>
      <c r="N44" s="33">
        <f>+Tabla1[[#This Row],[Conversión]]*Tabla1[[#This Row],[Cantidad]]</f>
        <v>1</v>
      </c>
    </row>
    <row r="45" spans="1:14" x14ac:dyDescent="0.25">
      <c r="A45" s="31">
        <v>45903</v>
      </c>
      <c r="B45" s="20" t="s">
        <v>686</v>
      </c>
      <c r="C45" s="20" t="s">
        <v>65</v>
      </c>
      <c r="D45" s="20" t="s">
        <v>1386</v>
      </c>
      <c r="E45" s="20"/>
      <c r="F45" s="20" t="s">
        <v>1385</v>
      </c>
      <c r="G45" s="21">
        <v>8</v>
      </c>
      <c r="H45" s="20" t="s">
        <v>1268</v>
      </c>
      <c r="I45" s="32">
        <v>178.12799999999999</v>
      </c>
      <c r="J45" s="32">
        <v>217.71</v>
      </c>
      <c r="K45" s="32">
        <v>63.061191999999998</v>
      </c>
      <c r="L45" s="24">
        <f>+Tabla1[[#This Row],[Costo Venta]]/Tabla1[[#This Row],[Cantidad]]</f>
        <v>0</v>
      </c>
      <c r="M45" s="22">
        <v>1</v>
      </c>
      <c r="N45" s="33">
        <f>+Tabla1[[#This Row],[Conversión]]*Tabla1[[#This Row],[Cantidad]]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BD</vt:lpstr>
      <vt:lpstr>RESUMEN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Dario Lasso</cp:lastModifiedBy>
  <cp:revision/>
  <dcterms:created xsi:type="dcterms:W3CDTF">2025-10-01T19:28:28Z</dcterms:created>
  <dcterms:modified xsi:type="dcterms:W3CDTF">2025-10-27T01:25:19Z</dcterms:modified>
  <cp:category/>
  <cp:contentStatus/>
</cp:coreProperties>
</file>